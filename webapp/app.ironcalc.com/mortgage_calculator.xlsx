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📋 Overview" sheetId="3" r:id="rId1"/>
    <sheet name="📊 Amortization" sheetId="4" r:id="rId2"/>
  </sheets>
  <definedNames>
    <definedName name="HomePrice">'📋 Overview'!$C$5</definedName>
    <definedName name="Downpayment">'📋 Overview'!$C$6</definedName>
    <definedName name="LoanAmount">'📋 Overview'!$C$7</definedName>
    <definedName name="InterestRate">'📋 Overview'!$C$8</definedName>
    <definedName name="LoanPeriod">'📋 Overview'!$C$9</definedName>
    <definedName name="MonthlyPayment">'📋 Overview'!$C$11</definedName>
  </definedNames>
  <calcPr/>
</workbook>
</file>

<file path=xl/sharedStrings.xml><?xml version="1.0" encoding="utf-8"?>
<sst xmlns="http://schemas.openxmlformats.org/spreadsheetml/2006/main" count="97" uniqueCount="97">
  <si>
    <t>Estimate your mortgage monthly payments and get a better understanding of your loan conditions</t>
  </si>
  <si>
    <t>Home price</t>
  </si>
  <si>
    <t>Downpayment</t>
  </si>
  <si>
    <t>Loan amount</t>
  </si>
  <si>
    <t>Interest rate</t>
  </si>
  <si>
    <t> </t>
  </si>
  <si>
    <t/>
  </si>
  <si>
    <t>Loan period</t>
  </si>
  <si>
    <t>Monthy payment</t>
  </si>
  <si>
    <t>Monthly interest</t>
  </si>
  <si>
    <t>Total monthly payment</t>
  </si>
  <si>
    <t>(1+B7)</t>
  </si>
  <si>
    <t>abc</t>
  </si>
  <si>
    <t>Monthly payment</t>
  </si>
  <si>
    <t>Non-interest payment</t>
  </si>
  <si>
    <t>Total cost</t>
  </si>
  <si>
    <t>Total interest paid</t>
  </si>
  <si>
    <t>Total paid</t>
  </si>
  <si>
    <t>Monthly Rate</t>
  </si>
  <si>
    <t>Months</t>
  </si>
  <si>
    <t>Monthy Payment</t>
  </si>
  <si>
    <t>Period</t>
  </si>
  <si>
    <t>Beginning Balance</t>
  </si>
  <si>
    <t>Monthly rate</t>
  </si>
  <si>
    <t>Beginning balance</t>
  </si>
  <si>
    <t>payment</t>
  </si>
  <si>
    <t>Payment</t>
  </si>
  <si>
    <t>Interest</t>
  </si>
  <si>
    <t>Principal</t>
  </si>
  <si>
    <t>Ending balance</t>
  </si>
  <si>
    <t>Monthly principal payment</t>
  </si>
  <si>
    <t>January 2026</t>
  </si>
  <si>
    <t>February 2026</t>
  </si>
  <si>
    <t>March 2026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</si>
  <si>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</si>
  <si>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</si>
  <si>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</si>
  <si>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</si>
  <si>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</si>
  <si>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</si>
  <si>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</si>
  <si>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</si>
  <si>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</si>
  <si>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</si>
  <si>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</si>
  <si>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</si>
  <si>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</si>
  <si>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</si>
  <si>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</si>
  <si>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</si>
  <si>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</si>
  <si>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</si>
  <si>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Calculation type</t>
  </si>
  <si>
    <t>Fixed montly payment</t>
  </si>
  <si>
    <t>Fixed monthly payment</t>
  </si>
  <si>
    <t>of total price</t>
  </si>
  <si>
    <t>monthly rate</t>
  </si>
  <si>
    <t>Inputs</t>
  </si>
  <si>
    <t>Outputs</t>
  </si>
  <si>
    <t>fals</t>
  </si>
  <si>
    <t>e</t>
  </si>
  <si>
    <t>tru</t>
  </si>
  <si>
    <t>Fixed loan period</t>
  </si>
  <si>
    <t>years</t>
  </si>
  <si>
    <t>Total amount paid</t>
  </si>
  <si>
    <t>Downpayment (optional)</t>
  </si>
  <si>
    <t>There are two possibilities when considering a mortgage. You can either fix your monthly payment or your loan term. </t>
  </si>
  <si>
    <t>There are two possibilities when considering a mortgage, whether it's choosing a monthly payment or fixing the loan for a certain period of time</t>
  </si>
  <si>
    <t>You can either fix the monthly payment and calculate how long it will take to repay the loan, or set a loan period and see what your monthly payments would be.</t>
  </si>
  <si>
    <t>Estimate your monthly mortgage payments and explore how different loan terms affect your repayment.</t>
  </si>
  <si>
    <t>Estimate your monthly mortgage payments and explore how different loan terms affect your repayment.
</t>
  </si>
  <si>
    <t>Estimate your monthly mortgage payments and explore how different loan conditions affect your repayment.
</t>
  </si>
  <si>
    <t>Estimate your monthly mortgage payments and explore how different loan conditions affect your repayment</t>
  </si>
  <si>
    <t>You can either fix the monthly payment and calculate how long it will take to repay the loan, or set a loan period and see what your monthly payments would be</t>
  </si>
  <si>
    <t>Fix the monthly payment to calculate the loan term, or set the loan period to see your monthly payments.
</t>
  </si>
  <si>
    <t>abv</t>
  </si>
  <si>
    <t>March 20230</t>
  </si>
  <si>
    <t>March 2030</t>
  </si>
  <si>
    <t>18.75% of total price</t>
  </si>
  <si>
    <t>🏡 Mortgage calculator</t>
  </si>
  <si>
    <t>10 years</t>
  </si>
  <si>
    <t>Starting date</t>
  </si>
  <si>
    <t>January2026</t>
  </si>
  <si>
    <t>{"January","February","March","April","May","June","July","August","September","October","November","December"},0)</t>
  </si>
  <si>
    <t>🏡 </t>
  </si>
  <si>
    <t>A</t>
  </si>
  <si>
    <t>Amortization rate</t>
  </si>
  <si>
    <t>aaa</t>
  </si>
  <si>
    <t>📊 Amortization schedule</t>
  </si>
  <si>
    <t>Track how each payment is split between interest and principal, and see how your loan balance decreases over time.</t>
  </si>
  <si>
    <t>Opening balance</t>
  </si>
  <si>
    <t>Remaining balance</t>
  </si>
  <si>
    <t>Closing balance</t>
  </si>
  <si>
    <t>📊</t>
  </si>
  <si>
    <t>🏡</t>
  </si>
  <si>
    <t>📋 Mortgage calculator</t>
  </si>
  <si>
    <t>Interest rate %</t>
  </si>
</sst>
</file>

<file path=xl/styles.xml><?xml version="1.0" encoding="utf-8"?>
<styleSheet xmlns="http://schemas.openxmlformats.org/spreadsheetml/2006/main">
  <numFmts count="24">
    <numFmt numFmtId="45" formatCode="&quot;€&quot;#,##0.00"/>
    <numFmt numFmtId="46" formatCode="# ##0&quot;€&quot;"/>
    <numFmt numFmtId="47" formatCode="0.000%"/>
    <numFmt numFmtId="48" formatCode="0.0%"/>
    <numFmt numFmtId="49" formatCode="#,##0.00%"/>
    <numFmt numFmtId="50" formatCode="#,##0.0%"/>
    <numFmt numFmtId="51" formatCode="# ##0&quot; years&quot;"/>
    <numFmt numFmtId="52" formatCode="€#,##0.00"/>
    <numFmt numFmtId="53" formatCode="# ##0.0&quot;€&quot;"/>
    <numFmt numFmtId="54" formatCode="# ##0.00&quot;€&quot;"/>
    <numFmt numFmtId="55" formatCode="# ##0&quot; €&quot;"/>
    <numFmt numFmtId="56" formatCode="# ##0.0&quot; €&quot;"/>
    <numFmt numFmtId="57" formatCode="# ##0.00&quot; €&quot;"/>
    <numFmt numFmtId="58" formatCode="$#,##0.00"/>
    <numFmt numFmtId="59" formatCode="# ##0&quot; months&quot;"/>
    <numFmt numFmtId="60" formatCode="dd/mm/yyyy"/>
    <numFmt numFmtId="61" formatCode="mm yyyy"/>
    <numFmt numFmtId="62" formatCode="mmmm yyyy"/>
    <numFmt numFmtId="63" formatCode="#,##0.00"/>
    <numFmt numFmtId="64" formatCode="0.00 %"/>
    <numFmt numFmtId="65" formatCode="0.00/100%"/>
    <numFmt numFmtId="66" formatCode="MMMM YYYY"/>
    <numFmt numFmtId="67" formatCode="dddd&quot;,&quot; mmmm dd&quot;,&quot; yyyy"/>
    <numFmt numFmtId="68" formatCode="dd&quot;/&quot;mm&quot;/&quot;yyyy"/>
  </numFmts>
  <fonts count="21">
    <font>
      <sz val="13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rgb="FF000000"/>
      <name val="Calibri"/>
      <b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color rgb="FF000000"/>
      <name val="Calibri"/>
      <b/>
      <family val="2"/>
      <scheme val="minor"/>
    </font>
    <font>
      <sz val="15"/>
      <color rgb="FF000000"/>
      <name val="Calibri"/>
      <b/>
      <family val="2"/>
      <scheme val="minor"/>
    </font>
    <font>
      <sz val="16"/>
      <color rgb="FF000000"/>
      <name val="Calibri"/>
      <b/>
      <family val="2"/>
      <scheme val="minor"/>
    </font>
    <font>
      <sz val="13"/>
      <color rgb="FF9E9E9E"/>
      <name val="Calibri"/>
      <family val="2"/>
      <scheme val="minor"/>
    </font>
    <font>
      <sz val="13"/>
      <color rgb="FF757575"/>
      <name val="Calibri"/>
      <family val="2"/>
      <scheme val="minor"/>
    </font>
    <font>
      <sz val="13"/>
      <color rgb="FF757575"/>
      <name val="Calibri"/>
      <b/>
      <family val="2"/>
      <scheme val="minor"/>
    </font>
    <font>
      <sz val="14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7"/>
      <color rgb="FF000000"/>
      <name val="Calibri"/>
      <family val="2"/>
      <scheme val="minor"/>
    </font>
    <font>
      <sz val="17"/>
      <color rgb="FF000000"/>
      <name val="Calibri"/>
      <b/>
      <family val="2"/>
      <scheme val="minor"/>
    </font>
    <font>
      <sz val="18"/>
      <color rgb="FF000000"/>
      <name val="Calibri"/>
      <b/>
      <family val="2"/>
      <scheme val="minor"/>
    </font>
    <font>
      <sz val="13"/>
      <color rgb="FF9E9E9E"/>
      <name val="Calibri"/>
      <i/>
      <family val="2"/>
      <scheme val="minor"/>
    </font>
    <font>
      <sz val="18"/>
      <color rgb="FF000000"/>
      <name val="Calibri"/>
      <family val="2"/>
      <scheme val="minor"/>
    </font>
    <font>
      <sz val="19"/>
      <color rgb="FF000000"/>
      <name val="Calibri"/>
      <family val="2"/>
      <scheme val="minor"/>
    </font>
    <font>
      <sz val="12"/>
      <color rgb="FF9E9E9E"/>
      <name val="Calibri"/>
      <i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DF0C5"/>
      </patternFill>
    </fill>
    <fill>
      <patternFill patternType="solid"/>
    </fill>
    <fill>
      <patternFill patternType="solid">
        <fgColor rgb="FFF5F5F5"/>
      </patternFill>
    </fill>
    <fill>
      <patternFill patternType="solid">
        <fgColor rgb="FFFBE0C9"/>
      </patternFill>
    </fill>
    <fill>
      <patternFill patternType="solid">
        <fgColor rgb="FFF2F2F2"/>
      </patternFill>
    </fill>
    <fill>
      <patternFill patternType="solid">
        <fgColor rgb="FFE0E0E0"/>
      </patternFill>
    </fill>
  </fills>
  <borders count="30">
    <border>
      <left/>
      <right/>
      <top/>
      <bottom/>
      <diagonal/>
    </border>
    <border>
      <left/>
      <right/>
      <top/>
      <bottom style="thin">
        <color rgb="FF272525"/>
      </bottom>
      <diagonal/>
    </border>
    <border>
      <left style="thin">
        <color rgb="FF272525"/>
      </left>
      <right style="thin">
        <color rgb="FF272525"/>
      </right>
      <top style="thin">
        <color rgb="FF272525"/>
      </top>
      <bottom style="thin">
        <color rgb="FF272525"/>
      </bottom>
      <diagonal/>
    </border>
    <border>
      <left style="thin">
        <color rgb="FFF9D764"/>
      </left>
      <right style="thin">
        <color rgb="FFF9D764"/>
      </right>
      <top style="thin">
        <color rgb="FFF9D764"/>
      </top>
      <bottom style="thin">
        <color rgb="FFF9D764"/>
      </bottom>
      <diagonal/>
    </border>
    <border>
      <left/>
      <right/>
      <top style="thin">
        <color rgb="FFF9D764"/>
      </top>
      <bottom style="thin">
        <color rgb="FFF9D764"/>
      </bottom>
      <diagonal/>
    </border>
    <border>
      <left/>
      <right style="thin">
        <color rgb="FFF9D764"/>
      </right>
      <top/>
      <bottom/>
      <diagonal/>
    </border>
    <border>
      <left style="thin">
        <color rgb="FFF9D764"/>
      </left>
      <right/>
      <top/>
      <bottom/>
      <diagonal/>
    </border>
    <border>
      <left/>
      <right/>
      <top style="thin">
        <color rgb="FFF9D764"/>
      </top>
      <bottom/>
      <diagonal/>
    </border>
    <border>
      <left/>
      <right/>
      <top/>
      <bottom style="thin">
        <color rgb="FFF9D764"/>
      </bottom>
      <diagonal/>
    </border>
    <border>
      <left/>
      <right/>
      <top style="thin">
        <color rgb="FF272525"/>
      </top>
      <bottom style="thin">
        <color rgb="FF272525"/>
      </bottom>
      <diagonal/>
    </border>
    <border>
      <left/>
      <right/>
      <top style="thin">
        <color rgb="FF272525"/>
      </top>
      <bottom/>
      <diagonal/>
    </border>
    <border>
      <left style="thin">
        <color rgb="FFF2994A"/>
      </left>
      <right style="thin">
        <color rgb="FFF2994A"/>
      </right>
      <top style="thin">
        <color rgb="FFF2994A"/>
      </top>
      <bottom style="thin">
        <color rgb="FFF9D764"/>
      </bottom>
      <diagonal/>
    </border>
    <border>
      <left style="thin">
        <color rgb="FFF2994A"/>
      </left>
      <right style="thin">
        <color rgb="FFF2994A"/>
      </right>
      <top style="thin">
        <color rgb="FFF9D764"/>
      </top>
      <bottom style="thin">
        <color rgb="FFF2994A"/>
      </bottom>
      <diagonal/>
    </border>
    <border>
      <left style="thin">
        <color rgb="FFF2994A"/>
      </left>
      <right style="thin">
        <color rgb="FFF2994A"/>
      </right>
      <top style="thin">
        <color rgb="FFF2994A"/>
      </top>
      <bottom style="thin">
        <color rgb="FFF2994A"/>
      </bottom>
      <diagonal/>
    </border>
    <border>
      <left/>
      <right/>
      <top style="thin">
        <color rgb="FFF2994A"/>
      </top>
      <bottom style="thin">
        <color rgb="FFF2994A"/>
      </bottom>
      <diagonal/>
    </border>
    <border>
      <left style="thin">
        <color rgb="FF272525"/>
      </left>
      <right/>
      <top style="thin">
        <color rgb="FF272525"/>
      </top>
      <bottom style="thin">
        <color rgb="FF272525"/>
      </bottom>
      <diagonal/>
    </border>
    <border>
      <left/>
      <right style="thin">
        <color rgb="FF272525"/>
      </right>
      <top style="thin">
        <color rgb="FF272525"/>
      </top>
      <bottom style="thin">
        <color rgb="FF272525"/>
      </bottom>
      <diagonal/>
    </border>
    <border>
      <left style="thin">
        <color rgb="FF272525"/>
      </left>
      <right/>
      <top style="thin">
        <color rgb="FF272525"/>
      </top>
      <bottom/>
      <diagonal/>
    </border>
    <border>
      <left/>
      <right style="thin">
        <color rgb="FF272525"/>
      </right>
      <top style="thin">
        <color rgb="FF272525"/>
      </top>
      <bottom/>
      <diagonal/>
    </border>
    <border>
      <left style="thin">
        <color rgb="FF272525"/>
      </left>
      <right/>
      <top/>
      <bottom style="thin">
        <color rgb="FF272525"/>
      </bottom>
      <diagonal/>
    </border>
    <border>
      <left/>
      <right style="thin">
        <color rgb="FF272525"/>
      </right>
      <top/>
      <bottom style="thin">
        <color rgb="FF272525"/>
      </bottom>
      <diagonal/>
    </border>
    <border>
      <left style="thin">
        <color rgb="FF272525"/>
      </left>
      <right style="thin">
        <color rgb="FFF9D764"/>
      </right>
      <top style="thin">
        <color rgb="FF272525"/>
      </top>
      <bottom/>
      <diagonal/>
    </border>
    <border>
      <left style="thin">
        <color rgb="FFF2994A"/>
      </left>
      <right style="thin">
        <color rgb="FF272525"/>
      </right>
      <top style="thin">
        <color rgb="FF272525"/>
      </top>
      <bottom style="thin">
        <color rgb="FFF2994A"/>
      </bottom>
      <diagonal/>
    </border>
    <border>
      <left style="thin">
        <color rgb="FF272525"/>
      </left>
      <right style="thin">
        <color rgb="FFF9D764"/>
      </right>
      <top/>
      <bottom/>
      <diagonal/>
    </border>
    <border>
      <left style="thin">
        <color rgb="FFF2994A"/>
      </left>
      <right style="thin">
        <color rgb="FF272525"/>
      </right>
      <top style="thin">
        <color rgb="FFF2994A"/>
      </top>
      <bottom style="thin">
        <color rgb="FFF2994A"/>
      </bottom>
      <diagonal/>
    </border>
    <border>
      <left style="thin">
        <color rgb="FF272525"/>
      </left>
      <right/>
      <top/>
      <bottom/>
      <diagonal/>
    </border>
    <border>
      <left/>
      <right style="thin">
        <color rgb="FF272525"/>
      </right>
      <top style="thin">
        <color rgb="FFF2994A"/>
      </top>
      <bottom style="thin">
        <color rgb="FFF2994A"/>
      </bottom>
      <diagonal/>
    </border>
    <border>
      <left style="thin">
        <color rgb="FF272525"/>
      </left>
      <right style="thin">
        <color rgb="FFF9D764"/>
      </right>
      <top/>
      <bottom style="thin">
        <color rgb="FF272525"/>
      </bottom>
      <diagonal/>
    </border>
    <border>
      <left style="thin">
        <color rgb="FFF2994A"/>
      </left>
      <right style="thin">
        <color rgb="FF272525"/>
      </right>
      <top style="thin">
        <color rgb="FFF2994A"/>
      </top>
      <bottom style="thin">
        <color rgb="FF272525"/>
      </bottom>
      <diagonal/>
    </border>
    <border>
      <left/>
      <right style="thin">
        <color rgb="FFF2994A"/>
      </right>
      <top/>
      <bottom/>
      <diagonal/>
    </border>
  </borders>
  <cellStyleXfs count="1">
    <xf borderId="0" fillId="0" fontId="0" numFmtId="0" applyAlignment="1" applyFont="1" applyFill="1"/>
  </cellStyleXfs>
  <cellXfs count="186">
    <xf xfId="0" borderId="0" fillId="0" fontId="0" numFmtId="0"/>
    <xf xfId="0" borderId="0" fillId="0" fontId="0" numFmtId="45"/>
    <xf xfId="0" borderId="0" fillId="0" fontId="0" numFmtId="46"/>
    <xf xfId="0" borderId="0" fillId="0" fontId="0" numFmtId="10"/>
    <xf xfId="0" borderId="0" fillId="0" fontId="0" numFmtId="47"/>
    <xf xfId="0" borderId="0" fillId="0" fontId="0" numFmtId="48"/>
    <xf xfId="0" borderId="0" fillId="0" fontId="0" numFmtId="49"/>
    <xf xfId="0" borderId="0" fillId="0" fontId="1" numFmtId="49"/>
    <xf xfId="0" borderId="0" fillId="0" fontId="0" numFmtId="50"/>
    <xf xfId="0" borderId="0" fillId="0" fontId="0" numFmtId="51"/>
    <xf xfId="0" borderId="0" fillId="0" fontId="0" numFmtId="52"/>
    <xf xfId="0" borderId="0" fillId="0" fontId="0" numFmtId="53"/>
    <xf xfId="0" borderId="0" fillId="0" fontId="0" numFmtId="54"/>
    <xf xfId="0" borderId="0" fillId="0" fontId="0" numFmtId="0">
      <alignment wrapText="1"/>
    </xf>
    <xf xfId="0" borderId="0" fillId="0" fontId="0" numFmtId="55"/>
    <xf xfId="0" borderId="0" fillId="0" fontId="0" numFmtId="56"/>
    <xf xfId="0" borderId="0" fillId="0" fontId="0" numFmtId="57"/>
    <xf xfId="0" borderId="0" fillId="0" fontId="0" numFmtId="58"/>
    <xf xfId="0" borderId="0" fillId="0" fontId="0" numFmtId="59"/>
    <xf xfId="0" borderId="0" fillId="0" fontId="2" numFmtId="0"/>
    <xf xfId="0" borderId="0" fillId="0" fontId="0" numFmtId="60"/>
    <xf xfId="0" borderId="0" fillId="0" fontId="0" numFmtId="61"/>
    <xf xfId="0" borderId="0" fillId="0" fontId="0" numFmtId="62"/>
    <xf xfId="0" borderId="0" fillId="0" fontId="0" numFmtId="63"/>
    <xf xfId="0" borderId="0" fillId="0" fontId="0" numFmtId="0">
      <alignment horizontal="left"/>
    </xf>
    <xf xfId="0" borderId="0" fillId="0" fontId="0" numFmtId="62">
      <alignment horizontal="left"/>
    </xf>
    <xf xfId="0" borderId="0" fillId="0" fontId="1" numFmtId="0"/>
    <xf xfId="0" borderId="0" fillId="0" fontId="3" numFmtId="0"/>
    <xf xfId="0" borderId="0" fillId="0" fontId="4" numFmtId="0"/>
    <xf xfId="0" borderId="0" fillId="0" fontId="5" numFmtId="0"/>
    <xf xfId="0" borderId="0" fillId="0" fontId="6" numFmtId="0"/>
    <xf xfId="0" borderId="0" fillId="0" fontId="7" numFmtId="0"/>
    <xf xfId="0" borderId="0" fillId="0" fontId="8" numFmtId="0">
      <alignment wrapText="1"/>
    </xf>
    <xf xfId="0" borderId="0" fillId="0" fontId="9" numFmtId="0">
      <alignment wrapText="1"/>
    </xf>
    <xf xfId="0" borderId="0" fillId="0" fontId="10" numFmtId="0">
      <alignment wrapText="1"/>
    </xf>
    <xf xfId="0" borderId="0" fillId="0" fontId="11" numFmtId="0"/>
    <xf xfId="0" borderId="0" fillId="0" fontId="12" numFmtId="0"/>
    <xf xfId="0" borderId="0" fillId="0" fontId="13" numFmtId="0"/>
    <xf xfId="0" borderId="0" fillId="0" fontId="14" numFmtId="0"/>
    <xf xfId="0" borderId="0" fillId="0" fontId="15" numFmtId="0"/>
    <xf xfId="0" borderId="0" fillId="0" fontId="16" numFmtId="0"/>
    <xf xfId="0" borderId="1" fillId="0" fontId="0" numFmtId="0"/>
    <xf xfId="0" borderId="2" fillId="0" fontId="0" numFmtId="55"/>
    <xf xfId="0" borderId="2" fillId="0" fontId="0" numFmtId="49"/>
    <xf xfId="0" borderId="2" fillId="0" fontId="0" numFmtId="0"/>
    <xf xfId="0" borderId="0" fillId="2" fontId="0" numFmtId="55"/>
    <xf xfId="0" borderId="0" fillId="2" fontId="0" numFmtId="49"/>
    <xf xfId="0" borderId="0" fillId="2" fontId="0" numFmtId="0"/>
    <xf xfId="0" borderId="3" fillId="2" fontId="0" numFmtId="55"/>
    <xf xfId="0" borderId="3" fillId="2" fontId="0" numFmtId="49"/>
    <xf xfId="0" borderId="3" fillId="2" fontId="0" numFmtId="0"/>
    <xf xfId="0" borderId="0" fillId="0" fontId="8" numFmtId="48"/>
    <xf xfId="0" borderId="0" fillId="0" fontId="8" numFmtId="0"/>
    <xf xfId="0" borderId="0" fillId="0" fontId="17" numFmtId="48"/>
    <xf xfId="0" borderId="0" fillId="0" fontId="17" numFmtId="0"/>
    <xf xfId="0" borderId="4" fillId="2" fontId="0" numFmtId="51"/>
    <xf xfId="0" borderId="2" fillId="2" fontId="0" numFmtId="51"/>
    <xf xfId="0" borderId="3" fillId="2" fontId="0" numFmtId="51"/>
    <xf xfId="0" borderId="3" fillId="2" fontId="0" numFmtId="10"/>
    <xf xfId="0" borderId="4" fillId="2" fontId="0" numFmtId="0"/>
    <xf xfId="0" borderId="2" fillId="2" fontId="0" numFmtId="0"/>
    <xf xfId="0" borderId="4" fillId="2" fontId="0" numFmtId="64"/>
    <xf xfId="0" borderId="0" fillId="0" fontId="11" numFmtId="58"/>
    <xf xfId="0" borderId="0" fillId="0" fontId="12" numFmtId="58"/>
    <xf xfId="0" borderId="0" fillId="0" fontId="13" numFmtId="58"/>
    <xf xfId="0" borderId="0" fillId="0" fontId="14" numFmtId="58"/>
    <xf xfId="0" borderId="0" fillId="0" fontId="15" numFmtId="58"/>
    <xf xfId="0" borderId="3" fillId="2" fontId="0" numFmtId="65"/>
    <xf xfId="0" borderId="3" fillId="3" fontId="0" numFmtId="55"/>
    <xf xfId="0" borderId="0" fillId="3" fontId="0" numFmtId="55"/>
    <xf xfId="0" borderId="0" fillId="0" fontId="0" numFmtId="60">
      <alignment horizontal="left"/>
    </xf>
    <xf xfId="0" borderId="0" fillId="0" fontId="0" numFmtId="66"/>
    <xf xfId="0" borderId="0" fillId="0" fontId="0" numFmtId="67"/>
    <xf xfId="0" borderId="0" fillId="0" fontId="0" numFmtId="66">
      <alignment horizontal="left"/>
    </xf>
    <xf xfId="0" borderId="0" fillId="0" fontId="0" numFmtId="68"/>
    <xf xfId="0" borderId="0" fillId="0" fontId="0" numFmtId="68">
      <alignment horizontal="left"/>
    </xf>
    <xf xfId="0" borderId="3" fillId="2" fontId="0" numFmtId="55">
      <alignment vertical="center"/>
    </xf>
    <xf xfId="0" borderId="4" fillId="3" fontId="0" numFmtId="55">
      <alignment vertical="center"/>
    </xf>
    <xf xfId="0" borderId="3" fillId="2" fontId="0" numFmtId="0">
      <alignment vertical="center"/>
    </xf>
    <xf xfId="0" borderId="3" fillId="2" fontId="0" numFmtId="51">
      <alignment vertical="center"/>
    </xf>
    <xf xfId="0" borderId="5" fillId="0" fontId="0" numFmtId="0">
      <alignment vertical="center"/>
    </xf>
    <xf xfId="0" borderId="6" fillId="0" fontId="0" numFmtId="0">
      <alignment vertical="center"/>
    </xf>
    <xf xfId="0" borderId="0" fillId="0" fontId="17" numFmtId="48">
      <alignment vertical="center"/>
    </xf>
    <xf xfId="0" borderId="6" fillId="0" fontId="0" numFmtId="48">
      <alignment vertical="center"/>
    </xf>
    <xf xfId="0" borderId="0" fillId="0" fontId="17" numFmtId="0">
      <alignment vertical="center"/>
    </xf>
    <xf xfId="0" borderId="0" fillId="0" fontId="0" numFmtId="0">
      <alignment vertical="center"/>
    </xf>
    <xf xfId="0" borderId="6" fillId="0" fontId="0" numFmtId="49">
      <alignment vertical="center"/>
    </xf>
    <xf xfId="0" borderId="7" fillId="0" fontId="0" numFmtId="0">
      <alignment vertical="center"/>
    </xf>
    <xf xfId="0" borderId="0" fillId="0" fontId="7" numFmtId="0">
      <alignment vertical="center"/>
    </xf>
    <xf xfId="0" borderId="0" fillId="0" fontId="15" numFmtId="0">
      <alignment vertical="center"/>
    </xf>
    <xf xfId="0" borderId="0" fillId="0" fontId="15" numFmtId="58">
      <alignment vertical="center"/>
    </xf>
    <xf xfId="0" borderId="0" fillId="0" fontId="0" numFmtId="52">
      <alignment vertical="center"/>
    </xf>
    <xf xfId="0" borderId="0" fillId="0" fontId="0" numFmtId="58">
      <alignment vertical="center"/>
    </xf>
    <xf xfId="0" borderId="0" fillId="0" fontId="16" numFmtId="0">
      <alignment vertical="center"/>
    </xf>
    <xf xfId="0" borderId="0" fillId="0" fontId="9" numFmtId="0">
      <alignment wrapText="1" vertical="center"/>
    </xf>
    <xf xfId="0" borderId="8" fillId="0" fontId="0" numFmtId="0">
      <alignment vertical="center"/>
    </xf>
    <xf xfId="0" borderId="0" fillId="0" fontId="2" numFmtId="0">
      <alignment vertical="center"/>
    </xf>
    <xf xfId="0" borderId="0" fillId="0" fontId="2" numFmtId="0">
      <alignment horizontal="left"/>
    </xf>
    <xf xfId="0" borderId="0" fillId="0" fontId="2" numFmtId="57"/>
    <xf xfId="0" borderId="0" fillId="4" fontId="16" numFmtId="0">
      <alignment vertical="center"/>
    </xf>
    <xf xfId="0" borderId="0" fillId="4" fontId="0" numFmtId="0">
      <alignment vertical="center"/>
    </xf>
    <xf xfId="0" borderId="0" fillId="4" fontId="9" numFmtId="0">
      <alignment wrapText="1" vertical="center"/>
    </xf>
    <xf xfId="0" borderId="0" fillId="4" fontId="9" numFmtId="0">
      <alignment vertical="center"/>
    </xf>
    <xf xfId="0" borderId="0" fillId="0" fontId="18" numFmtId="0"/>
    <xf xfId="0" borderId="0" fillId="0" fontId="19" numFmtId="0"/>
    <xf xfId="0" borderId="0" fillId="0" fontId="5" numFmtId="0">
      <alignment horizontal="left"/>
    </xf>
    <xf xfId="0" borderId="0" fillId="0" fontId="6" numFmtId="0">
      <alignment horizontal="left"/>
    </xf>
    <xf xfId="0" borderId="0" fillId="0" fontId="7" numFmtId="0">
      <alignment horizontal="left"/>
    </xf>
    <xf xfId="0" borderId="0" fillId="0" fontId="15" numFmtId="0">
      <alignment horizontal="left"/>
    </xf>
    <xf xfId="0" borderId="0" fillId="0" fontId="16" numFmtId="0">
      <alignment horizontal="left"/>
    </xf>
    <xf xfId="0" borderId="0" fillId="4" fontId="8" numFmtId="0">
      <alignment wrapText="1" vertical="center"/>
    </xf>
    <xf xfId="0" borderId="0" fillId="0" fontId="9" numFmtId="0">
      <alignment horizontal="left"/>
    </xf>
    <xf xfId="0" borderId="0" fillId="0" fontId="9" numFmtId="0">
      <alignment horizontal="left" vertical="top"/>
    </xf>
    <xf xfId="0" borderId="0" fillId="4" fontId="16" numFmtId="0">
      <alignment horizontal="left"/>
    </xf>
    <xf xfId="0" borderId="0" fillId="4" fontId="0" numFmtId="0"/>
    <xf xfId="0" borderId="0" fillId="4" fontId="9" numFmtId="0">
      <alignment horizontal="left" vertical="top"/>
    </xf>
    <xf xfId="0" borderId="0" fillId="2" fontId="0" numFmtId="68"/>
    <xf xfId="0" borderId="2" fillId="2" fontId="0" numFmtId="68"/>
    <xf xfId="0" borderId="3" fillId="2" fontId="0" numFmtId="62">
      <alignment vertical="center"/>
    </xf>
    <xf xfId="0" borderId="3" fillId="2" fontId="0" numFmtId="68">
      <alignment vertical="center"/>
    </xf>
    <xf xfId="0" borderId="5" fillId="0" fontId="0" numFmtId="0">
      <alignment horizontal="left" vertical="center"/>
    </xf>
    <xf xfId="0" borderId="0" fillId="0" fontId="2" numFmtId="0">
      <alignment horizontal="left" vertical="center"/>
    </xf>
    <xf xfId="0" borderId="0" fillId="0" fontId="2" numFmtId="57">
      <alignment vertical="center"/>
    </xf>
    <xf xfId="0" borderId="0" fillId="0" fontId="0" numFmtId="62">
      <alignment horizontal="left" vertical="center"/>
    </xf>
    <xf xfId="0" borderId="0" fillId="0" fontId="0" numFmtId="57">
      <alignment vertical="center"/>
    </xf>
    <xf xfId="0" borderId="0" fillId="0" fontId="0" numFmtId="0">
      <alignment horizontal="left" vertical="center"/>
    </xf>
    <xf xfId="0" borderId="1" fillId="0" fontId="2" numFmtId="0">
      <alignment horizontal="left" vertical="center"/>
    </xf>
    <xf xfId="0" borderId="1" fillId="0" fontId="2" numFmtId="0">
      <alignment vertical="center"/>
    </xf>
    <xf xfId="0" borderId="1" fillId="0" fontId="2" numFmtId="57">
      <alignment vertical="center"/>
    </xf>
    <xf xfId="0" borderId="9" fillId="0" fontId="0" numFmtId="62">
      <alignment horizontal="left" vertical="center"/>
    </xf>
    <xf xfId="0" borderId="9" fillId="0" fontId="0" numFmtId="57">
      <alignment vertical="center"/>
    </xf>
    <xf xfId="0" borderId="10" fillId="0" fontId="0" numFmtId="62">
      <alignment horizontal="left" vertical="center"/>
    </xf>
    <xf xfId="0" borderId="10" fillId="0" fontId="0" numFmtId="57">
      <alignment vertical="center"/>
    </xf>
    <xf xfId="0" borderId="9" fillId="0" fontId="0" numFmtId="62"/>
    <xf xfId="0" borderId="9" fillId="0" fontId="0" numFmtId="62">
      <alignment horizontal="left"/>
    </xf>
    <xf xfId="0" borderId="9" fillId="0" fontId="0" numFmtId="57">
      <alignment horizontal="left" vertical="center"/>
    </xf>
    <xf xfId="0" borderId="1" fillId="0" fontId="2" numFmtId="0">
      <alignment horizontal="right" vertical="center"/>
    </xf>
    <xf xfId="0" borderId="1" fillId="0" fontId="2" numFmtId="57">
      <alignment horizontal="right" vertical="center"/>
    </xf>
    <xf xfId="0" borderId="3" fillId="5" fontId="0" numFmtId="55">
      <alignment vertical="center"/>
    </xf>
    <xf xfId="0" borderId="11" fillId="5" fontId="0" numFmtId="55">
      <alignment vertical="center"/>
    </xf>
    <xf xfId="0" borderId="12" fillId="5" fontId="0" numFmtId="55">
      <alignment vertical="center"/>
    </xf>
    <xf xfId="0" borderId="13" fillId="5" fontId="0" numFmtId="55">
      <alignment vertical="center"/>
    </xf>
    <xf xfId="0" borderId="3" fillId="5" fontId="0" numFmtId="0">
      <alignment vertical="center"/>
    </xf>
    <xf xfId="0" borderId="3" fillId="5" fontId="0" numFmtId="51">
      <alignment vertical="center"/>
    </xf>
    <xf xfId="0" borderId="2" fillId="5" fontId="0" numFmtId="0">
      <alignment vertical="center"/>
    </xf>
    <xf xfId="0" borderId="2" fillId="5" fontId="0" numFmtId="51">
      <alignment vertical="center"/>
    </xf>
    <xf xfId="0" borderId="13" fillId="5" fontId="0" numFmtId="0">
      <alignment vertical="center"/>
    </xf>
    <xf xfId="0" borderId="13" fillId="5" fontId="0" numFmtId="51">
      <alignment vertical="center"/>
    </xf>
    <xf xfId="0" borderId="3" fillId="5" fontId="0" numFmtId="68">
      <alignment vertical="center"/>
    </xf>
    <xf xfId="0" borderId="13" fillId="5" fontId="0" numFmtId="68">
      <alignment vertical="center"/>
    </xf>
    <xf xfId="0" borderId="14" fillId="5" fontId="0" numFmtId="55">
      <alignment vertical="center"/>
    </xf>
    <xf xfId="0" borderId="0" fillId="4" fontId="15" numFmtId="58">
      <alignment vertical="center"/>
    </xf>
    <xf xfId="0" borderId="0" fillId="4" fontId="0" numFmtId="58">
      <alignment vertical="center"/>
    </xf>
    <xf xfId="0" borderId="15" fillId="0" fontId="15" numFmtId="0">
      <alignment vertical="center"/>
    </xf>
    <xf xfId="0" borderId="16" fillId="4" fontId="15" numFmtId="58">
      <alignment vertical="center"/>
    </xf>
    <xf xfId="0" borderId="17" fillId="0" fontId="0" numFmtId="0">
      <alignment vertical="center"/>
    </xf>
    <xf xfId="0" borderId="18" fillId="4" fontId="0" numFmtId="58">
      <alignment vertical="center"/>
    </xf>
    <xf xfId="0" borderId="19" fillId="0" fontId="0" numFmtId="0">
      <alignment vertical="center"/>
    </xf>
    <xf xfId="0" borderId="20" fillId="4" fontId="0" numFmtId="58">
      <alignment vertical="center"/>
    </xf>
    <xf xfId="0" borderId="21" fillId="0" fontId="0" numFmtId="0">
      <alignment vertical="center"/>
    </xf>
    <xf xfId="0" borderId="22" fillId="5" fontId="0" numFmtId="55">
      <alignment vertical="center"/>
    </xf>
    <xf xfId="0" borderId="23" fillId="0" fontId="0" numFmtId="0">
      <alignment vertical="center"/>
    </xf>
    <xf xfId="0" borderId="24" fillId="5" fontId="0" numFmtId="55">
      <alignment vertical="center"/>
    </xf>
    <xf xfId="0" borderId="25" fillId="0" fontId="0" numFmtId="0">
      <alignment vertical="center"/>
    </xf>
    <xf xfId="0" borderId="26" fillId="5" fontId="0" numFmtId="55">
      <alignment vertical="center"/>
    </xf>
    <xf xfId="0" borderId="24" fillId="5" fontId="0" numFmtId="0">
      <alignment vertical="center"/>
    </xf>
    <xf xfId="0" borderId="27" fillId="0" fontId="0" numFmtId="0">
      <alignment vertical="center"/>
    </xf>
    <xf xfId="0" borderId="28" fillId="5" fontId="0" numFmtId="51">
      <alignment vertical="center"/>
    </xf>
    <xf xfId="0" borderId="16" fillId="4" fontId="15" numFmtId="55">
      <alignment vertical="center"/>
    </xf>
    <xf xfId="0" borderId="16" fillId="4" fontId="15" numFmtId="57">
      <alignment vertical="center"/>
    </xf>
    <xf xfId="0" borderId="18" fillId="4" fontId="0" numFmtId="57">
      <alignment vertical="center"/>
    </xf>
    <xf xfId="0" borderId="20" fillId="4" fontId="0" numFmtId="57">
      <alignment vertical="center"/>
    </xf>
    <xf xfId="0" borderId="0" fillId="4" fontId="16" numFmtId="0">
      <alignment horizontal="left" vertical="center"/>
    </xf>
    <xf xfId="0" borderId="9" fillId="4" fontId="0" numFmtId="62">
      <alignment horizontal="left" vertical="center"/>
    </xf>
    <xf xfId="0" borderId="9" fillId="4" fontId="0" numFmtId="57">
      <alignment vertical="center"/>
    </xf>
    <xf xfId="0" borderId="9" fillId="6" fontId="0" numFmtId="62">
      <alignment horizontal="left" vertical="center"/>
    </xf>
    <xf xfId="0" borderId="9" fillId="6" fontId="0" numFmtId="57">
      <alignment vertical="center"/>
    </xf>
    <xf xfId="0" borderId="9" fillId="7" fontId="0" numFmtId="62">
      <alignment horizontal="left" vertical="center"/>
    </xf>
    <xf xfId="0" borderId="9" fillId="7" fontId="0" numFmtId="57">
      <alignment vertical="center"/>
    </xf>
    <xf xfId="0" borderId="29" fillId="0" fontId="2" numFmtId="0">
      <alignment horizontal="left" vertical="center"/>
    </xf>
    <xf xfId="0" borderId="29" fillId="0" fontId="2" numFmtId="0">
      <alignment vertical="center"/>
    </xf>
    <xf xfId="0" borderId="17" fillId="0" fontId="2" numFmtId="0">
      <alignment vertical="center"/>
    </xf>
    <xf xfId="0" borderId="19" fillId="0" fontId="2" numFmtId="0">
      <alignment vertical="center"/>
    </xf>
    <xf xfId="0" borderId="0" fillId="0" fontId="20" numFmtId="48">
      <alignment vertical="center"/>
    </xf>
    <xf xfId="0" borderId="0" fillId="0" fontId="20" numFmtId="0">
      <alignment vertical="center"/>
    </xf>
    <xf xfId="0" borderId="0" fillId="0" fontId="1" numFmtId="0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showGridLines="0" tabSelected="1">
      <selection activeCell="F3" sqref="F3"/>
    </sheetView>
  </sheetViews>
  <cols>
    <col min="1" max="1" width="2.125" customWidth="1"/>
    <col min="2" max="2" width="28.166666666666668" customWidth="1"/>
    <col min="3" max="3" width="8.875" customWidth="1"/>
    <col min="4" max="4" width="1.7083333333333333" customWidth="1"/>
    <col min="5" max="5" width="12.208333333333334" customWidth="1"/>
  </cols>
  <sheetData>
    <row r="1" s="0" ht="13" customHeight="1" customFormat="0">
      <c r="A1"/>
      <c r="B1" t="s" s="85">
        <v>6</v>
      </c>
      <c r="C1" t="s" s="85">
        <v>6</v>
      </c>
      <c r="D1" t="s" s="85">
        <v>6</v>
      </c>
      <c r="E1" t="s" s="85">
        <v>6</v>
      </c>
    </row>
    <row r="2" s="0" ht="20.5" customHeight="1" customFormat="0">
      <c r="A2" s="104"/>
      <c r="B2" t="s" s="99">
        <v>95</v>
      </c>
      <c r="C2" s="100"/>
      <c r="D2" t="s" s="85">
        <v>6</v>
      </c>
      <c r="E2" t="s" s="85">
        <v>6</v>
      </c>
    </row>
    <row r="3" s="0" ht="35" customHeight="1" customFormat="0">
      <c r="A3" t="s">
        <v>6</v>
      </c>
      <c r="B3" t="s" s="101">
        <v>72</v>
      </c>
      <c r="C3" t="s" s="100">
        <v>6</v>
      </c>
      <c r="D3" t="s" s="85">
        <v>6</v>
      </c>
      <c r="E3" t="s" s="85">
        <v>6</v>
      </c>
    </row>
    <row r="4">
      <c r="A4" t="s">
        <v>6</v>
      </c>
      <c r="B4" t="s" s="88">
        <v>6</v>
      </c>
      <c r="C4" t="s" s="95">
        <v>6</v>
      </c>
      <c r="D4" t="s" s="85">
        <v>6</v>
      </c>
      <c r="E4" t="s" s="85">
        <v>6</v>
      </c>
    </row>
    <row r="5">
      <c r="A5" t="s">
        <v>6</v>
      </c>
      <c r="B5" t="s" s="180">
        <v>1</v>
      </c>
      <c r="C5" s="141">
        <v>400000</v>
      </c>
      <c r="D5" t="s" s="85">
        <v>6</v>
      </c>
      <c r="E5" t="s" s="85">
        <v>6</v>
      </c>
    </row>
    <row r="6">
      <c r="A6" t="s">
        <v>6</v>
      </c>
      <c r="B6" t="s" s="180">
        <v>65</v>
      </c>
      <c r="C6" s="141">
        <v>150000</v>
      </c>
      <c r="D6" t="s" s="83">
        <v>6</v>
      </c>
      <c r="E6" t="str" s="184">
        <f>TEXT(C6/C5,"0.00%")&amp;" of total price"</f>
        <v>37.50% of total price</v>
      </c>
      <c r="F6" t="s">
        <v>6</v>
      </c>
    </row>
    <row r="7">
      <c r="B7" t="s" s="96">
        <v>3</v>
      </c>
      <c r="C7" s="150">
        <f>HomePrice-Downpayment</f>
        <v>250000</v>
      </c>
      <c r="D7" t="s" s="85">
        <v>6</v>
      </c>
      <c r="E7" t="s" s="185">
        <v>6</v>
      </c>
      <c r="F7" t="s">
        <v>6</v>
      </c>
    </row>
    <row r="8">
      <c r="A8" t="s">
        <v>6</v>
      </c>
      <c r="B8" t="s" s="180">
        <v>96</v>
      </c>
      <c r="C8" s="146">
        <v>2.55</v>
      </c>
      <c r="D8" t="s" s="86">
        <v>6</v>
      </c>
      <c r="E8" t="str" s="184">
        <f>TEXT(C8/12,"0.00%")&amp;" monthly rate"</f>
        <v>21.25% monthly rate</v>
      </c>
    </row>
    <row r="9">
      <c r="A9" t="s">
        <v>6</v>
      </c>
      <c r="B9" t="s" s="180">
        <v>7</v>
      </c>
      <c r="C9" s="147">
        <v>12</v>
      </c>
      <c r="D9" t="s" s="86">
        <v>6</v>
      </c>
      <c r="E9" t="s" s="84">
        <v>6</v>
      </c>
      <c r="F9" t="s">
        <v>6</v>
      </c>
    </row>
    <row r="10">
      <c r="A10" t="s">
        <v>6</v>
      </c>
      <c r="B10" t="s" s="85">
        <v>6</v>
      </c>
      <c r="C10" t="s" s="87">
        <v>6</v>
      </c>
      <c r="D10" t="s" s="85">
        <v>6</v>
      </c>
      <c r="E10" t="s" s="85">
        <v>6</v>
      </c>
    </row>
    <row r="11" s="0" ht="26.5" customHeight="1" customFormat="0">
      <c r="A11" t="s">
        <v>6</v>
      </c>
      <c r="B11" t="s" s="153">
        <v>10</v>
      </c>
      <c r="C11" s="169">
        <f>PMT(InterestRate/100/12,LoanPeriod*12,-LoanAmount)</f>
        <v>2017.0915511035114</v>
      </c>
      <c r="D11" t="s" s="85">
        <v>6</v>
      </c>
      <c r="E11" t="s" s="85">
        <v>6</v>
      </c>
    </row>
    <row r="12" s="0" ht="8" customHeight="1" customFormat="0">
      <c r="A12" t="s">
        <v>6</v>
      </c>
      <c r="B12" t="s" s="85">
        <v>6</v>
      </c>
      <c r="C12" t="s" s="91">
        <v>6</v>
      </c>
      <c r="D12" t="s" s="85">
        <v>6</v>
      </c>
      <c r="E12" t="s" s="85">
        <v>6</v>
      </c>
    </row>
    <row r="13">
      <c r="A13" t="s">
        <v>6</v>
      </c>
      <c r="B13" t="s" s="181">
        <v>64</v>
      </c>
      <c r="C13" s="170">
        <f>MonthlyPayment*LoanPeriod*12</f>
        <v>290461.18335890566</v>
      </c>
      <c r="D13" t="s" s="85">
        <v>6</v>
      </c>
      <c r="E13" t="s" s="85">
        <v>6</v>
      </c>
    </row>
    <row r="14">
      <c r="A14" t="s">
        <v>6</v>
      </c>
      <c r="B14" t="s" s="182">
        <v>16</v>
      </c>
      <c r="C14" s="171">
        <f>C13-LoanAmount</f>
        <v>40461.18335890566</v>
      </c>
      <c r="D14" t="s" s="85">
        <v>6</v>
      </c>
      <c r="E14" t="s" s="85">
        <v>6</v>
      </c>
    </row>
    <row r="15">
      <c r="A15" t="s">
        <v>6</v>
      </c>
      <c r="B15" t="s" s="85">
        <v>6</v>
      </c>
      <c r="C15" t="s" s="85">
        <v>6</v>
      </c>
      <c r="D15" t="s" s="85">
        <v>6</v>
      </c>
      <c r="E15" t="s" s="85">
        <v>6</v>
      </c>
    </row>
    <row r="16">
      <c r="A16" t="s">
        <v>6</v>
      </c>
      <c r="B16" t="s" s="96">
        <v>6</v>
      </c>
      <c r="C16" t="s" s="85">
        <v>6</v>
      </c>
      <c r="D16" t="s" s="85">
        <v>6</v>
      </c>
      <c r="E16" t="s" s="85">
        <v>6</v>
      </c>
    </row>
    <row r="17">
      <c r="A17" t="s">
        <v>6</v>
      </c>
      <c r="B17" t="s">
        <v>6</v>
      </c>
      <c r="C17" t="s" s="16">
        <v>6</v>
      </c>
      <c r="D17" t="s">
        <v>6</v>
      </c>
      <c r="E17" t="s">
        <v>6</v>
      </c>
    </row>
    <row r="18">
      <c r="A18" t="s">
        <v>6</v>
      </c>
      <c r="B18" t="s">
        <v>6</v>
      </c>
      <c r="C18" t="s" s="16">
        <v>6</v>
      </c>
      <c r="D18" t="s">
        <v>6</v>
      </c>
      <c r="E18" t="s">
        <v>6</v>
      </c>
    </row>
    <row r="19">
      <c r="A19" t="s">
        <v>6</v>
      </c>
      <c r="B19" t="s">
        <v>6</v>
      </c>
      <c r="C19" t="s" s="16">
        <v>6</v>
      </c>
      <c r="D19" t="s">
        <v>6</v>
      </c>
      <c r="E19" t="s">
        <v>6</v>
      </c>
    </row>
    <row r="20">
      <c r="A20" t="s">
        <v>6</v>
      </c>
      <c r="B20" t="s">
        <v>6</v>
      </c>
      <c r="C20" t="s" s="16">
        <v>6</v>
      </c>
      <c r="D20" t="s">
        <v>6</v>
      </c>
      <c r="E20" t="s">
        <v>6</v>
      </c>
    </row>
    <row r="21">
      <c r="A21" t="s">
        <v>6</v>
      </c>
      <c r="B21" t="s">
        <v>6</v>
      </c>
      <c r="C21" t="s" s="16">
        <v>6</v>
      </c>
      <c r="D21" t="s">
        <v>6</v>
      </c>
      <c r="E21" t="s">
        <v>6</v>
      </c>
    </row>
    <row r="22">
      <c r="A22" t="s">
        <v>6</v>
      </c>
      <c r="B22" t="s">
        <v>6</v>
      </c>
      <c r="C22" t="s">
        <v>6</v>
      </c>
      <c r="D22" t="s">
        <v>6</v>
      </c>
      <c r="E22" t="s">
        <v>6</v>
      </c>
    </row>
    <row r="23"/>
    <row r="24"/>
    <row r="25"/>
    <row r="26"/>
    <row r="27"/>
    <row r="28"/>
    <row r="29"/>
    <row r="30"/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217"/>
  <sheetViews>
    <sheetView workbookViewId="0" showGridLines="0">
      <selection activeCell="H6" sqref="H6"/>
    </sheetView>
  </sheetViews>
  <cols>
    <col min="1" max="1" width="2.125" customWidth="1"/>
  </cols>
  <sheetData>
    <row r="1" s="0" ht="12.25" customHeight="1" customFormat="0">
      <c r="A1" t="s">
        <v>6</v>
      </c>
      <c r="B1" t="s" s="24">
        <v>6</v>
      </c>
      <c r="C1" t="s" s="74">
        <v>6</v>
      </c>
      <c r="D1" t="s" s="20">
        <v>6</v>
      </c>
      <c r="E1" t="s">
        <v>6</v>
      </c>
      <c r="F1" t="s">
        <v>6</v>
      </c>
      <c r="G1" t="s">
        <v>6</v>
      </c>
    </row>
    <row r="2" s="0" ht="20.75" customHeight="1" customFormat="0">
      <c r="A2" t="s">
        <v>6</v>
      </c>
      <c r="B2" t="s" s="172">
        <v>88</v>
      </c>
      <c r="C2" t="s" s="114">
        <v>6</v>
      </c>
      <c r="D2" t="s" s="114">
        <v>6</v>
      </c>
      <c r="E2" t="s" s="114">
        <v>6</v>
      </c>
      <c r="F2" t="s" s="114">
        <v>6</v>
      </c>
      <c r="G2" t="s" s="114">
        <v>6</v>
      </c>
    </row>
    <row r="3" s="0" ht="34.75" customHeight="1" customFormat="0">
      <c r="A3" t="s">
        <v>6</v>
      </c>
      <c r="B3" t="s" s="115">
        <v>89</v>
      </c>
      <c r="C3" t="s" s="114">
        <v>6</v>
      </c>
      <c r="D3" t="s" s="114">
        <v>6</v>
      </c>
      <c r="E3" t="s" s="114">
        <v>6</v>
      </c>
      <c r="F3" t="s" s="114">
        <v>6</v>
      </c>
      <c r="G3" t="s" s="114">
        <v>6</v>
      </c>
    </row>
    <row r="4">
      <c r="A4" t="s">
        <v>6</v>
      </c>
      <c r="B4" t="s" s="24">
        <v>6</v>
      </c>
      <c r="C4" t="s">
        <v>6</v>
      </c>
      <c r="D4" t="s">
        <v>6</v>
      </c>
      <c r="E4" t="s">
        <v>6</v>
      </c>
      <c r="F4" t="s">
        <v>6</v>
      </c>
      <c r="G4" t="s">
        <v>6</v>
      </c>
    </row>
    <row r="5">
      <c r="A5" t="s">
        <v>6</v>
      </c>
      <c r="B5" t="s" s="179">
        <v>81</v>
      </c>
      <c r="C5" s="149">
        <v>46023</v>
      </c>
      <c r="D5" t="s">
        <v>6</v>
      </c>
      <c r="E5" t="s">
        <v>6</v>
      </c>
      <c r="F5" t="s">
        <v>6</v>
      </c>
      <c r="G5" t="s">
        <v>6</v>
      </c>
    </row>
    <row r="6">
      <c r="A6" t="s">
        <v>6</v>
      </c>
      <c r="B6" t="s" s="24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</row>
    <row r="7">
      <c r="A7" t="s">
        <v>6</v>
      </c>
      <c r="B7" t="s" s="126">
        <v>21</v>
      </c>
      <c r="C7" t="s" s="136">
        <v>90</v>
      </c>
      <c r="D7" t="s" s="136">
        <v>26</v>
      </c>
      <c r="E7" t="s" s="137">
        <v>27</v>
      </c>
      <c r="F7" t="s" s="136">
        <v>28</v>
      </c>
      <c r="G7" t="s" s="136">
        <v>92</v>
      </c>
    </row>
    <row r="8">
      <c r="A8" t="s">
        <v>6</v>
      </c>
      <c r="B8" s="129">
        <f>C5</f>
        <v>46023</v>
      </c>
      <c r="C8" s="130">
        <f>LoanAmount</f>
        <v>250000</v>
      </c>
      <c r="D8" s="130">
        <f>MonthlyPayment</f>
        <v>2017.0915511035114</v>
      </c>
      <c r="E8" s="130">
        <f>C8*InterestRate/100/12</f>
        <v>531.25</v>
      </c>
      <c r="F8" s="130">
        <f>D8-E8</f>
        <v>1485.8415511035114</v>
      </c>
      <c r="G8" s="130">
        <f>C8-F8</f>
        <v>248514.1584488965</v>
      </c>
    </row>
    <row r="9">
      <c r="A9" t="s">
        <v>6</v>
      </c>
      <c r="B9" s="129">
        <f>IF(ROW(B9)&lt;LoanPeriod*12+ROW($B$9)-1,EDATE(B8,1)," ")</f>
        <v>46054</v>
      </c>
      <c r="C9" s="130">
        <f>IF(ROW(B9)&lt;LoanPeriod*12+ROW($B$9)-1,G8," ")</f>
        <v>248514.1584488965</v>
      </c>
      <c r="D9" s="130">
        <f>IF(ROW(C9)&lt;LoanPeriod*12+ROW($B$9)-1,MonthlyPayment," ")</f>
        <v>2017.0915511035114</v>
      </c>
      <c r="E9" s="130">
        <f>IF(ROW(C9)&lt;LoanPeriod*12+ROW($B$9)-1,C9*InterestRate/100/12," ")</f>
        <v>528.092586703905</v>
      </c>
      <c r="F9" s="130">
        <f>IF(ROW(B9)&lt;LoanPeriod*12+ROW($B$9)-1,D9-E9," ")</f>
        <v>1488.9989643996064</v>
      </c>
      <c r="G9" s="130">
        <f>IF(ROW(C9)&lt;LoanPeriod*12+ROW($B$9)-1,C9-F9," ")</f>
        <v>247025.1594844969</v>
      </c>
    </row>
    <row r="10">
      <c r="A10" t="s">
        <v>6</v>
      </c>
      <c r="B10" s="129">
        <f>IF(ROW(B10)&lt;LoanPeriod*12+ROW($B$9)-1,EDATE(B9,1)," ")</f>
        <v>46082</v>
      </c>
      <c r="C10" s="130">
        <f>IF(ROW(B10)&lt;LoanPeriod*12+ROW($B$9)-1,G9," ")</f>
        <v>247025.1594844969</v>
      </c>
      <c r="D10" s="130">
        <f>IF(ROW(C10)&lt;LoanPeriod*12+ROW($B$9)-1,MonthlyPayment," ")</f>
        <v>2017.0915511035114</v>
      </c>
      <c r="E10" s="130">
        <f>IF(ROW(C10)&lt;LoanPeriod*12+ROW($B$9)-1,C10*InterestRate/100/12," ")</f>
        <v>524.9284639045558</v>
      </c>
      <c r="F10" s="130">
        <f>IF(ROW(B10)&lt;LoanPeriod*12+ROW($B$9)-1,D10-E10," ")</f>
        <v>1492.1630871989555</v>
      </c>
      <c r="G10" s="130">
        <f>IF(ROW(C10)&lt;LoanPeriod*12+ROW($B$9)-1,C10-F10," ")</f>
        <v>245532.99639729795</v>
      </c>
    </row>
    <row r="11">
      <c r="A11" t="s">
        <v>6</v>
      </c>
      <c r="B11" s="129">
        <f>IF(ROW(B11)&lt;LoanPeriod*12+ROW($B$9)-1,EDATE(B10,1)," ")</f>
        <v>46113</v>
      </c>
      <c r="C11" s="130">
        <f>IF(ROW(B11)&lt;LoanPeriod*12+ROW($B$9)-1,G10," ")</f>
        <v>245532.99639729795</v>
      </c>
      <c r="D11" s="130">
        <f>IF(ROW(C11)&lt;LoanPeriod*12+ROW($B$9)-1,MonthlyPayment," ")</f>
        <v>2017.0915511035114</v>
      </c>
      <c r="E11" s="130">
        <f>IF(ROW(C11)&lt;LoanPeriod*12+ROW($B$9)-1,C11*InterestRate/100/12," ")</f>
        <v>521.757617344258</v>
      </c>
      <c r="F11" s="130">
        <f>IF(ROW(B11)&lt;LoanPeriod*12+ROW($B$9)-1,D11-E11," ")</f>
        <v>1495.3339337592533</v>
      </c>
      <c r="G11" s="130">
        <f>IF(ROW(C11)&lt;LoanPeriod*12+ROW($B$9)-1,C11-F11," ")</f>
        <v>244037.6624635387</v>
      </c>
    </row>
    <row r="12">
      <c r="A12" t="s">
        <v>6</v>
      </c>
      <c r="B12" s="129">
        <f>IF(ROW(B12)&lt;LoanPeriod*12+ROW($B$9)-1,EDATE(B11,1)," ")</f>
        <v>46143</v>
      </c>
      <c r="C12" s="130">
        <f>IF(ROW(B12)&lt;LoanPeriod*12+ROW($B$9)-1,G11," ")</f>
        <v>244037.6624635387</v>
      </c>
      <c r="D12" s="130">
        <f>IF(ROW(C12)&lt;LoanPeriod*12+ROW($B$9)-1,MonthlyPayment," ")</f>
        <v>2017.0915511035114</v>
      </c>
      <c r="E12" s="130">
        <f>IF(ROW(C12)&lt;LoanPeriod*12+ROW($B$9)-1,C12*InterestRate/100/12," ")</f>
        <v>518.5800327350197</v>
      </c>
      <c r="F12" s="130">
        <f>IF(ROW(B12)&lt;LoanPeriod*12+ROW($B$9)-1,D12-E12," ")</f>
        <v>1498.5115183684916</v>
      </c>
      <c r="G12" s="130">
        <f>IF(ROW(C12)&lt;LoanPeriod*12+ROW($B$9)-1,C12-F12," ")</f>
        <v>242539.1509451702</v>
      </c>
    </row>
    <row r="13">
      <c r="A13" t="s">
        <v>6</v>
      </c>
      <c r="B13" s="129">
        <f>IF(ROW(B13)&lt;LoanPeriod*12+ROW($B$9)-1,EDATE(B12,1)," ")</f>
        <v>46174</v>
      </c>
      <c r="C13" s="130">
        <f>IF(ROW(B13)&lt;LoanPeriod*12+ROW($B$9)-1,G12," ")</f>
        <v>242539.1509451702</v>
      </c>
      <c r="D13" s="130">
        <f>IF(ROW(C13)&lt;LoanPeriod*12+ROW($B$9)-1,MonthlyPayment," ")</f>
        <v>2017.0915511035114</v>
      </c>
      <c r="E13" s="130">
        <f>IF(ROW(C13)&lt;LoanPeriod*12+ROW($B$9)-1,C13*InterestRate/100/12," ")</f>
        <v>515.3956957584866</v>
      </c>
      <c r="F13" s="130">
        <f>IF(ROW(B13)&lt;LoanPeriod*12+ROW($B$9)-1,D13-E13," ")</f>
        <v>1501.695855345025</v>
      </c>
      <c r="G13" s="130">
        <f>IF(ROW(C13)&lt;LoanPeriod*12+ROW($B$9)-1,C13-F13," ")</f>
        <v>241037.45508982518</v>
      </c>
    </row>
    <row r="14">
      <c r="A14" t="s">
        <v>6</v>
      </c>
      <c r="B14" s="129">
        <f>IF(ROW(B14)&lt;LoanPeriod*12+ROW($B$9)-1,EDATE(B13,1)," ")</f>
        <v>46204</v>
      </c>
      <c r="C14" s="130">
        <f>IF(ROW(B14)&lt;LoanPeriod*12+ROW($B$9)-1,G13," ")</f>
        <v>241037.45508982518</v>
      </c>
      <c r="D14" s="130">
        <f>IF(ROW(C14)&lt;LoanPeriod*12+ROW($B$9)-1,MonthlyPayment," ")</f>
        <v>2017.0915511035114</v>
      </c>
      <c r="E14" s="130">
        <f>IF(ROW(C14)&lt;LoanPeriod*12+ROW($B$9)-1,C14*InterestRate/100/12," ")</f>
        <v>512.2045920658785</v>
      </c>
      <c r="F14" s="130">
        <f>IF(ROW(B14)&lt;LoanPeriod*12+ROW($B$9)-1,D14-E14," ")</f>
        <v>1504.886959037633</v>
      </c>
      <c r="G14" s="130">
        <f>IF(ROW(C14)&lt;LoanPeriod*12+ROW($B$9)-1,C14-F14," ")</f>
        <v>239532.56813078755</v>
      </c>
    </row>
    <row r="15">
      <c r="A15" t="s">
        <v>6</v>
      </c>
      <c r="B15" s="129">
        <f>IF(ROW(B15)&lt;LoanPeriod*12+ROW($B$9)-1,EDATE(B14,1)," ")</f>
        <v>46235</v>
      </c>
      <c r="C15" s="130">
        <f>IF(ROW(B15)&lt;LoanPeriod*12+ROW($B$9)-1,G14," ")</f>
        <v>239532.56813078755</v>
      </c>
      <c r="D15" s="130">
        <f>IF(ROW(C15)&lt;LoanPeriod*12+ROW($B$9)-1,MonthlyPayment," ")</f>
        <v>2017.0915511035114</v>
      </c>
      <c r="E15" s="130">
        <f>IF(ROW(C15)&lt;LoanPeriod*12+ROW($B$9)-1,C15*InterestRate/100/12," ")</f>
        <v>509.00670727792357</v>
      </c>
      <c r="F15" s="130">
        <f>IF(ROW(B15)&lt;LoanPeriod*12+ROW($B$9)-1,D15-E15," ")</f>
        <v>1508.0848438255878</v>
      </c>
      <c r="G15" s="130">
        <f>IF(ROW(C15)&lt;LoanPeriod*12+ROW($B$9)-1,C15-F15," ")</f>
        <v>238024.48328696197</v>
      </c>
    </row>
    <row r="16">
      <c r="A16" t="s">
        <v>6</v>
      </c>
      <c r="B16" s="129">
        <f>IF(ROW(B16)&lt;LoanPeriod*12+ROW($B$9)-1,EDATE(B15,1)," ")</f>
        <v>46266</v>
      </c>
      <c r="C16" s="130">
        <f>IF(ROW(B16)&lt;LoanPeriod*12+ROW($B$9)-1,G15," ")</f>
        <v>238024.48328696197</v>
      </c>
      <c r="D16" s="130">
        <f>IF(ROW(C16)&lt;LoanPeriod*12+ROW($B$9)-1,MonthlyPayment," ")</f>
        <v>2017.0915511035114</v>
      </c>
      <c r="E16" s="130">
        <f>IF(ROW(C16)&lt;LoanPeriod*12+ROW($B$9)-1,C16*InterestRate/100/12," ")</f>
        <v>505.80202698479417</v>
      </c>
      <c r="F16" s="130">
        <f>IF(ROW(B16)&lt;LoanPeriod*12+ROW($B$9)-1,D16-E16," ")</f>
        <v>1511.2895241187173</v>
      </c>
      <c r="G16" s="130">
        <f>IF(ROW(C16)&lt;LoanPeriod*12+ROW($B$9)-1,C16-F16," ")</f>
        <v>236513.19376284326</v>
      </c>
    </row>
    <row r="17">
      <c r="A17" t="s">
        <v>6</v>
      </c>
      <c r="B17" s="129">
        <f>IF(ROW(B17)&lt;LoanPeriod*12+ROW($B$9)-1,EDATE(B16,1)," ")</f>
        <v>46296</v>
      </c>
      <c r="C17" s="130">
        <f>IF(ROW(B17)&lt;LoanPeriod*12+ROW($B$9)-1,G16," ")</f>
        <v>236513.19376284326</v>
      </c>
      <c r="D17" s="130">
        <f>IF(ROW(C17)&lt;LoanPeriod*12+ROW($B$9)-1,MonthlyPayment," ")</f>
        <v>2017.0915511035114</v>
      </c>
      <c r="E17" s="130">
        <f>IF(ROW(C17)&lt;LoanPeriod*12+ROW($B$9)-1,C17*InterestRate/100/12," ")</f>
        <v>502.5905367460419</v>
      </c>
      <c r="F17" s="130">
        <f>IF(ROW(B17)&lt;LoanPeriod*12+ROW($B$9)-1,D17-E17," ")</f>
        <v>1514.5010143574696</v>
      </c>
      <c r="G17" s="130">
        <f>IF(ROW(C17)&lt;LoanPeriod*12+ROW($B$9)-1,C17-F17," ")</f>
        <v>234998.6927484858</v>
      </c>
    </row>
    <row r="18">
      <c r="A18" t="s">
        <v>6</v>
      </c>
      <c r="B18" s="129">
        <f>IF(ROW(B18)&lt;LoanPeriod*12+ROW($B$9)-1,EDATE(B17,1)," ")</f>
        <v>46327</v>
      </c>
      <c r="C18" s="130">
        <f>IF(ROW(B18)&lt;LoanPeriod*12+ROW($B$9)-1,G17," ")</f>
        <v>234998.6927484858</v>
      </c>
      <c r="D18" s="130">
        <f>IF(ROW(C18)&lt;LoanPeriod*12+ROW($B$9)-1,MonthlyPayment," ")</f>
        <v>2017.0915511035114</v>
      </c>
      <c r="E18" s="130">
        <f>IF(ROW(C18)&lt;LoanPeriod*12+ROW($B$9)-1,C18*InterestRate/100/12," ")</f>
        <v>499.37222209053226</v>
      </c>
      <c r="F18" s="130">
        <f>IF(ROW(B18)&lt;LoanPeriod*12+ROW($B$9)-1,D18-E18," ")</f>
        <v>1517.7193290129792</v>
      </c>
      <c r="G18" s="130">
        <f>IF(ROW(C18)&lt;LoanPeriod*12+ROW($B$9)-1,C18-F18," ")</f>
        <v>233480.97341947284</v>
      </c>
    </row>
    <row r="19">
      <c r="A19" t="s">
        <v>6</v>
      </c>
      <c r="B19" s="129">
        <f>IF(ROW(B19)&lt;LoanPeriod*12+ROW($B$9)-1,EDATE(B18,1)," ")</f>
        <v>46357</v>
      </c>
      <c r="C19" s="130">
        <f>IF(ROW(B19)&lt;LoanPeriod*12+ROW($B$9)-1,G18," ")</f>
        <v>233480.97341947284</v>
      </c>
      <c r="D19" s="130">
        <f>IF(ROW(C19)&lt;LoanPeriod*12+ROW($B$9)-1,MonthlyPayment," ")</f>
        <v>2017.0915511035114</v>
      </c>
      <c r="E19" s="130">
        <f>IF(ROW(C19)&lt;LoanPeriod*12+ROW($B$9)-1,C19*InterestRate/100/12," ")</f>
        <v>496.1470685163797</v>
      </c>
      <c r="F19" s="130">
        <f>IF(ROW(B19)&lt;LoanPeriod*12+ROW($B$9)-1,D19-E19," ")</f>
        <v>1520.9444825871317</v>
      </c>
      <c r="G19" s="130">
        <f>IF(ROW(C19)&lt;LoanPeriod*12+ROW($B$9)-1,C19-F19," ")</f>
        <v>231960.0289368857</v>
      </c>
    </row>
    <row r="20">
      <c r="A20" t="s">
        <v>6</v>
      </c>
      <c r="B20" s="129">
        <f>IF(ROW(B20)&lt;LoanPeriod*12+ROW($B$9)-1,EDATE(B19,1)," ")</f>
        <v>46388</v>
      </c>
      <c r="C20" s="130">
        <f>IF(ROW(B20)&lt;LoanPeriod*12+ROW($B$9)-1,G19," ")</f>
        <v>231960.0289368857</v>
      </c>
      <c r="D20" s="130">
        <f>IF(ROW(C20)&lt;LoanPeriod*12+ROW($B$9)-1,MonthlyPayment," ")</f>
        <v>2017.0915511035114</v>
      </c>
      <c r="E20" s="130">
        <f>IF(ROW(C20)&lt;LoanPeriod*12+ROW($B$9)-1,C20*InterestRate/100/12," ")</f>
        <v>492.9150614908821</v>
      </c>
      <c r="F20" s="130">
        <f>IF(ROW(B20)&lt;LoanPeriod*12+ROW($B$9)-1,D20-E20," ")</f>
        <v>1524.1764896126292</v>
      </c>
      <c r="G20" s="130">
        <f>IF(ROW(C20)&lt;LoanPeriod*12+ROW($B$9)-1,C20-F20," ")</f>
        <v>230435.85244727306</v>
      </c>
    </row>
    <row r="21">
      <c r="A21" t="s">
        <v>6</v>
      </c>
      <c r="B21" s="129">
        <f>IF(ROW(B21)&lt;LoanPeriod*12+ROW($B$9)-1,EDATE(B20,1)," ")</f>
        <v>46419</v>
      </c>
      <c r="C21" s="130">
        <f>IF(ROW(B21)&lt;LoanPeriod*12+ROW($B$9)-1,G20," ")</f>
        <v>230435.85244727306</v>
      </c>
      <c r="D21" s="130">
        <f>IF(ROW(C21)&lt;LoanPeriod*12+ROW($B$9)-1,MonthlyPayment," ")</f>
        <v>2017.0915511035114</v>
      </c>
      <c r="E21" s="130">
        <f>IF(ROW(C21)&lt;LoanPeriod*12+ROW($B$9)-1,C21*InterestRate/100/12," ")</f>
        <v>489.6761864504552</v>
      </c>
      <c r="F21" s="130">
        <f>IF(ROW(B21)&lt;LoanPeriod*12+ROW($B$9)-1,D21-E21," ")</f>
        <v>1527.4153646530563</v>
      </c>
      <c r="G21" s="130">
        <f>IF(ROW(C21)&lt;LoanPeriod*12+ROW($B$9)-1,C21-F21," ")</f>
        <v>228908.43708262002</v>
      </c>
    </row>
    <row r="22">
      <c r="A22" t="s">
        <v>6</v>
      </c>
      <c r="B22" s="129">
        <f>IF(ROW(B22)&lt;LoanPeriod*12+ROW($B$9)-1,EDATE(B21,1)," ")</f>
        <v>46447</v>
      </c>
      <c r="C22" s="130">
        <f>IF(ROW(B22)&lt;LoanPeriod*12+ROW($B$9)-1,G21," ")</f>
        <v>228908.43708262002</v>
      </c>
      <c r="D22" s="130">
        <f>IF(ROW(C22)&lt;LoanPeriod*12+ROW($B$9)-1,MonthlyPayment," ")</f>
        <v>2017.0915511035114</v>
      </c>
      <c r="E22" s="130">
        <f>IF(ROW(C22)&lt;LoanPeriod*12+ROW($B$9)-1,C22*InterestRate/100/12," ")</f>
        <v>486.4304288005674</v>
      </c>
      <c r="F22" s="130">
        <f>IF(ROW(B22)&lt;LoanPeriod*12+ROW($B$9)-1,D22-E22," ")</f>
        <v>1530.661122302944</v>
      </c>
      <c r="G22" s="130">
        <f>IF(ROW(C22)&lt;LoanPeriod*12+ROW($B$9)-1,C22-F22," ")</f>
        <v>227377.77596031709</v>
      </c>
    </row>
    <row r="23">
      <c r="A23" t="s">
        <v>6</v>
      </c>
      <c r="B23" s="129">
        <f>IF(ROW(B23)&lt;LoanPeriod*12+ROW($B$9)-1,EDATE(B22,1)," ")</f>
        <v>46478</v>
      </c>
      <c r="C23" s="130">
        <f>IF(ROW(B23)&lt;LoanPeriod*12+ROW($B$9)-1,G22," ")</f>
        <v>227377.77596031709</v>
      </c>
      <c r="D23" s="130">
        <f>IF(ROW(C23)&lt;LoanPeriod*12+ROW($B$9)-1,MonthlyPayment," ")</f>
        <v>2017.0915511035114</v>
      </c>
      <c r="E23" s="130">
        <f>IF(ROW(C23)&lt;LoanPeriod*12+ROW($B$9)-1,C23*InterestRate/100/12," ")</f>
        <v>483.17777391567375</v>
      </c>
      <c r="F23" s="130">
        <f>IF(ROW(B23)&lt;LoanPeriod*12+ROW($B$9)-1,D23-E23," ")</f>
        <v>1533.9137771878377</v>
      </c>
      <c r="G23" s="130">
        <f>IF(ROW(C23)&lt;LoanPeriod*12+ROW($B$9)-1,C23-F23," ")</f>
        <v>225843.86218312924</v>
      </c>
    </row>
    <row r="24">
      <c r="A24" t="s">
        <v>6</v>
      </c>
      <c r="B24" s="129">
        <f>IF(ROW(B24)&lt;LoanPeriod*12+ROW($B$9)-1,EDATE(B23,1)," ")</f>
        <v>46508</v>
      </c>
      <c r="C24" s="130">
        <f>IF(ROW(B24)&lt;LoanPeriod*12+ROW($B$9)-1,G23," ")</f>
        <v>225843.86218312924</v>
      </c>
      <c r="D24" s="130">
        <f>IF(ROW(C24)&lt;LoanPeriod*12+ROW($B$9)-1,MonthlyPayment," ")</f>
        <v>2017.0915511035114</v>
      </c>
      <c r="E24" s="130">
        <f>IF(ROW(C24)&lt;LoanPeriod*12+ROW($B$9)-1,C24*InterestRate/100/12," ")</f>
        <v>479.9182071391496</v>
      </c>
      <c r="F24" s="130">
        <f>IF(ROW(B24)&lt;LoanPeriod*12+ROW($B$9)-1,D24-E24," ")</f>
        <v>1537.1733439643617</v>
      </c>
      <c r="G24" s="130">
        <f>IF(ROW(C24)&lt;LoanPeriod*12+ROW($B$9)-1,C24-F24," ")</f>
        <v>224306.68883916488</v>
      </c>
    </row>
    <row r="25">
      <c r="A25" t="s">
        <v>6</v>
      </c>
      <c r="B25" s="129">
        <f>IF(ROW(B25)&lt;LoanPeriod*12+ROW($B$9)-1,EDATE(B24,1)," ")</f>
        <v>46539</v>
      </c>
      <c r="C25" s="130">
        <f>IF(ROW(B25)&lt;LoanPeriod*12+ROW($B$9)-1,G24," ")</f>
        <v>224306.68883916488</v>
      </c>
      <c r="D25" s="130">
        <f>IF(ROW(C25)&lt;LoanPeriod*12+ROW($B$9)-1,MonthlyPayment," ")</f>
        <v>2017.0915511035114</v>
      </c>
      <c r="E25" s="130">
        <f>IF(ROW(C25)&lt;LoanPeriod*12+ROW($B$9)-1,C25*InterestRate/100/12," ")</f>
        <v>476.6517137832254</v>
      </c>
      <c r="F25" s="130">
        <f>IF(ROW(B25)&lt;LoanPeriod*12+ROW($B$9)-1,D25-E25," ")</f>
        <v>1540.439837320286</v>
      </c>
      <c r="G25" s="130">
        <f>IF(ROW(C25)&lt;LoanPeriod*12+ROW($B$9)-1,C25-F25," ")</f>
        <v>222766.24900184458</v>
      </c>
    </row>
    <row r="26">
      <c r="A26" t="s">
        <v>6</v>
      </c>
      <c r="B26" s="129">
        <f>IF(ROW(B26)&lt;LoanPeriod*12+ROW($B$9)-1,EDATE(B25,1)," ")</f>
        <v>46569</v>
      </c>
      <c r="C26" s="130">
        <f>IF(ROW(B26)&lt;LoanPeriod*12+ROW($B$9)-1,G25," ")</f>
        <v>222766.24900184458</v>
      </c>
      <c r="D26" s="130">
        <f>IF(ROW(C26)&lt;LoanPeriod*12+ROW($B$9)-1,MonthlyPayment," ")</f>
        <v>2017.0915511035114</v>
      </c>
      <c r="E26" s="130">
        <f>IF(ROW(C26)&lt;LoanPeriod*12+ROW($B$9)-1,C26*InterestRate/100/12," ")</f>
        <v>473.37827912891976</v>
      </c>
      <c r="F26" s="130">
        <f>IF(ROW(B26)&lt;LoanPeriod*12+ROW($B$9)-1,D26-E26," ")</f>
        <v>1543.7132719745916</v>
      </c>
      <c r="G26" s="130">
        <f>IF(ROW(C26)&lt;LoanPeriod*12+ROW($B$9)-1,C26-F26," ")</f>
        <v>221222.53572987</v>
      </c>
    </row>
    <row r="27">
      <c r="A27" t="s">
        <v>6</v>
      </c>
      <c r="B27" s="129">
        <f>IF(ROW(B27)&lt;LoanPeriod*12+ROW($B$9)-1,EDATE(B26,1)," ")</f>
        <v>46600</v>
      </c>
      <c r="C27" s="130">
        <f>IF(ROW(B27)&lt;LoanPeriod*12+ROW($B$9)-1,G26," ")</f>
        <v>221222.53572987</v>
      </c>
      <c r="D27" s="130">
        <f>IF(ROW(C27)&lt;LoanPeriod*12+ROW($B$9)-1,MonthlyPayment," ")</f>
        <v>2017.0915511035114</v>
      </c>
      <c r="E27" s="130">
        <f>IF(ROW(C27)&lt;LoanPeriod*12+ROW($B$9)-1,C27*InterestRate/100/12," ")</f>
        <v>470.09788842597374</v>
      </c>
      <c r="F27" s="130">
        <f>IF(ROW(B27)&lt;LoanPeriod*12+ROW($B$9)-1,D27-E27," ")</f>
        <v>1546.9936626775377</v>
      </c>
      <c r="G27" s="130">
        <f>IF(ROW(C27)&lt;LoanPeriod*12+ROW($B$9)-1,C27-F27," ")</f>
        <v>219675.54206719247</v>
      </c>
    </row>
    <row r="28">
      <c r="A28" t="s">
        <v>6</v>
      </c>
      <c r="B28" s="129">
        <f>IF(ROW(B28)&lt;LoanPeriod*12+ROW($B$9)-1,EDATE(B27,1)," ")</f>
        <v>46631</v>
      </c>
      <c r="C28" s="130">
        <f>IF(ROW(B28)&lt;LoanPeriod*12+ROW($B$9)-1,G27," ")</f>
        <v>219675.54206719247</v>
      </c>
      <c r="D28" s="130">
        <f>IF(ROW(C28)&lt;LoanPeriod*12+ROW($B$9)-1,MonthlyPayment," ")</f>
        <v>2017.0915511035114</v>
      </c>
      <c r="E28" s="130">
        <f>IF(ROW(C28)&lt;LoanPeriod*12+ROW($B$9)-1,C28*InterestRate/100/12," ")</f>
        <v>466.8105268927839</v>
      </c>
      <c r="F28" s="130">
        <f>IF(ROW(B28)&lt;LoanPeriod*12+ROW($B$9)-1,D28-E28," ")</f>
        <v>1550.2810242107275</v>
      </c>
      <c r="G28" s="130">
        <f>IF(ROW(C28)&lt;LoanPeriod*12+ROW($B$9)-1,C28-F28," ")</f>
        <v>218125.26104298173</v>
      </c>
    </row>
    <row r="29">
      <c r="A29" t="s">
        <v>6</v>
      </c>
      <c r="B29" s="129">
        <f>IF(ROW(B29)&lt;LoanPeriod*12+ROW($B$9)-1,EDATE(B28,1)," ")</f>
        <v>46661</v>
      </c>
      <c r="C29" s="130">
        <f>IF(ROW(B29)&lt;LoanPeriod*12+ROW($B$9)-1,G28," ")</f>
        <v>218125.26104298173</v>
      </c>
      <c r="D29" s="130">
        <f>IF(ROW(C29)&lt;LoanPeriod*12+ROW($B$9)-1,MonthlyPayment," ")</f>
        <v>2017.0915511035114</v>
      </c>
      <c r="E29" s="130">
        <f>IF(ROW(C29)&lt;LoanPeriod*12+ROW($B$9)-1,C29*InterestRate/100/12," ")</f>
        <v>463.5161797163361</v>
      </c>
      <c r="F29" s="130">
        <f>IF(ROW(B29)&lt;LoanPeriod*12+ROW($B$9)-1,D29-E29," ")</f>
        <v>1553.5753713871752</v>
      </c>
      <c r="G29" s="130">
        <f>IF(ROW(C29)&lt;LoanPeriod*12+ROW($B$9)-1,C29-F29," ")</f>
        <v>216571.68567159455</v>
      </c>
    </row>
    <row r="30">
      <c r="A30" t="s">
        <v>6</v>
      </c>
      <c r="B30" s="129">
        <f>IF(ROW(B30)&lt;LoanPeriod*12+ROW($B$9)-1,EDATE(B29,1)," ")</f>
        <v>46692</v>
      </c>
      <c r="C30" s="130">
        <f>IF(ROW(B30)&lt;LoanPeriod*12+ROW($B$9)-1,G29," ")</f>
        <v>216571.68567159455</v>
      </c>
      <c r="D30" s="130">
        <f>IF(ROW(C30)&lt;LoanPeriod*12+ROW($B$9)-1,MonthlyPayment," ")</f>
        <v>2017.0915511035114</v>
      </c>
      <c r="E30" s="130">
        <f>IF(ROW(C30)&lt;LoanPeriod*12+ROW($B$9)-1,C30*InterestRate/100/12," ")</f>
        <v>460.21483205213843</v>
      </c>
      <c r="F30" s="130">
        <f>IF(ROW(B30)&lt;LoanPeriod*12+ROW($B$9)-1,D30-E30," ")</f>
        <v>1556.876719051373</v>
      </c>
      <c r="G30" s="130">
        <f>IF(ROW(C30)&lt;LoanPeriod*12+ROW($B$9)-1,C30-F30," ")</f>
        <v>215014.8089525432</v>
      </c>
    </row>
    <row r="31">
      <c r="A31" t="s">
        <v>6</v>
      </c>
      <c r="B31" s="129">
        <f>IF(ROW(B31)&lt;LoanPeriod*12+ROW($B$9)-1,EDATE(B30,1)," ")</f>
        <v>46722</v>
      </c>
      <c r="C31" s="130">
        <f>IF(ROW(B31)&lt;LoanPeriod*12+ROW($B$9)-1,G30," ")</f>
        <v>215014.8089525432</v>
      </c>
      <c r="D31" s="130">
        <f>IF(ROW(C31)&lt;LoanPeriod*12+ROW($B$9)-1,MonthlyPayment," ")</f>
        <v>2017.0915511035114</v>
      </c>
      <c r="E31" s="130">
        <f>IF(ROW(C31)&lt;LoanPeriod*12+ROW($B$9)-1,C31*InterestRate/100/12," ")</f>
        <v>456.9064690241542</v>
      </c>
      <c r="F31" s="130">
        <f>IF(ROW(B31)&lt;LoanPeriod*12+ROW($B$9)-1,D31-E31," ")</f>
        <v>1560.1850820793572</v>
      </c>
      <c r="G31" s="130">
        <f>IF(ROW(C31)&lt;LoanPeriod*12+ROW($B$9)-1,C31-F31," ")</f>
        <v>213454.62387046384</v>
      </c>
    </row>
    <row r="32">
      <c r="A32" t="s">
        <v>6</v>
      </c>
      <c r="B32" s="129">
        <f>IF(ROW(B32)&lt;LoanPeriod*12+ROW($B$9)-1,EDATE(B31,1)," ")</f>
        <v>46753</v>
      </c>
      <c r="C32" s="130">
        <f>IF(ROW(B32)&lt;LoanPeriod*12+ROW($B$9)-1,G31," ")</f>
        <v>213454.62387046384</v>
      </c>
      <c r="D32" s="130">
        <f>IF(ROW(C32)&lt;LoanPeriod*12+ROW($B$9)-1,MonthlyPayment," ")</f>
        <v>2017.0915511035114</v>
      </c>
      <c r="E32" s="130">
        <f>IF(ROW(C32)&lt;LoanPeriod*12+ROW($B$9)-1,C32*InterestRate/100/12," ")</f>
        <v>453.5910757247357</v>
      </c>
      <c r="F32" s="130">
        <f>IF(ROW(B32)&lt;LoanPeriod*12+ROW($B$9)-1,D32-E32," ")</f>
        <v>1563.5004753787757</v>
      </c>
      <c r="G32" s="130">
        <f>IF(ROW(C32)&lt;LoanPeriod*12+ROW($B$9)-1,C32-F32," ")</f>
        <v>211891.12339508507</v>
      </c>
    </row>
    <row r="33">
      <c r="A33" t="s">
        <v>6</v>
      </c>
      <c r="B33" s="129">
        <f>IF(ROW(B33)&lt;LoanPeriod*12+ROW($B$9)-1,EDATE(B32,1)," ")</f>
        <v>46784</v>
      </c>
      <c r="C33" s="130">
        <f>IF(ROW(B33)&lt;LoanPeriod*12+ROW($B$9)-1,G32," ")</f>
        <v>211891.12339508507</v>
      </c>
      <c r="D33" s="130">
        <f>IF(ROW(C33)&lt;LoanPeriod*12+ROW($B$9)-1,MonthlyPayment," ")</f>
        <v>2017.0915511035114</v>
      </c>
      <c r="E33" s="130">
        <f>IF(ROW(C33)&lt;LoanPeriod*12+ROW($B$9)-1,C33*InterestRate/100/12," ")</f>
        <v>450.2686372145558</v>
      </c>
      <c r="F33" s="130">
        <f>IF(ROW(B33)&lt;LoanPeriod*12+ROW($B$9)-1,D33-E33," ")</f>
        <v>1566.8229138889556</v>
      </c>
      <c r="G33" s="130">
        <f>IF(ROW(C33)&lt;LoanPeriod*12+ROW($B$9)-1,C33-F33," ")</f>
        <v>210324.30048119611</v>
      </c>
    </row>
    <row r="34">
      <c r="A34" t="s">
        <v>6</v>
      </c>
      <c r="B34" s="129">
        <f>IF(ROW(B34)&lt;LoanPeriod*12+ROW($B$9)-1,EDATE(B33,1)," ")</f>
        <v>46813</v>
      </c>
      <c r="C34" s="130">
        <f>IF(ROW(B34)&lt;LoanPeriod*12+ROW($B$9)-1,G33," ")</f>
        <v>210324.30048119611</v>
      </c>
      <c r="D34" s="130">
        <f>IF(ROW(C34)&lt;LoanPeriod*12+ROW($B$9)-1,MonthlyPayment," ")</f>
        <v>2017.0915511035114</v>
      </c>
      <c r="E34" s="130">
        <f>IF(ROW(C34)&lt;LoanPeriod*12+ROW($B$9)-1,C34*InterestRate/100/12," ")</f>
        <v>446.9391385225417</v>
      </c>
      <c r="F34" s="130">
        <f>IF(ROW(B34)&lt;LoanPeriod*12+ROW($B$9)-1,D34-E34," ")</f>
        <v>1570.1524125809697</v>
      </c>
      <c r="G34" s="130">
        <f>IF(ROW(C34)&lt;LoanPeriod*12+ROW($B$9)-1,C34-F34," ")</f>
        <v>208754.14806861515</v>
      </c>
    </row>
    <row r="35">
      <c r="A35" t="s">
        <v>6</v>
      </c>
      <c r="B35" s="129">
        <f>IF(ROW(B35)&lt;LoanPeriod*12+ROW($B$9)-1,EDATE(B34,1)," ")</f>
        <v>46844</v>
      </c>
      <c r="C35" s="130">
        <f>IF(ROW(B35)&lt;LoanPeriod*12+ROW($B$9)-1,G34," ")</f>
        <v>208754.14806861515</v>
      </c>
      <c r="D35" s="130">
        <f>IF(ROW(C35)&lt;LoanPeriod*12+ROW($B$9)-1,MonthlyPayment," ")</f>
        <v>2017.0915511035114</v>
      </c>
      <c r="E35" s="130">
        <f>IF(ROW(C35)&lt;LoanPeriod*12+ROW($B$9)-1,C35*InterestRate/100/12," ")</f>
        <v>443.60256464580715</v>
      </c>
      <c r="F35" s="130">
        <f>IF(ROW(B35)&lt;LoanPeriod*12+ROW($B$9)-1,D35-E35," ")</f>
        <v>1573.4889864577042</v>
      </c>
      <c r="G35" s="130">
        <f>IF(ROW(C35)&lt;LoanPeriod*12+ROW($B$9)-1,C35-F35," ")</f>
        <v>207180.65908215745</v>
      </c>
    </row>
    <row r="36">
      <c r="A36" t="s">
        <v>6</v>
      </c>
      <c r="B36" s="129">
        <f>IF(ROW(B36)&lt;LoanPeriod*12+ROW($B$9)-1,EDATE(B35,1)," ")</f>
        <v>46874</v>
      </c>
      <c r="C36" s="130">
        <f>IF(ROW(B36)&lt;LoanPeriod*12+ROW($B$9)-1,G35," ")</f>
        <v>207180.65908215745</v>
      </c>
      <c r="D36" s="130">
        <f>IF(ROW(C36)&lt;LoanPeriod*12+ROW($B$9)-1,MonthlyPayment," ")</f>
        <v>2017.0915511035114</v>
      </c>
      <c r="E36" s="130">
        <f>IF(ROW(C36)&lt;LoanPeriod*12+ROW($B$9)-1,C36*InterestRate/100/12," ")</f>
        <v>440.25890054958455</v>
      </c>
      <c r="F36" s="130">
        <f>IF(ROW(B36)&lt;LoanPeriod*12+ROW($B$9)-1,D36-E36," ")</f>
        <v>1576.832650553927</v>
      </c>
      <c r="G36" s="130">
        <f>IF(ROW(C36)&lt;LoanPeriod*12+ROW($B$9)-1,C36-F36," ")</f>
        <v>205603.82643160352</v>
      </c>
    </row>
    <row r="37">
      <c r="A37" t="s">
        <v>6</v>
      </c>
      <c r="B37" s="129">
        <f>IF(ROW(B37)&lt;LoanPeriod*12+ROW($B$9)-1,EDATE(B36,1)," ")</f>
        <v>46905</v>
      </c>
      <c r="C37" s="130">
        <f>IF(ROW(B37)&lt;LoanPeriod*12+ROW($B$9)-1,G36," ")</f>
        <v>205603.82643160352</v>
      </c>
      <c r="D37" s="130">
        <f>IF(ROW(C37)&lt;LoanPeriod*12+ROW($B$9)-1,MonthlyPayment," ")</f>
        <v>2017.0915511035114</v>
      </c>
      <c r="E37" s="130">
        <f>IF(ROW(C37)&lt;LoanPeriod*12+ROW($B$9)-1,C37*InterestRate/100/12," ")</f>
        <v>436.9081311671575</v>
      </c>
      <c r="F37" s="130">
        <f>IF(ROW(B37)&lt;LoanPeriod*12+ROW($B$9)-1,D37-E37," ")</f>
        <v>1580.1834199363539</v>
      </c>
      <c r="G37" s="130">
        <f>IF(ROW(C37)&lt;LoanPeriod*12+ROW($B$9)-1,C37-F37," ")</f>
        <v>204023.64301166715</v>
      </c>
    </row>
    <row r="38">
      <c r="A38" t="s">
        <v>6</v>
      </c>
      <c r="B38" s="129">
        <f>IF(ROW(B38)&lt;LoanPeriod*12+ROW($B$9)-1,EDATE(B37,1)," ")</f>
        <v>46935</v>
      </c>
      <c r="C38" s="130">
        <f>IF(ROW(B38)&lt;LoanPeriod*12+ROW($B$9)-1,G37," ")</f>
        <v>204023.64301166715</v>
      </c>
      <c r="D38" s="130">
        <f>IF(ROW(C38)&lt;LoanPeriod*12+ROW($B$9)-1,MonthlyPayment," ")</f>
        <v>2017.0915511035114</v>
      </c>
      <c r="E38" s="130">
        <f>IF(ROW(C38)&lt;LoanPeriod*12+ROW($B$9)-1,C38*InterestRate/100/12," ")</f>
        <v>433.55024139979264</v>
      </c>
      <c r="F38" s="130">
        <f>IF(ROW(B38)&lt;LoanPeriod*12+ROW($B$9)-1,D38-E38," ")</f>
        <v>1583.5413097037188</v>
      </c>
      <c r="G38" s="130">
        <f>IF(ROW(C38)&lt;LoanPeriod*12+ROW($B$9)-1,C38-F38," ")</f>
        <v>202440.10170196343</v>
      </c>
    </row>
    <row r="39">
      <c r="A39" t="s">
        <v>6</v>
      </c>
      <c r="B39" s="129">
        <f>IF(ROW(B39)&lt;LoanPeriod*12+ROW($B$9)-1,EDATE(B38,1)," ")</f>
        <v>46966</v>
      </c>
      <c r="C39" s="130">
        <f>IF(ROW(B39)&lt;LoanPeriod*12+ROW($B$9)-1,G38," ")</f>
        <v>202440.10170196343</v>
      </c>
      <c r="D39" s="130">
        <f>IF(ROW(C39)&lt;LoanPeriod*12+ROW($B$9)-1,MonthlyPayment," ")</f>
        <v>2017.0915511035114</v>
      </c>
      <c r="E39" s="130">
        <f>IF(ROW(C39)&lt;LoanPeriod*12+ROW($B$9)-1,C39*InterestRate/100/12," ")</f>
        <v>430.1852161166723</v>
      </c>
      <c r="F39" s="130">
        <f>IF(ROW(B39)&lt;LoanPeriod*12+ROW($B$9)-1,D39-E39," ")</f>
        <v>1586.906334986839</v>
      </c>
      <c r="G39" s="130">
        <f>IF(ROW(C39)&lt;LoanPeriod*12+ROW($B$9)-1,C39-F39," ")</f>
        <v>200853.19536697658</v>
      </c>
    </row>
    <row r="40">
      <c r="A40" t="s">
        <v>6</v>
      </c>
      <c r="B40" s="129">
        <f>IF(ROW(B40)&lt;LoanPeriod*12+ROW($B$9)-1,EDATE(B39,1)," ")</f>
        <v>46997</v>
      </c>
      <c r="C40" s="130">
        <f>IF(ROW(B40)&lt;LoanPeriod*12+ROW($B$9)-1,G39," ")</f>
        <v>200853.19536697658</v>
      </c>
      <c r="D40" s="130">
        <f>IF(ROW(C40)&lt;LoanPeriod*12+ROW($B$9)-1,MonthlyPayment," ")</f>
        <v>2017.0915511035114</v>
      </c>
      <c r="E40" s="130">
        <f>IF(ROW(C40)&lt;LoanPeriod*12+ROW($B$9)-1,C40*InterestRate/100/12," ")</f>
        <v>426.81304015482516</v>
      </c>
      <c r="F40" s="130">
        <f>IF(ROW(B40)&lt;LoanPeriod*12+ROW($B$9)-1,D40-E40," ")</f>
        <v>1590.2785109486863</v>
      </c>
      <c r="G40" s="130">
        <f>IF(ROW(C40)&lt;LoanPeriod*12+ROW($B$9)-1,C40-F40," ")</f>
        <v>199262.9168560279</v>
      </c>
    </row>
    <row r="41">
      <c r="A41" t="s">
        <v>6</v>
      </c>
      <c r="B41" s="129">
        <f>IF(ROW(B41)&lt;LoanPeriod*12+ROW($B$9)-1,EDATE(B40,1)," ")</f>
        <v>47027</v>
      </c>
      <c r="C41" s="130">
        <f>IF(ROW(B41)&lt;LoanPeriod*12+ROW($B$9)-1,G40," ")</f>
        <v>199262.9168560279</v>
      </c>
      <c r="D41" s="130">
        <f>IF(ROW(C41)&lt;LoanPeriod*12+ROW($B$9)-1,MonthlyPayment," ")</f>
        <v>2017.0915511035114</v>
      </c>
      <c r="E41" s="130">
        <f>IF(ROW(C41)&lt;LoanPeriod*12+ROW($B$9)-1,C41*InterestRate/100/12," ")</f>
        <v>423.43369831905926</v>
      </c>
      <c r="F41" s="130">
        <f>IF(ROW(B41)&lt;LoanPeriod*12+ROW($B$9)-1,D41-E41," ")</f>
        <v>1593.6578527844522</v>
      </c>
      <c r="G41" s="130">
        <f>IF(ROW(C41)&lt;LoanPeriod*12+ROW($B$9)-1,C41-F41," ")</f>
        <v>197669.25900324347</v>
      </c>
    </row>
    <row r="42">
      <c r="A42" t="s">
        <v>6</v>
      </c>
      <c r="B42" s="129">
        <f>IF(ROW(B42)&lt;LoanPeriod*12+ROW($B$9)-1,EDATE(B41,1)," ")</f>
        <v>47058</v>
      </c>
      <c r="C42" s="130">
        <f>IF(ROW(B42)&lt;LoanPeriod*12+ROW($B$9)-1,G41," ")</f>
        <v>197669.25900324347</v>
      </c>
      <c r="D42" s="130">
        <f>IF(ROW(C42)&lt;LoanPeriod*12+ROW($B$9)-1,MonthlyPayment," ")</f>
        <v>2017.0915511035114</v>
      </c>
      <c r="E42" s="130">
        <f>IF(ROW(C42)&lt;LoanPeriod*12+ROW($B$9)-1,C42*InterestRate/100/12," ")</f>
        <v>420.0471753818924</v>
      </c>
      <c r="F42" s="130">
        <f>IF(ROW(B42)&lt;LoanPeriod*12+ROW($B$9)-1,D42-E42," ")</f>
        <v>1597.044375721619</v>
      </c>
      <c r="G42" s="130">
        <f>IF(ROW(C42)&lt;LoanPeriod*12+ROW($B$9)-1,C42-F42," ")</f>
        <v>196072.21462752184</v>
      </c>
    </row>
    <row r="43">
      <c r="A43" t="s">
        <v>6</v>
      </c>
      <c r="B43" s="129">
        <f>IF(ROW(B43)&lt;LoanPeriod*12+ROW($B$9)-1,EDATE(B42,1)," ")</f>
        <v>47088</v>
      </c>
      <c r="C43" s="130">
        <f>IF(ROW(B43)&lt;LoanPeriod*12+ROW($B$9)-1,G42," ")</f>
        <v>196072.21462752184</v>
      </c>
      <c r="D43" s="130">
        <f>IF(ROW(C43)&lt;LoanPeriod*12+ROW($B$9)-1,MonthlyPayment," ")</f>
        <v>2017.0915511035114</v>
      </c>
      <c r="E43" s="130">
        <f>IF(ROW(C43)&lt;LoanPeriod*12+ROW($B$9)-1,C43*InterestRate/100/12," ")</f>
        <v>416.6534560834839</v>
      </c>
      <c r="F43" s="130">
        <f>IF(ROW(B43)&lt;LoanPeriod*12+ROW($B$9)-1,D43-E43," ")</f>
        <v>1600.4380950200275</v>
      </c>
      <c r="G43" s="130">
        <f>IF(ROW(C43)&lt;LoanPeriod*12+ROW($B$9)-1,C43-F43," ")</f>
        <v>194471.77653250183</v>
      </c>
    </row>
    <row r="44">
      <c r="A44" t="s">
        <v>6</v>
      </c>
      <c r="B44" s="129">
        <f>IF(ROW(B44)&lt;LoanPeriod*12+ROW($B$9)-1,EDATE(B43,1)," ")</f>
        <v>47119</v>
      </c>
      <c r="C44" s="130">
        <f>IF(ROW(B44)&lt;LoanPeriod*12+ROW($B$9)-1,G43," ")</f>
        <v>194471.77653250183</v>
      </c>
      <c r="D44" s="130">
        <f>IF(ROW(C44)&lt;LoanPeriod*12+ROW($B$9)-1,MonthlyPayment," ")</f>
        <v>2017.0915511035114</v>
      </c>
      <c r="E44" s="130">
        <f>IF(ROW(C44)&lt;LoanPeriod*12+ROW($B$9)-1,C44*InterestRate/100/12," ")</f>
        <v>413.2525251315664</v>
      </c>
      <c r="F44" s="130">
        <f>IF(ROW(B44)&lt;LoanPeriod*12+ROW($B$9)-1,D44-E44," ")</f>
        <v>1603.839025971945</v>
      </c>
      <c r="G44" s="130">
        <f>IF(ROW(C44)&lt;LoanPeriod*12+ROW($B$9)-1,C44-F44," ")</f>
        <v>192867.93750652988</v>
      </c>
    </row>
    <row r="45">
      <c r="A45" t="s">
        <v>6</v>
      </c>
      <c r="B45" s="129">
        <f>IF(ROW(B45)&lt;LoanPeriod*12+ROW($B$9)-1,EDATE(B44,1)," ")</f>
        <v>47150</v>
      </c>
      <c r="C45" s="130">
        <f>IF(ROW(B45)&lt;LoanPeriod*12+ROW($B$9)-1,G44," ")</f>
        <v>192867.93750652988</v>
      </c>
      <c r="D45" s="130">
        <f>IF(ROW(C45)&lt;LoanPeriod*12+ROW($B$9)-1,MonthlyPayment," ")</f>
        <v>2017.0915511035114</v>
      </c>
      <c r="E45" s="130">
        <f>IF(ROW(C45)&lt;LoanPeriod*12+ROW($B$9)-1,C45*InterestRate/100/12," ")</f>
        <v>409.844367201376</v>
      </c>
      <c r="F45" s="130">
        <f>IF(ROW(B45)&lt;LoanPeriod*12+ROW($B$9)-1,D45-E45," ")</f>
        <v>1607.2471839021355</v>
      </c>
      <c r="G45" s="130">
        <f>IF(ROW(C45)&lt;LoanPeriod*12+ROW($B$9)-1,C45-F45," ")</f>
        <v>191260.69032262775</v>
      </c>
    </row>
    <row r="46">
      <c r="A46" t="s">
        <v>6</v>
      </c>
      <c r="B46" s="129">
        <f>IF(ROW(B46)&lt;LoanPeriod*12+ROW($B$9)-1,EDATE(B45,1)," ")</f>
        <v>47178</v>
      </c>
      <c r="C46" s="130">
        <f>IF(ROW(B46)&lt;LoanPeriod*12+ROW($B$9)-1,G45," ")</f>
        <v>191260.69032262775</v>
      </c>
      <c r="D46" s="130">
        <f>IF(ROW(C46)&lt;LoanPeriod*12+ROW($B$9)-1,MonthlyPayment," ")</f>
        <v>2017.0915511035114</v>
      </c>
      <c r="E46" s="130">
        <f>IF(ROW(C46)&lt;LoanPeriod*12+ROW($B$9)-1,C46*InterestRate/100/12," ")</f>
        <v>406.42896693558396</v>
      </c>
      <c r="F46" s="130">
        <f>IF(ROW(B46)&lt;LoanPeriod*12+ROW($B$9)-1,D46-E46," ")</f>
        <v>1610.6625841679274</v>
      </c>
      <c r="G46" s="130">
        <f>IF(ROW(C46)&lt;LoanPeriod*12+ROW($B$9)-1,C46-F46," ")</f>
        <v>189650.02773845982</v>
      </c>
    </row>
    <row r="47">
      <c r="A47" t="s">
        <v>6</v>
      </c>
      <c r="B47" s="129">
        <f>IF(ROW(B47)&lt;LoanPeriod*12+ROW($B$9)-1,EDATE(B46,1)," ")</f>
        <v>47209</v>
      </c>
      <c r="C47" s="130">
        <f>IF(ROW(B47)&lt;LoanPeriod*12+ROW($B$9)-1,G46," ")</f>
        <v>189650.02773845982</v>
      </c>
      <c r="D47" s="130">
        <f>IF(ROW(C47)&lt;LoanPeriod*12+ROW($B$9)-1,MonthlyPayment," ")</f>
        <v>2017.0915511035114</v>
      </c>
      <c r="E47" s="130">
        <f>IF(ROW(C47)&lt;LoanPeriod*12+ROW($B$9)-1,C47*InterestRate/100/12," ")</f>
        <v>403.0063089442271</v>
      </c>
      <c r="F47" s="130">
        <f>IF(ROW(B47)&lt;LoanPeriod*12+ROW($B$9)-1,D47-E47," ")</f>
        <v>1614.0852421592842</v>
      </c>
      <c r="G47" s="130">
        <f>IF(ROW(C47)&lt;LoanPeriod*12+ROW($B$9)-1,C47-F47," ")</f>
        <v>188035.94249630053</v>
      </c>
    </row>
    <row r="48">
      <c r="A48" t="s">
        <v>6</v>
      </c>
      <c r="B48" s="129">
        <f>IF(ROW(B48)&lt;LoanPeriod*12+ROW($B$9)-1,EDATE(B47,1)," ")</f>
        <v>47239</v>
      </c>
      <c r="C48" s="130">
        <f>IF(ROW(B48)&lt;LoanPeriod*12+ROW($B$9)-1,G47," ")</f>
        <v>188035.94249630053</v>
      </c>
      <c r="D48" s="130">
        <f>IF(ROW(C48)&lt;LoanPeriod*12+ROW($B$9)-1,MonthlyPayment," ")</f>
        <v>2017.0915511035114</v>
      </c>
      <c r="E48" s="130">
        <f>IF(ROW(C48)&lt;LoanPeriod*12+ROW($B$9)-1,C48*InterestRate/100/12," ")</f>
        <v>399.57637780463864</v>
      </c>
      <c r="F48" s="130">
        <f>IF(ROW(B48)&lt;LoanPeriod*12+ROW($B$9)-1,D48-E48," ")</f>
        <v>1617.5151732988727</v>
      </c>
      <c r="G48" s="130">
        <f>IF(ROW(C48)&lt;LoanPeriod*12+ROW($B$9)-1,C48-F48," ")</f>
        <v>186418.42732300167</v>
      </c>
    </row>
    <row r="49">
      <c r="A49" t="s">
        <v>6</v>
      </c>
      <c r="B49" s="129">
        <f>IF(ROW(B49)&lt;LoanPeriod*12+ROW($B$9)-1,EDATE(B48,1)," ")</f>
        <v>47270</v>
      </c>
      <c r="C49" s="130">
        <f>IF(ROW(B49)&lt;LoanPeriod*12+ROW($B$9)-1,G48," ")</f>
        <v>186418.42732300167</v>
      </c>
      <c r="D49" s="130">
        <f>IF(ROW(C49)&lt;LoanPeriod*12+ROW($B$9)-1,MonthlyPayment," ")</f>
        <v>2017.0915511035114</v>
      </c>
      <c r="E49" s="130">
        <f>IF(ROW(C49)&lt;LoanPeriod*12+ROW($B$9)-1,C49*InterestRate/100/12," ")</f>
        <v>396.1391580613785</v>
      </c>
      <c r="F49" s="130">
        <f>IF(ROW(B49)&lt;LoanPeriod*12+ROW($B$9)-1,D49-E49," ")</f>
        <v>1620.9523930421328</v>
      </c>
      <c r="G49" s="130">
        <f>IF(ROW(C49)&lt;LoanPeriod*12+ROW($B$9)-1,C49-F49," ")</f>
        <v>184797.47492995954</v>
      </c>
    </row>
    <row r="50">
      <c r="A50" t="s">
        <v>6</v>
      </c>
      <c r="B50" s="129">
        <f>IF(ROW(B50)&lt;LoanPeriod*12+ROW($B$9)-1,EDATE(B49,1)," ")</f>
        <v>47300</v>
      </c>
      <c r="C50" s="130">
        <f>IF(ROW(B50)&lt;LoanPeriod*12+ROW($B$9)-1,G49," ")</f>
        <v>184797.47492995954</v>
      </c>
      <c r="D50" s="130">
        <f>IF(ROW(C50)&lt;LoanPeriod*12+ROW($B$9)-1,MonthlyPayment," ")</f>
        <v>2017.0915511035114</v>
      </c>
      <c r="E50" s="130">
        <f>IF(ROW(C50)&lt;LoanPeriod*12+ROW($B$9)-1,C50*InterestRate/100/12," ")</f>
        <v>392.694634226164</v>
      </c>
      <c r="F50" s="130">
        <f>IF(ROW(B50)&lt;LoanPeriod*12+ROW($B$9)-1,D50-E50," ")</f>
        <v>1624.3969168773474</v>
      </c>
      <c r="G50" s="130">
        <f>IF(ROW(C50)&lt;LoanPeriod*12+ROW($B$9)-1,C50-F50," ")</f>
        <v>183173.0780130822</v>
      </c>
    </row>
    <row r="51">
      <c r="A51" t="s">
        <v>6</v>
      </c>
      <c r="B51" s="129">
        <f>IF(ROW(B51)&lt;LoanPeriod*12+ROW($B$9)-1,EDATE(B50,1)," ")</f>
        <v>47331</v>
      </c>
      <c r="C51" s="130">
        <f>IF(ROW(B51)&lt;LoanPeriod*12+ROW($B$9)-1,G50," ")</f>
        <v>183173.0780130822</v>
      </c>
      <c r="D51" s="130">
        <f>IF(ROW(C51)&lt;LoanPeriod*12+ROW($B$9)-1,MonthlyPayment," ")</f>
        <v>2017.0915511035114</v>
      </c>
      <c r="E51" s="130">
        <f>IF(ROW(C51)&lt;LoanPeriod*12+ROW($B$9)-1,C51*InterestRate/100/12," ")</f>
        <v>389.24279077779966</v>
      </c>
      <c r="F51" s="130">
        <f>IF(ROW(B51)&lt;LoanPeriod*12+ROW($B$9)-1,D51-E51," ")</f>
        <v>1627.8487603257117</v>
      </c>
      <c r="G51" s="130">
        <f>IF(ROW(C51)&lt;LoanPeriod*12+ROW($B$9)-1,C51-F51," ")</f>
        <v>181545.2292527565</v>
      </c>
    </row>
    <row r="52">
      <c r="A52" t="s">
        <v>6</v>
      </c>
      <c r="B52" s="129">
        <f>IF(ROW(B52)&lt;LoanPeriod*12+ROW($B$9)-1,EDATE(B51,1)," ")</f>
        <v>47362</v>
      </c>
      <c r="C52" s="130">
        <f>IF(ROW(B52)&lt;LoanPeriod*12+ROW($B$9)-1,G51," ")</f>
        <v>181545.2292527565</v>
      </c>
      <c r="D52" s="130">
        <f>IF(ROW(C52)&lt;LoanPeriod*12+ROW($B$9)-1,MonthlyPayment," ")</f>
        <v>2017.0915511035114</v>
      </c>
      <c r="E52" s="130">
        <f>IF(ROW(C52)&lt;LoanPeriod*12+ROW($B$9)-1,C52*InterestRate/100/12," ")</f>
        <v>385.78361216210754</v>
      </c>
      <c r="F52" s="130">
        <f>IF(ROW(B52)&lt;LoanPeriod*12+ROW($B$9)-1,D52-E52," ")</f>
        <v>1631.3079389414038</v>
      </c>
      <c r="G52" s="130">
        <f>IF(ROW(C52)&lt;LoanPeriod*12+ROW($B$9)-1,C52-F52," ")</f>
        <v>179913.92131381508</v>
      </c>
    </row>
    <row r="53">
      <c r="A53" t="s">
        <v>6</v>
      </c>
      <c r="B53" s="129">
        <f>IF(ROW(B53)&lt;LoanPeriod*12+ROW($B$9)-1,EDATE(B52,1)," ")</f>
        <v>47392</v>
      </c>
      <c r="C53" s="130">
        <f>IF(ROW(B53)&lt;LoanPeriod*12+ROW($B$9)-1,G52," ")</f>
        <v>179913.92131381508</v>
      </c>
      <c r="D53" s="130">
        <f>IF(ROW(C53)&lt;LoanPeriod*12+ROW($B$9)-1,MonthlyPayment," ")</f>
        <v>2017.0915511035114</v>
      </c>
      <c r="E53" s="130">
        <f>IF(ROW(C53)&lt;LoanPeriod*12+ROW($B$9)-1,C53*InterestRate/100/12," ")</f>
        <v>382.317082791857</v>
      </c>
      <c r="F53" s="130">
        <f>IF(ROW(B53)&lt;LoanPeriod*12+ROW($B$9)-1,D53-E53," ")</f>
        <v>1634.7744683116543</v>
      </c>
      <c r="G53" s="130">
        <f>IF(ROW(C53)&lt;LoanPeriod*12+ROW($B$9)-1,C53-F53," ")</f>
        <v>178279.14684550342</v>
      </c>
    </row>
    <row r="54">
      <c r="A54" t="s">
        <v>6</v>
      </c>
      <c r="B54" s="129">
        <f>IF(ROW(B54)&lt;LoanPeriod*12+ROW($B$9)-1,EDATE(B53,1)," ")</f>
        <v>47423</v>
      </c>
      <c r="C54" s="130">
        <f>IF(ROW(B54)&lt;LoanPeriod*12+ROW($B$9)-1,G53," ")</f>
        <v>178279.14684550342</v>
      </c>
      <c r="D54" s="130">
        <f>IF(ROW(C54)&lt;LoanPeriod*12+ROW($B$9)-1,MonthlyPayment," ")</f>
        <v>2017.0915511035114</v>
      </c>
      <c r="E54" s="130">
        <f>IF(ROW(C54)&lt;LoanPeriod*12+ROW($B$9)-1,C54*InterestRate/100/12," ")</f>
        <v>378.84318704669477</v>
      </c>
      <c r="F54" s="130">
        <f>IF(ROW(B54)&lt;LoanPeriod*12+ROW($B$9)-1,D54-E54," ")</f>
        <v>1638.2483640568166</v>
      </c>
      <c r="G54" s="130">
        <f>IF(ROW(C54)&lt;LoanPeriod*12+ROW($B$9)-1,C54-F54," ")</f>
        <v>176640.8984814466</v>
      </c>
    </row>
    <row r="55">
      <c r="A55" t="s">
        <v>6</v>
      </c>
      <c r="B55" s="129">
        <f>IF(ROW(B55)&lt;LoanPeriod*12+ROW($B$9)-1,EDATE(B54,1)," ")</f>
        <v>47453</v>
      </c>
      <c r="C55" s="130">
        <f>IF(ROW(B55)&lt;LoanPeriod*12+ROW($B$9)-1,G54," ")</f>
        <v>176640.8984814466</v>
      </c>
      <c r="D55" s="130">
        <f>IF(ROW(C55)&lt;LoanPeriod*12+ROW($B$9)-1,MonthlyPayment," ")</f>
        <v>2017.0915511035114</v>
      </c>
      <c r="E55" s="130">
        <f>IF(ROW(C55)&lt;LoanPeriod*12+ROW($B$9)-1,C55*InterestRate/100/12," ")</f>
        <v>375.361909273074</v>
      </c>
      <c r="F55" s="130">
        <f>IF(ROW(B55)&lt;LoanPeriod*12+ROW($B$9)-1,D55-E55," ")</f>
        <v>1641.7296418304375</v>
      </c>
      <c r="G55" s="130">
        <f>IF(ROW(C55)&lt;LoanPeriod*12+ROW($B$9)-1,C55-F55," ")</f>
        <v>174999.16883961618</v>
      </c>
    </row>
    <row r="56">
      <c r="A56" t="s">
        <v>6</v>
      </c>
      <c r="B56" s="129">
        <f>IF(ROW(B56)&lt;LoanPeriod*12+ROW($B$9)-1,EDATE(B55,1)," ")</f>
        <v>47484</v>
      </c>
      <c r="C56" s="130">
        <f>IF(ROW(B56)&lt;LoanPeriod*12+ROW($B$9)-1,G55," ")</f>
        <v>174999.16883961618</v>
      </c>
      <c r="D56" s="130">
        <f>IF(ROW(C56)&lt;LoanPeriod*12+ROW($B$9)-1,MonthlyPayment," ")</f>
        <v>2017.0915511035114</v>
      </c>
      <c r="E56" s="130">
        <f>IF(ROW(C56)&lt;LoanPeriod*12+ROW($B$9)-1,C56*InterestRate/100/12," ")</f>
        <v>371.8732337841844</v>
      </c>
      <c r="F56" s="130">
        <f>IF(ROW(B56)&lt;LoanPeriod*12+ROW($B$9)-1,D56-E56," ")</f>
        <v>1645.218317319327</v>
      </c>
      <c r="G56" s="130">
        <f>IF(ROW(C56)&lt;LoanPeriod*12+ROW($B$9)-1,C56-F56," ")</f>
        <v>173353.95052229686</v>
      </c>
    </row>
    <row r="57">
      <c r="A57" t="s">
        <v>6</v>
      </c>
      <c r="B57" s="129">
        <f>IF(ROW(B57)&lt;LoanPeriod*12+ROW($B$9)-1,EDATE(B56,1)," ")</f>
        <v>47515</v>
      </c>
      <c r="C57" s="130">
        <f>IF(ROW(B57)&lt;LoanPeriod*12+ROW($B$9)-1,G56," ")</f>
        <v>173353.95052229686</v>
      </c>
      <c r="D57" s="130">
        <f>IF(ROW(C57)&lt;LoanPeriod*12+ROW($B$9)-1,MonthlyPayment," ")</f>
        <v>2017.0915511035114</v>
      </c>
      <c r="E57" s="130">
        <f>IF(ROW(C57)&lt;LoanPeriod*12+ROW($B$9)-1,C57*InterestRate/100/12," ")</f>
        <v>368.37714485988084</v>
      </c>
      <c r="F57" s="130">
        <f>IF(ROW(B57)&lt;LoanPeriod*12+ROW($B$9)-1,D57-E57," ")</f>
        <v>1648.7144062436305</v>
      </c>
      <c r="G57" s="130">
        <f>IF(ROW(C57)&lt;LoanPeriod*12+ROW($B$9)-1,C57-F57," ")</f>
        <v>171705.23611605322</v>
      </c>
    </row>
    <row r="58">
      <c r="A58" t="s">
        <v>6</v>
      </c>
      <c r="B58" s="129">
        <f>IF(ROW(B58)&lt;LoanPeriod*12+ROW($B$9)-1,EDATE(B57,1)," ")</f>
        <v>47543</v>
      </c>
      <c r="C58" s="130">
        <f>IF(ROW(B58)&lt;LoanPeriod*12+ROW($B$9)-1,G57," ")</f>
        <v>171705.23611605322</v>
      </c>
      <c r="D58" s="130">
        <f>IF(ROW(C58)&lt;LoanPeriod*12+ROW($B$9)-1,MonthlyPayment," ")</f>
        <v>2017.0915511035114</v>
      </c>
      <c r="E58" s="130">
        <f>IF(ROW(C58)&lt;LoanPeriod*12+ROW($B$9)-1,C58*InterestRate/100/12," ")</f>
        <v>364.87362674661307</v>
      </c>
      <c r="F58" s="130">
        <f>IF(ROW(B58)&lt;LoanPeriod*12+ROW($B$9)-1,D58-E58," ")</f>
        <v>1652.2179243568983</v>
      </c>
      <c r="G58" s="130">
        <f>IF(ROW(C58)&lt;LoanPeriod*12+ROW($B$9)-1,C58-F58," ")</f>
        <v>170053.01819169632</v>
      </c>
    </row>
    <row r="59">
      <c r="A59" t="s">
        <v>6</v>
      </c>
      <c r="B59" s="129">
        <f>IF(ROW(B59)&lt;LoanPeriod*12+ROW($B$9)-1,EDATE(B58,1)," ")</f>
        <v>47574</v>
      </c>
      <c r="C59" s="130">
        <f>IF(ROW(B59)&lt;LoanPeriod*12+ROW($B$9)-1,G58," ")</f>
        <v>170053.01819169632</v>
      </c>
      <c r="D59" s="130">
        <f>IF(ROW(C59)&lt;LoanPeriod*12+ROW($B$9)-1,MonthlyPayment," ")</f>
        <v>2017.0915511035114</v>
      </c>
      <c r="E59" s="130">
        <f>IF(ROW(C59)&lt;LoanPeriod*12+ROW($B$9)-1,C59*InterestRate/100/12," ")</f>
        <v>361.3626636573547</v>
      </c>
      <c r="F59" s="130">
        <f>IF(ROW(B59)&lt;LoanPeriod*12+ROW($B$9)-1,D59-E59," ")</f>
        <v>1655.7288874461567</v>
      </c>
      <c r="G59" s="130">
        <f>IF(ROW(C59)&lt;LoanPeriod*12+ROW($B$9)-1,C59-F59," ")</f>
        <v>168397.28930425015</v>
      </c>
    </row>
    <row r="60">
      <c r="A60" t="s">
        <v>6</v>
      </c>
      <c r="B60" s="129">
        <f>IF(ROW(B60)&lt;LoanPeriod*12+ROW($B$9)-1,EDATE(B59,1)," ")</f>
        <v>47604</v>
      </c>
      <c r="C60" s="130">
        <f>IF(ROW(B60)&lt;LoanPeriod*12+ROW($B$9)-1,G59," ")</f>
        <v>168397.28930425015</v>
      </c>
      <c r="D60" s="130">
        <f>IF(ROW(C60)&lt;LoanPeriod*12+ROW($B$9)-1,MonthlyPayment," ")</f>
        <v>2017.0915511035114</v>
      </c>
      <c r="E60" s="130">
        <f>IF(ROW(C60)&lt;LoanPeriod*12+ROW($B$9)-1,C60*InterestRate/100/12," ")</f>
        <v>357.8442397715315</v>
      </c>
      <c r="F60" s="130">
        <f>IF(ROW(B60)&lt;LoanPeriod*12+ROW($B$9)-1,D60-E60," ")</f>
        <v>1659.24731133198</v>
      </c>
      <c r="G60" s="130">
        <f>IF(ROW(C60)&lt;LoanPeriod*12+ROW($B$9)-1,C60-F60," ")</f>
        <v>166738.04199291818</v>
      </c>
    </row>
    <row r="61">
      <c r="A61" t="s">
        <v>6</v>
      </c>
      <c r="B61" s="129">
        <f>IF(ROW(B61)&lt;LoanPeriod*12+ROW($B$9)-1,EDATE(B60,1)," ")</f>
        <v>47635</v>
      </c>
      <c r="C61" s="130">
        <f>IF(ROW(B61)&lt;LoanPeriod*12+ROW($B$9)-1,G60," ")</f>
        <v>166738.04199291818</v>
      </c>
      <c r="D61" s="130">
        <f>IF(ROW(C61)&lt;LoanPeriod*12+ROW($B$9)-1,MonthlyPayment," ")</f>
        <v>2017.0915511035114</v>
      </c>
      <c r="E61" s="130">
        <f>IF(ROW(C61)&lt;LoanPeriod*12+ROW($B$9)-1,C61*InterestRate/100/12," ")</f>
        <v>354.3183392349511</v>
      </c>
      <c r="F61" s="130">
        <f>IF(ROW(B61)&lt;LoanPeriod*12+ROW($B$9)-1,D61-E61," ")</f>
        <v>1662.7732118685603</v>
      </c>
      <c r="G61" s="130">
        <f>IF(ROW(C61)&lt;LoanPeriod*12+ROW($B$9)-1,C61-F61," ")</f>
        <v>165075.2687810496</v>
      </c>
    </row>
    <row r="62">
      <c r="A62" t="s">
        <v>6</v>
      </c>
      <c r="B62" s="129">
        <f>IF(ROW(B62)&lt;LoanPeriod*12+ROW($B$9)-1,EDATE(B61,1)," ")</f>
        <v>47665</v>
      </c>
      <c r="C62" s="130">
        <f>IF(ROW(B62)&lt;LoanPeriod*12+ROW($B$9)-1,G61," ")</f>
        <v>165075.2687810496</v>
      </c>
      <c r="D62" s="130">
        <f>IF(ROW(C62)&lt;LoanPeriod*12+ROW($B$9)-1,MonthlyPayment," ")</f>
        <v>2017.0915511035114</v>
      </c>
      <c r="E62" s="130">
        <f>IF(ROW(C62)&lt;LoanPeriod*12+ROW($B$9)-1,C62*InterestRate/100/12," ")</f>
        <v>350.7849461597304</v>
      </c>
      <c r="F62" s="130">
        <f>IF(ROW(B62)&lt;LoanPeriod*12+ROW($B$9)-1,D62-E62," ")</f>
        <v>1666.306604943781</v>
      </c>
      <c r="G62" s="130">
        <f>IF(ROW(C62)&lt;LoanPeriod*12+ROW($B$9)-1,C62-F62," ")</f>
        <v>163408.96217610582</v>
      </c>
    </row>
    <row r="63">
      <c r="A63" t="s">
        <v>6</v>
      </c>
      <c r="B63" s="129">
        <f>IF(ROW(B63)&lt;LoanPeriod*12+ROW($B$9)-1,EDATE(B62,1)," ")</f>
        <v>47696</v>
      </c>
      <c r="C63" s="130">
        <f>IF(ROW(B63)&lt;LoanPeriod*12+ROW($B$9)-1,G62," ")</f>
        <v>163408.96217610582</v>
      </c>
      <c r="D63" s="130">
        <f>IF(ROW(C63)&lt;LoanPeriod*12+ROW($B$9)-1,MonthlyPayment," ")</f>
        <v>2017.0915511035114</v>
      </c>
      <c r="E63" s="130">
        <f>IF(ROW(C63)&lt;LoanPeriod*12+ROW($B$9)-1,C63*InterestRate/100/12," ")</f>
        <v>347.2440446242249</v>
      </c>
      <c r="F63" s="130">
        <f>IF(ROW(B63)&lt;LoanPeriod*12+ROW($B$9)-1,D63-E63," ")</f>
        <v>1669.8475064792865</v>
      </c>
      <c r="G63" s="130">
        <f>IF(ROW(C63)&lt;LoanPeriod*12+ROW($B$9)-1,C63-F63," ")</f>
        <v>161739.11466962655</v>
      </c>
    </row>
    <row r="64">
      <c r="A64" t="s">
        <v>6</v>
      </c>
      <c r="B64" s="129">
        <f>IF(ROW(B64)&lt;LoanPeriod*12+ROW($B$9)-1,EDATE(B63,1)," ")</f>
        <v>47727</v>
      </c>
      <c r="C64" s="130">
        <f>IF(ROW(B64)&lt;LoanPeriod*12+ROW($B$9)-1,G63," ")</f>
        <v>161739.11466962655</v>
      </c>
      <c r="D64" s="130">
        <f>IF(ROW(C64)&lt;LoanPeriod*12+ROW($B$9)-1,MonthlyPayment," ")</f>
        <v>2017.0915511035114</v>
      </c>
      <c r="E64" s="130">
        <f>IF(ROW(C64)&lt;LoanPeriod*12+ROW($B$9)-1,C64*InterestRate/100/12," ")</f>
        <v>343.6956186729564</v>
      </c>
      <c r="F64" s="130">
        <f>IF(ROW(B64)&lt;LoanPeriod*12+ROW($B$9)-1,D64-E64," ")</f>
        <v>1673.395932430555</v>
      </c>
      <c r="G64" s="130">
        <f>IF(ROW(C64)&lt;LoanPeriod*12+ROW($B$9)-1,C64-F64," ")</f>
        <v>160065.718737196</v>
      </c>
    </row>
    <row r="65">
      <c r="A65" t="s">
        <v>6</v>
      </c>
      <c r="B65" s="129">
        <f>IF(ROW(B65)&lt;LoanPeriod*12+ROW($B$9)-1,EDATE(B64,1)," ")</f>
        <v>47757</v>
      </c>
      <c r="C65" s="130">
        <f>IF(ROW(B65)&lt;LoanPeriod*12+ROW($B$9)-1,G64," ")</f>
        <v>160065.718737196</v>
      </c>
      <c r="D65" s="130">
        <f>IF(ROW(C65)&lt;LoanPeriod*12+ROW($B$9)-1,MonthlyPayment," ")</f>
        <v>2017.0915511035114</v>
      </c>
      <c r="E65" s="130">
        <f>IF(ROW(C65)&lt;LoanPeriod*12+ROW($B$9)-1,C65*InterestRate/100/12," ")</f>
        <v>340.13965231654146</v>
      </c>
      <c r="F65" s="130">
        <f>IF(ROW(B65)&lt;LoanPeriod*12+ROW($B$9)-1,D65-E65," ")</f>
        <v>1676.9518987869699</v>
      </c>
      <c r="G65" s="130">
        <f>IF(ROW(C65)&lt;LoanPeriod*12+ROW($B$9)-1,C65-F65," ")</f>
        <v>158388.76683840904</v>
      </c>
    </row>
    <row r="66">
      <c r="A66" t="s">
        <v>6</v>
      </c>
      <c r="B66" s="129">
        <f>IF(ROW(B66)&lt;LoanPeriod*12+ROW($B$9)-1,EDATE(B65,1)," ")</f>
        <v>47788</v>
      </c>
      <c r="C66" s="130">
        <f>IF(ROW(B66)&lt;LoanPeriod*12+ROW($B$9)-1,G65," ")</f>
        <v>158388.76683840904</v>
      </c>
      <c r="D66" s="130">
        <f>IF(ROW(C66)&lt;LoanPeriod*12+ROW($B$9)-1,MonthlyPayment," ")</f>
        <v>2017.0915511035114</v>
      </c>
      <c r="E66" s="130">
        <f>IF(ROW(C66)&lt;LoanPeriod*12+ROW($B$9)-1,C66*InterestRate/100/12," ")</f>
        <v>336.5761295316192</v>
      </c>
      <c r="F66" s="130">
        <f>IF(ROW(B66)&lt;LoanPeriod*12+ROW($B$9)-1,D66-E66," ")</f>
        <v>1680.5154215718921</v>
      </c>
      <c r="G66" s="130">
        <f>IF(ROW(C66)&lt;LoanPeriod*12+ROW($B$9)-1,C66-F66," ")</f>
        <v>156708.25141683716</v>
      </c>
    </row>
    <row r="67">
      <c r="A67" t="s">
        <v>6</v>
      </c>
      <c r="B67" s="129">
        <f>IF(ROW(B67)&lt;LoanPeriod*12+ROW($B$9)-1,EDATE(B66,1)," ")</f>
        <v>47818</v>
      </c>
      <c r="C67" s="130">
        <f>IF(ROW(B67)&lt;LoanPeriod*12+ROW($B$9)-1,G66," ")</f>
        <v>156708.25141683716</v>
      </c>
      <c r="D67" s="130">
        <f>IF(ROW(C67)&lt;LoanPeriod*12+ROW($B$9)-1,MonthlyPayment," ")</f>
        <v>2017.0915511035114</v>
      </c>
      <c r="E67" s="130">
        <f>IF(ROW(C67)&lt;LoanPeriod*12+ROW($B$9)-1,C67*InterestRate/100/12," ")</f>
        <v>333.0050342607789</v>
      </c>
      <c r="F67" s="130">
        <f>IF(ROW(B67)&lt;LoanPeriod*12+ROW($B$9)-1,D67-E67," ")</f>
        <v>1684.0865168427324</v>
      </c>
      <c r="G67" s="130">
        <f>IF(ROW(C67)&lt;LoanPeriod*12+ROW($B$9)-1,C67-F67," ")</f>
        <v>155024.16489999442</v>
      </c>
    </row>
    <row r="68">
      <c r="A68" t="s">
        <v>6</v>
      </c>
      <c r="B68" s="129">
        <f>IF(ROW(B68)&lt;LoanPeriod*12+ROW($B$9)-1,EDATE(B67,1)," ")</f>
        <v>47849</v>
      </c>
      <c r="C68" s="130">
        <f>IF(ROW(B68)&lt;LoanPeriod*12+ROW($B$9)-1,G67," ")</f>
        <v>155024.16489999442</v>
      </c>
      <c r="D68" s="130">
        <f>IF(ROW(C68)&lt;LoanPeriod*12+ROW($B$9)-1,MonthlyPayment," ")</f>
        <v>2017.0915511035114</v>
      </c>
      <c r="E68" s="130">
        <f>IF(ROW(C68)&lt;LoanPeriod*12+ROW($B$9)-1,C68*InterestRate/100/12," ")</f>
        <v>329.4263504124881</v>
      </c>
      <c r="F68" s="130">
        <f>IF(ROW(B68)&lt;LoanPeriod*12+ROW($B$9)-1,D68-E68," ")</f>
        <v>1687.6652006910233</v>
      </c>
      <c r="G68" s="130">
        <f>IF(ROW(C68)&lt;LoanPeriod*12+ROW($B$9)-1,C68-F68," ")</f>
        <v>153336.4996993034</v>
      </c>
    </row>
    <row r="69">
      <c r="A69" t="s">
        <v>6</v>
      </c>
      <c r="B69" s="129">
        <f>IF(ROW(B69)&lt;LoanPeriod*12+ROW($B$9)-1,EDATE(B68,1)," ")</f>
        <v>47880</v>
      </c>
      <c r="C69" s="130">
        <f>IF(ROW(B69)&lt;LoanPeriod*12+ROW($B$9)-1,G68," ")</f>
        <v>153336.4996993034</v>
      </c>
      <c r="D69" s="130">
        <f>IF(ROW(C69)&lt;LoanPeriod*12+ROW($B$9)-1,MonthlyPayment," ")</f>
        <v>2017.0915511035114</v>
      </c>
      <c r="E69" s="130">
        <f>IF(ROW(C69)&lt;LoanPeriod*12+ROW($B$9)-1,C69*InterestRate/100/12," ")</f>
        <v>325.8400618610197</v>
      </c>
      <c r="F69" s="130">
        <f>IF(ROW(B69)&lt;LoanPeriod*12+ROW($B$9)-1,D69-E69," ")</f>
        <v>1691.2514892424917</v>
      </c>
      <c r="G69" s="130">
        <f>IF(ROW(C69)&lt;LoanPeriod*12+ROW($B$9)-1,C69-F69," ")</f>
        <v>151645.2482100609</v>
      </c>
    </row>
    <row r="70">
      <c r="A70" t="s">
        <v>6</v>
      </c>
      <c r="B70" s="129">
        <f>IF(ROW(B70)&lt;LoanPeriod*12+ROW($B$9)-1,EDATE(B69,1)," ")</f>
        <v>47908</v>
      </c>
      <c r="C70" s="130">
        <f>IF(ROW(B70)&lt;LoanPeriod*12+ROW($B$9)-1,G69," ")</f>
        <v>151645.2482100609</v>
      </c>
      <c r="D70" s="130">
        <f>IF(ROW(C70)&lt;LoanPeriod*12+ROW($B$9)-1,MonthlyPayment," ")</f>
        <v>2017.0915511035114</v>
      </c>
      <c r="E70" s="130">
        <f>IF(ROW(C70)&lt;LoanPeriod*12+ROW($B$9)-1,C70*InterestRate/100/12," ")</f>
        <v>322.2461524463794</v>
      </c>
      <c r="F70" s="130">
        <f>IF(ROW(B70)&lt;LoanPeriod*12+ROW($B$9)-1,D70-E70," ")</f>
        <v>1694.845398657132</v>
      </c>
      <c r="G70" s="130">
        <f>IF(ROW(C70)&lt;LoanPeriod*12+ROW($B$9)-1,C70-F70," ")</f>
        <v>149950.40281140376</v>
      </c>
    </row>
    <row r="71">
      <c r="A71" t="s">
        <v>6</v>
      </c>
      <c r="B71" s="129">
        <f>IF(ROW(B71)&lt;LoanPeriod*12+ROW($B$9)-1,EDATE(B70,1)," ")</f>
        <v>47939</v>
      </c>
      <c r="C71" s="130">
        <f>IF(ROW(B71)&lt;LoanPeriod*12+ROW($B$9)-1,G70," ")</f>
        <v>149950.40281140376</v>
      </c>
      <c r="D71" s="130">
        <f>IF(ROW(C71)&lt;LoanPeriod*12+ROW($B$9)-1,MonthlyPayment," ")</f>
        <v>2017.0915511035114</v>
      </c>
      <c r="E71" s="130">
        <f>IF(ROW(C71)&lt;LoanPeriod*12+ROW($B$9)-1,C71*InterestRate/100/12," ")</f>
        <v>318.644605974233</v>
      </c>
      <c r="F71" s="130">
        <f>IF(ROW(B71)&lt;LoanPeriod*12+ROW($B$9)-1,D71-E71," ")</f>
        <v>1698.4469451292784</v>
      </c>
      <c r="G71" s="130">
        <f>IF(ROW(C71)&lt;LoanPeriod*12+ROW($B$9)-1,C71-F71," ")</f>
        <v>148251.95586627448</v>
      </c>
    </row>
    <row r="72">
      <c r="A72" t="s">
        <v>6</v>
      </c>
      <c r="B72" s="129">
        <f>IF(ROW(B72)&lt;LoanPeriod*12+ROW($B$9)-1,EDATE(B71,1)," ")</f>
        <v>47969</v>
      </c>
      <c r="C72" s="130">
        <f>IF(ROW(B72)&lt;LoanPeriod*12+ROW($B$9)-1,G71," ")</f>
        <v>148251.95586627448</v>
      </c>
      <c r="D72" s="130">
        <f>IF(ROW(C72)&lt;LoanPeriod*12+ROW($B$9)-1,MonthlyPayment," ")</f>
        <v>2017.0915511035114</v>
      </c>
      <c r="E72" s="130">
        <f>IF(ROW(C72)&lt;LoanPeriod*12+ROW($B$9)-1,C72*InterestRate/100/12," ")</f>
        <v>315.03540621583323</v>
      </c>
      <c r="F72" s="130">
        <f>IF(ROW(B72)&lt;LoanPeriod*12+ROW($B$9)-1,D72-E72," ")</f>
        <v>1702.056144887678</v>
      </c>
      <c r="G72" s="130">
        <f>IF(ROW(C72)&lt;LoanPeriod*12+ROW($B$9)-1,C72-F72," ")</f>
        <v>146549.8997213868</v>
      </c>
    </row>
    <row r="73">
      <c r="A73" t="s">
        <v>6</v>
      </c>
      <c r="B73" s="129">
        <f>IF(ROW(B73)&lt;LoanPeriod*12+ROW($B$9)-1,EDATE(B72,1)," ")</f>
        <v>48000</v>
      </c>
      <c r="C73" s="130">
        <f>IF(ROW(B73)&lt;LoanPeriod*12+ROW($B$9)-1,G72," ")</f>
        <v>146549.8997213868</v>
      </c>
      <c r="D73" s="130">
        <f>IF(ROW(C73)&lt;LoanPeriod*12+ROW($B$9)-1,MonthlyPayment," ")</f>
        <v>2017.0915511035114</v>
      </c>
      <c r="E73" s="130">
        <f>IF(ROW(C73)&lt;LoanPeriod*12+ROW($B$9)-1,C73*InterestRate/100/12," ")</f>
        <v>311.41853690794693</v>
      </c>
      <c r="F73" s="130">
        <f>IF(ROW(B73)&lt;LoanPeriod*12+ROW($B$9)-1,D73-E73," ")</f>
        <v>1705.6730141955645</v>
      </c>
      <c r="G73" s="130">
        <f>IF(ROW(C73)&lt;LoanPeriod*12+ROW($B$9)-1,C73-F73," ")</f>
        <v>144844.22670719124</v>
      </c>
    </row>
    <row r="74">
      <c r="A74" t="s">
        <v>6</v>
      </c>
      <c r="B74" s="129">
        <f>IF(ROW(B74)&lt;LoanPeriod*12+ROW($B$9)-1,EDATE(B73,1)," ")</f>
        <v>48030</v>
      </c>
      <c r="C74" s="130">
        <f>IF(ROW(B74)&lt;LoanPeriod*12+ROW($B$9)-1,G73," ")</f>
        <v>144844.22670719124</v>
      </c>
      <c r="D74" s="130">
        <f>IF(ROW(C74)&lt;LoanPeriod*12+ROW($B$9)-1,MonthlyPayment," ")</f>
        <v>2017.0915511035114</v>
      </c>
      <c r="E74" s="130">
        <f>IF(ROW(C74)&lt;LoanPeriod*12+ROW($B$9)-1,C74*InterestRate/100/12," ")</f>
        <v>307.79398175278135</v>
      </c>
      <c r="F74" s="130">
        <f>IF(ROW(B74)&lt;LoanPeriod*12+ROW($B$9)-1,D74-E74," ")</f>
        <v>1709.29756935073</v>
      </c>
      <c r="G74" s="130">
        <f>IF(ROW(C74)&lt;LoanPeriod*12+ROW($B$9)-1,C74-F74," ")</f>
        <v>143134.92913784052</v>
      </c>
    </row>
    <row r="75">
      <c r="A75" t="s">
        <v>6</v>
      </c>
      <c r="B75" s="129">
        <f>IF(ROW(B75)&lt;LoanPeriod*12+ROW($B$9)-1,EDATE(B74,1)," ")</f>
        <v>48061</v>
      </c>
      <c r="C75" s="130">
        <f>IF(ROW(B75)&lt;LoanPeriod*12+ROW($B$9)-1,G74," ")</f>
        <v>143134.92913784052</v>
      </c>
      <c r="D75" s="130">
        <f>IF(ROW(C75)&lt;LoanPeriod*12+ROW($B$9)-1,MonthlyPayment," ")</f>
        <v>2017.0915511035114</v>
      </c>
      <c r="E75" s="130">
        <f>IF(ROW(C75)&lt;LoanPeriod*12+ROW($B$9)-1,C75*InterestRate/100/12," ")</f>
        <v>304.1617244179111</v>
      </c>
      <c r="F75" s="130">
        <f>IF(ROW(B75)&lt;LoanPeriod*12+ROW($B$9)-1,D75-E75," ")</f>
        <v>1712.9298266856003</v>
      </c>
      <c r="G75" s="130">
        <f>IF(ROW(C75)&lt;LoanPeriod*12+ROW($B$9)-1,C75-F75," ")</f>
        <v>141421.9993111549</v>
      </c>
    </row>
    <row r="76">
      <c r="A76" t="s">
        <v>6</v>
      </c>
      <c r="B76" s="129">
        <f>IF(ROW(B76)&lt;LoanPeriod*12+ROW($B$9)-1,EDATE(B75,1)," ")</f>
        <v>48092</v>
      </c>
      <c r="C76" s="130">
        <f>IF(ROW(B76)&lt;LoanPeriod*12+ROW($B$9)-1,G75," ")</f>
        <v>141421.9993111549</v>
      </c>
      <c r="D76" s="130">
        <f>IF(ROW(C76)&lt;LoanPeriod*12+ROW($B$9)-1,MonthlyPayment," ")</f>
        <v>2017.0915511035114</v>
      </c>
      <c r="E76" s="130">
        <f>IF(ROW(C76)&lt;LoanPeriod*12+ROW($B$9)-1,C76*InterestRate/100/12," ")</f>
        <v>300.52174853620414</v>
      </c>
      <c r="F76" s="130">
        <f>IF(ROW(B76)&lt;LoanPeriod*12+ROW($B$9)-1,D76-E76," ")</f>
        <v>1716.5698025673073</v>
      </c>
      <c r="G76" s="130">
        <f>IF(ROW(C76)&lt;LoanPeriod*12+ROW($B$9)-1,C76-F76," ")</f>
        <v>139705.4295085876</v>
      </c>
    </row>
    <row r="77">
      <c r="A77" t="s">
        <v>6</v>
      </c>
      <c r="B77" s="129">
        <f>IF(ROW(B77)&lt;LoanPeriod*12+ROW($B$9)-1,EDATE(B76,1)," ")</f>
        <v>48122</v>
      </c>
      <c r="C77" s="130">
        <f>IF(ROW(B77)&lt;LoanPeriod*12+ROW($B$9)-1,G76," ")</f>
        <v>139705.4295085876</v>
      </c>
      <c r="D77" s="130">
        <f>IF(ROW(C77)&lt;LoanPeriod*12+ROW($B$9)-1,MonthlyPayment," ")</f>
        <v>2017.0915511035114</v>
      </c>
      <c r="E77" s="130">
        <f>IF(ROW(C77)&lt;LoanPeriod*12+ROW($B$9)-1,C77*InterestRate/100/12," ")</f>
        <v>296.87403770574866</v>
      </c>
      <c r="F77" s="130">
        <f>IF(ROW(B77)&lt;LoanPeriod*12+ROW($B$9)-1,D77-E77," ")</f>
        <v>1720.2175133977628</v>
      </c>
      <c r="G77" s="130">
        <f>IF(ROW(C77)&lt;LoanPeriod*12+ROW($B$9)-1,C77-F77," ")</f>
        <v>137985.21199518983</v>
      </c>
    </row>
    <row r="78">
      <c r="A78" t="s">
        <v>6</v>
      </c>
      <c r="B78" s="129">
        <f>IF(ROW(B78)&lt;LoanPeriod*12+ROW($B$9)-1,EDATE(B77,1)," ")</f>
        <v>48153</v>
      </c>
      <c r="C78" s="130">
        <f>IF(ROW(B78)&lt;LoanPeriod*12+ROW($B$9)-1,G77," ")</f>
        <v>137985.21199518983</v>
      </c>
      <c r="D78" s="130">
        <f>IF(ROW(C78)&lt;LoanPeriod*12+ROW($B$9)-1,MonthlyPayment," ")</f>
        <v>2017.0915511035114</v>
      </c>
      <c r="E78" s="130">
        <f>IF(ROW(C78)&lt;LoanPeriod*12+ROW($B$9)-1,C78*InterestRate/100/12," ")</f>
        <v>293.2185754897784</v>
      </c>
      <c r="F78" s="130">
        <f>IF(ROW(B78)&lt;LoanPeriod*12+ROW($B$9)-1,D78-E78," ")</f>
        <v>1723.872975613733</v>
      </c>
      <c r="G78" s="130">
        <f>IF(ROW(C78)&lt;LoanPeriod*12+ROW($B$9)-1,C78-F78," ")</f>
        <v>136261.3390195761</v>
      </c>
    </row>
    <row r="79">
      <c r="A79" t="s">
        <v>6</v>
      </c>
      <c r="B79" s="129">
        <f>IF(ROW(B79)&lt;LoanPeriod*12+ROW($B$9)-1,EDATE(B78,1)," ")</f>
        <v>48183</v>
      </c>
      <c r="C79" s="130">
        <f>IF(ROW(B79)&lt;LoanPeriod*12+ROW($B$9)-1,G78," ")</f>
        <v>136261.3390195761</v>
      </c>
      <c r="D79" s="130">
        <f>IF(ROW(C79)&lt;LoanPeriod*12+ROW($B$9)-1,MonthlyPayment," ")</f>
        <v>2017.0915511035114</v>
      </c>
      <c r="E79" s="130">
        <f>IF(ROW(C79)&lt;LoanPeriod*12+ROW($B$9)-1,C79*InterestRate/100/12," ")</f>
        <v>289.55534541659915</v>
      </c>
      <c r="F79" s="130">
        <f>IF(ROW(B79)&lt;LoanPeriod*12+ROW($B$9)-1,D79-E79," ")</f>
        <v>1727.5362056869121</v>
      </c>
      <c r="G79" s="130">
        <f>IF(ROW(C79)&lt;LoanPeriod*12+ROW($B$9)-1,C79-F79," ")</f>
        <v>134533.80281388917</v>
      </c>
    </row>
    <row r="80">
      <c r="A80" t="s">
        <v>6</v>
      </c>
      <c r="B80" s="129">
        <f>IF(ROW(B80)&lt;LoanPeriod*12+ROW($B$9)-1,EDATE(B79,1)," ")</f>
        <v>48214</v>
      </c>
      <c r="C80" s="130">
        <f>IF(ROW(B80)&lt;LoanPeriod*12+ROW($B$9)-1,G79," ")</f>
        <v>134533.80281388917</v>
      </c>
      <c r="D80" s="130">
        <f>IF(ROW(C80)&lt;LoanPeriod*12+ROW($B$9)-1,MonthlyPayment," ")</f>
        <v>2017.0915511035114</v>
      </c>
      <c r="E80" s="130">
        <f>IF(ROW(C80)&lt;LoanPeriod*12+ROW($B$9)-1,C80*InterestRate/100/12," ")</f>
        <v>285.88433097951446</v>
      </c>
      <c r="F80" s="130">
        <f>IF(ROW(B80)&lt;LoanPeriod*12+ROW($B$9)-1,D80-E80," ")</f>
        <v>1731.2072201239969</v>
      </c>
      <c r="G80" s="130">
        <f>IF(ROW(C80)&lt;LoanPeriod*12+ROW($B$9)-1,C80-F80," ")</f>
        <v>132802.59559376517</v>
      </c>
    </row>
    <row r="81">
      <c r="A81" t="s">
        <v>6</v>
      </c>
      <c r="B81" s="129">
        <f>IF(ROW(B81)&lt;LoanPeriod*12+ROW($B$9)-1,EDATE(B80,1)," ")</f>
        <v>48245</v>
      </c>
      <c r="C81" s="130">
        <f>IF(ROW(B81)&lt;LoanPeriod*12+ROW($B$9)-1,G80," ")</f>
        <v>132802.59559376517</v>
      </c>
      <c r="D81" s="130">
        <f>IF(ROW(C81)&lt;LoanPeriod*12+ROW($B$9)-1,MonthlyPayment," ")</f>
        <v>2017.0915511035114</v>
      </c>
      <c r="E81" s="130">
        <f>IF(ROW(C81)&lt;LoanPeriod*12+ROW($B$9)-1,C81*InterestRate/100/12," ")</f>
        <v>282.205515636751</v>
      </c>
      <c r="F81" s="130">
        <f>IF(ROW(B81)&lt;LoanPeriod*12+ROW($B$9)-1,D81-E81," ")</f>
        <v>1734.8860354667604</v>
      </c>
      <c r="G81" s="130">
        <f>IF(ROW(C81)&lt;LoanPeriod*12+ROW($B$9)-1,C81-F81," ")</f>
        <v>131067.70955829842</v>
      </c>
    </row>
    <row r="82">
      <c r="A82" t="s">
        <v>6</v>
      </c>
      <c r="B82" s="129">
        <f>IF(ROW(B82)&lt;LoanPeriod*12+ROW($B$9)-1,EDATE(B81,1)," ")</f>
        <v>48274</v>
      </c>
      <c r="C82" s="130">
        <f>IF(ROW(B82)&lt;LoanPeriod*12+ROW($B$9)-1,G81," ")</f>
        <v>131067.70955829842</v>
      </c>
      <c r="D82" s="130">
        <f>IF(ROW(C82)&lt;LoanPeriod*12+ROW($B$9)-1,MonthlyPayment," ")</f>
        <v>2017.0915511035114</v>
      </c>
      <c r="E82" s="130">
        <f>IF(ROW(C82)&lt;LoanPeriod*12+ROW($B$9)-1,C82*InterestRate/100/12," ")</f>
        <v>278.5188828113841</v>
      </c>
      <c r="F82" s="130">
        <f>IF(ROW(B82)&lt;LoanPeriod*12+ROW($B$9)-1,D82-E82," ")</f>
        <v>1738.5726682921272</v>
      </c>
      <c r="G82" s="130">
        <f>IF(ROW(C82)&lt;LoanPeriod*12+ROW($B$9)-1,C82-F82," ")</f>
        <v>129329.1368900063</v>
      </c>
    </row>
    <row r="83">
      <c r="A83" t="s">
        <v>6</v>
      </c>
      <c r="B83" s="129">
        <f>IF(ROW(B83)&lt;LoanPeriod*12+ROW($B$9)-1,EDATE(B82,1)," ")</f>
        <v>48305</v>
      </c>
      <c r="C83" s="130">
        <f>IF(ROW(B83)&lt;LoanPeriod*12+ROW($B$9)-1,G82," ")</f>
        <v>129329.1368900063</v>
      </c>
      <c r="D83" s="130">
        <f>IF(ROW(C83)&lt;LoanPeriod*12+ROW($B$9)-1,MonthlyPayment," ")</f>
        <v>2017.0915511035114</v>
      </c>
      <c r="E83" s="130">
        <f>IF(ROW(C83)&lt;LoanPeriod*12+ROW($B$9)-1,C83*InterestRate/100/12," ")</f>
        <v>274.82441589126336</v>
      </c>
      <c r="F83" s="130">
        <f>IF(ROW(B83)&lt;LoanPeriod*12+ROW($B$9)-1,D83-E83," ")</f>
        <v>1742.267135212248</v>
      </c>
      <c r="G83" s="130">
        <f>IF(ROW(C83)&lt;LoanPeriod*12+ROW($B$9)-1,C83-F83," ")</f>
        <v>127586.86975479405</v>
      </c>
    </row>
    <row r="84">
      <c r="A84" t="s">
        <v>6</v>
      </c>
      <c r="B84" s="129">
        <f>IF(ROW(B84)&lt;LoanPeriod*12+ROW($B$9)-1,EDATE(B83,1)," ")</f>
        <v>48335</v>
      </c>
      <c r="C84" s="130">
        <f>IF(ROW(B84)&lt;LoanPeriod*12+ROW($B$9)-1,G83," ")</f>
        <v>127586.86975479405</v>
      </c>
      <c r="D84" s="130">
        <f>IF(ROW(C84)&lt;LoanPeriod*12+ROW($B$9)-1,MonthlyPayment," ")</f>
        <v>2017.0915511035114</v>
      </c>
      <c r="E84" s="130">
        <f>IF(ROW(C84)&lt;LoanPeriod*12+ROW($B$9)-1,C84*InterestRate/100/12," ")</f>
        <v>271.1220982289373</v>
      </c>
      <c r="F84" s="130">
        <f>IF(ROW(B84)&lt;LoanPeriod*12+ROW($B$9)-1,D84-E84," ")</f>
        <v>1745.969452874574</v>
      </c>
      <c r="G84" s="130">
        <f>IF(ROW(C84)&lt;LoanPeriod*12+ROW($B$9)-1,C84-F84," ")</f>
        <v>125840.90030191948</v>
      </c>
    </row>
    <row r="85">
      <c r="A85" t="s">
        <v>6</v>
      </c>
      <c r="B85" s="129">
        <f>IF(ROW(B85)&lt;LoanPeriod*12+ROW($B$9)-1,EDATE(B84,1)," ")</f>
        <v>48366</v>
      </c>
      <c r="C85" s="130">
        <f>IF(ROW(B85)&lt;LoanPeriod*12+ROW($B$9)-1,G84," ")</f>
        <v>125840.90030191948</v>
      </c>
      <c r="D85" s="130">
        <f>IF(ROW(C85)&lt;LoanPeriod*12+ROW($B$9)-1,MonthlyPayment," ")</f>
        <v>2017.0915511035114</v>
      </c>
      <c r="E85" s="130">
        <f>IF(ROW(C85)&lt;LoanPeriod*12+ROW($B$9)-1,C85*InterestRate/100/12," ")</f>
        <v>267.4119131415789</v>
      </c>
      <c r="F85" s="130">
        <f>IF(ROW(B85)&lt;LoanPeriod*12+ROW($B$9)-1,D85-E85," ")</f>
        <v>1749.6796379619325</v>
      </c>
      <c r="G85" s="130">
        <f>IF(ROW(C85)&lt;LoanPeriod*12+ROW($B$9)-1,C85-F85," ")</f>
        <v>124091.22066395755</v>
      </c>
    </row>
    <row r="86">
      <c r="A86" t="s">
        <v>6</v>
      </c>
      <c r="B86" s="129">
        <f>IF(ROW(B86)&lt;LoanPeriod*12+ROW($B$9)-1,EDATE(B85,1)," ")</f>
        <v>48396</v>
      </c>
      <c r="C86" s="130">
        <f>IF(ROW(B86)&lt;LoanPeriod*12+ROW($B$9)-1,G85," ")</f>
        <v>124091.22066395755</v>
      </c>
      <c r="D86" s="130">
        <f>IF(ROW(C86)&lt;LoanPeriod*12+ROW($B$9)-1,MonthlyPayment," ")</f>
        <v>2017.0915511035114</v>
      </c>
      <c r="E86" s="130">
        <f>IF(ROW(C86)&lt;LoanPeriod*12+ROW($B$9)-1,C86*InterestRate/100/12," ")</f>
        <v>263.6938439109098</v>
      </c>
      <c r="F86" s="130">
        <f>IF(ROW(B86)&lt;LoanPeriod*12+ROW($B$9)-1,D86-E86," ")</f>
        <v>1753.3977071926015</v>
      </c>
      <c r="G86" s="130">
        <f>IF(ROW(C86)&lt;LoanPeriod*12+ROW($B$9)-1,C86-F86," ")</f>
        <v>122337.82295676494</v>
      </c>
    </row>
    <row r="87">
      <c r="A87" t="s">
        <v>6</v>
      </c>
      <c r="B87" s="129">
        <f>IF(ROW(B87)&lt;LoanPeriod*12+ROW($B$9)-1,EDATE(B86,1)," ")</f>
        <v>48427</v>
      </c>
      <c r="C87" s="130">
        <f>IF(ROW(B87)&lt;LoanPeriod*12+ROW($B$9)-1,G86," ")</f>
        <v>122337.82295676494</v>
      </c>
      <c r="D87" s="130">
        <f>IF(ROW(C87)&lt;LoanPeriod*12+ROW($B$9)-1,MonthlyPayment," ")</f>
        <v>2017.0915511035114</v>
      </c>
      <c r="E87" s="130">
        <f>IF(ROW(C87)&lt;LoanPeriod*12+ROW($B$9)-1,C87*InterestRate/100/12," ")</f>
        <v>259.9678737831255</v>
      </c>
      <c r="F87" s="130">
        <f>IF(ROW(B87)&lt;LoanPeriod*12+ROW($B$9)-1,D87-E87," ")</f>
        <v>1757.123677320386</v>
      </c>
      <c r="G87" s="130">
        <f>IF(ROW(C87)&lt;LoanPeriod*12+ROW($B$9)-1,C87-F87," ")</f>
        <v>120580.69927944455</v>
      </c>
    </row>
    <row r="88">
      <c r="A88" t="s">
        <v>6</v>
      </c>
      <c r="B88" s="129">
        <f>IF(ROW(B88)&lt;LoanPeriod*12+ROW($B$9)-1,EDATE(B87,1)," ")</f>
        <v>48458</v>
      </c>
      <c r="C88" s="130">
        <f>IF(ROW(B88)&lt;LoanPeriod*12+ROW($B$9)-1,G87," ")</f>
        <v>120580.69927944455</v>
      </c>
      <c r="D88" s="130">
        <f>IF(ROW(C88)&lt;LoanPeriod*12+ROW($B$9)-1,MonthlyPayment," ")</f>
        <v>2017.0915511035114</v>
      </c>
      <c r="E88" s="130">
        <f>IF(ROW(C88)&lt;LoanPeriod*12+ROW($B$9)-1,C88*InterestRate/100/12," ")</f>
        <v>256.2339859688197</v>
      </c>
      <c r="F88" s="130">
        <f>IF(ROW(B88)&lt;LoanPeriod*12+ROW($B$9)-1,D88-E88," ")</f>
        <v>1760.8575651346916</v>
      </c>
      <c r="G88" s="130">
        <f>IF(ROW(C88)&lt;LoanPeriod*12+ROW($B$9)-1,C88-F88," ")</f>
        <v>118819.84171430986</v>
      </c>
    </row>
    <row r="89">
      <c r="A89" t="s">
        <v>6</v>
      </c>
      <c r="B89" s="129">
        <f>IF(ROW(B89)&lt;LoanPeriod*12+ROW($B$9)-1,EDATE(B88,1)," ")</f>
        <v>48488</v>
      </c>
      <c r="C89" s="130">
        <f>IF(ROW(B89)&lt;LoanPeriod*12+ROW($B$9)-1,G88," ")</f>
        <v>118819.84171430986</v>
      </c>
      <c r="D89" s="130">
        <f>IF(ROW(C89)&lt;LoanPeriod*12+ROW($B$9)-1,MonthlyPayment," ")</f>
        <v>2017.0915511035114</v>
      </c>
      <c r="E89" s="130">
        <f>IF(ROW(C89)&lt;LoanPeriod*12+ROW($B$9)-1,C89*InterestRate/100/12," ")</f>
        <v>252.49216364290842</v>
      </c>
      <c r="F89" s="130">
        <f>IF(ROW(B89)&lt;LoanPeriod*12+ROW($B$9)-1,D89-E89," ")</f>
        <v>1764.5993874606029</v>
      </c>
      <c r="G89" s="130">
        <f>IF(ROW(C89)&lt;LoanPeriod*12+ROW($B$9)-1,C89-F89," ")</f>
        <v>117055.24232684926</v>
      </c>
    </row>
    <row r="90">
      <c r="A90" t="s">
        <v>6</v>
      </c>
      <c r="B90" s="129">
        <f>IF(ROW(B90)&lt;LoanPeriod*12+ROW($B$9)-1,EDATE(B89,1)," ")</f>
        <v>48519</v>
      </c>
      <c r="C90" s="130">
        <f>IF(ROW(B90)&lt;LoanPeriod*12+ROW($B$9)-1,G89," ")</f>
        <v>117055.24232684926</v>
      </c>
      <c r="D90" s="130">
        <f>IF(ROW(C90)&lt;LoanPeriod*12+ROW($B$9)-1,MonthlyPayment," ")</f>
        <v>2017.0915511035114</v>
      </c>
      <c r="E90" s="130">
        <f>IF(ROW(C90)&lt;LoanPeriod*12+ROW($B$9)-1,C90*InterestRate/100/12," ")</f>
        <v>248.74238994455467</v>
      </c>
      <c r="F90" s="130">
        <f>IF(ROW(B90)&lt;LoanPeriod*12+ROW($B$9)-1,D90-E90," ")</f>
        <v>1768.3491611589568</v>
      </c>
      <c r="G90" s="130">
        <f>IF(ROW(C90)&lt;LoanPeriod*12+ROW($B$9)-1,C90-F90," ")</f>
        <v>115286.8931656903</v>
      </c>
    </row>
    <row r="91">
      <c r="A91" t="s">
        <v>6</v>
      </c>
      <c r="B91" s="129">
        <f>IF(ROW(B91)&lt;LoanPeriod*12+ROW($B$9)-1,EDATE(B90,1)," ")</f>
        <v>48549</v>
      </c>
      <c r="C91" s="130">
        <f>IF(ROW(B91)&lt;LoanPeriod*12+ROW($B$9)-1,G90," ")</f>
        <v>115286.8931656903</v>
      </c>
      <c r="D91" s="130">
        <f>IF(ROW(C91)&lt;LoanPeriod*12+ROW($B$9)-1,MonthlyPayment," ")</f>
        <v>2017.0915511035114</v>
      </c>
      <c r="E91" s="130">
        <f>IF(ROW(C91)&lt;LoanPeriod*12+ROW($B$9)-1,C91*InterestRate/100/12," ")</f>
        <v>244.98464797709187</v>
      </c>
      <c r="F91" s="130">
        <f>IF(ROW(B91)&lt;LoanPeriod*12+ROW($B$9)-1,D91-E91," ")</f>
        <v>1772.1069031264196</v>
      </c>
      <c r="G91" s="130">
        <f>IF(ROW(C91)&lt;LoanPeriod*12+ROW($B$9)-1,C91-F91," ")</f>
        <v>113514.78626256388</v>
      </c>
    </row>
    <row r="92">
      <c r="A92" t="s">
        <v>6</v>
      </c>
      <c r="B92" s="129">
        <f>IF(ROW(B92)&lt;LoanPeriod*12+ROW($B$9)-1,EDATE(B91,1)," ")</f>
        <v>48580</v>
      </c>
      <c r="C92" s="130">
        <f>IF(ROW(B92)&lt;LoanPeriod*12+ROW($B$9)-1,G91," ")</f>
        <v>113514.78626256388</v>
      </c>
      <c r="D92" s="130">
        <f>IF(ROW(C92)&lt;LoanPeriod*12+ROW($B$9)-1,MonthlyPayment," ")</f>
        <v>2017.0915511035114</v>
      </c>
      <c r="E92" s="130">
        <f>IF(ROW(C92)&lt;LoanPeriod*12+ROW($B$9)-1,C92*InterestRate/100/12," ")</f>
        <v>241.2189208079482</v>
      </c>
      <c r="F92" s="130">
        <f>IF(ROW(B92)&lt;LoanPeriod*12+ROW($B$9)-1,D92-E92," ")</f>
        <v>1775.872630295563</v>
      </c>
      <c r="G92" s="130">
        <f>IF(ROW(C92)&lt;LoanPeriod*12+ROW($B$9)-1,C92-F92," ")</f>
        <v>111738.91363226832</v>
      </c>
    </row>
    <row r="93">
      <c r="A93" t="s">
        <v>6</v>
      </c>
      <c r="B93" s="129">
        <f>IF(ROW(B93)&lt;LoanPeriod*12+ROW($B$9)-1,EDATE(B92,1)," ")</f>
        <v>48611</v>
      </c>
      <c r="C93" s="130">
        <f>IF(ROW(B93)&lt;LoanPeriod*12+ROW($B$9)-1,G92," ")</f>
        <v>111738.91363226832</v>
      </c>
      <c r="D93" s="130">
        <f>IF(ROW(C93)&lt;LoanPeriod*12+ROW($B$9)-1,MonthlyPayment," ")</f>
        <v>2017.0915511035114</v>
      </c>
      <c r="E93" s="130">
        <f>IF(ROW(C93)&lt;LoanPeriod*12+ROW($B$9)-1,C93*InterestRate/100/12," ")</f>
        <v>237.4451914685702</v>
      </c>
      <c r="F93" s="130">
        <f>IF(ROW(B93)&lt;LoanPeriod*12+ROW($B$9)-1,D93-E93," ")</f>
        <v>1779.6463596349413</v>
      </c>
      <c r="G93" s="130">
        <f>IF(ROW(C93)&lt;LoanPeriod*12+ROW($B$9)-1,C93-F93," ")</f>
        <v>109959.26727263338</v>
      </c>
    </row>
    <row r="94">
      <c r="A94" t="s">
        <v>6</v>
      </c>
      <c r="B94" s="129">
        <f>IF(ROW(B94)&lt;LoanPeriod*12+ROW($B$9)-1,EDATE(B93,1)," ")</f>
        <v>48639</v>
      </c>
      <c r="C94" s="130">
        <f>IF(ROW(B94)&lt;LoanPeriod*12+ROW($B$9)-1,G93," ")</f>
        <v>109959.26727263338</v>
      </c>
      <c r="D94" s="130">
        <f>IF(ROW(C94)&lt;LoanPeriod*12+ROW($B$9)-1,MonthlyPayment," ")</f>
        <v>2017.0915511035114</v>
      </c>
      <c r="E94" s="130">
        <f>IF(ROW(C94)&lt;LoanPeriod*12+ROW($B$9)-1,C94*InterestRate/100/12," ")</f>
        <v>233.6634429543459</v>
      </c>
      <c r="F94" s="130">
        <f>IF(ROW(B94)&lt;LoanPeriod*12+ROW($B$9)-1,D94-E94," ")</f>
        <v>1783.4281081491654</v>
      </c>
      <c r="G94" s="130">
        <f>IF(ROW(C94)&lt;LoanPeriod*12+ROW($B$9)-1,C94-F94," ")</f>
        <v>108175.83916448422</v>
      </c>
    </row>
    <row r="95">
      <c r="A95" t="s">
        <v>6</v>
      </c>
      <c r="B95" s="129">
        <f>IF(ROW(B95)&lt;LoanPeriod*12+ROW($B$9)-1,EDATE(B94,1)," ")</f>
        <v>48670</v>
      </c>
      <c r="C95" s="130">
        <f>IF(ROW(B95)&lt;LoanPeriod*12+ROW($B$9)-1,G94," ")</f>
        <v>108175.83916448422</v>
      </c>
      <c r="D95" s="130">
        <f>IF(ROW(C95)&lt;LoanPeriod*12+ROW($B$9)-1,MonthlyPayment," ")</f>
        <v>2017.0915511035114</v>
      </c>
      <c r="E95" s="130">
        <f>IF(ROW(C95)&lt;LoanPeriod*12+ROW($B$9)-1,C95*InterestRate/100/12," ")</f>
        <v>229.87365822452898</v>
      </c>
      <c r="F95" s="130">
        <f>IF(ROW(B95)&lt;LoanPeriod*12+ROW($B$9)-1,D95-E95," ")</f>
        <v>1787.2178928789824</v>
      </c>
      <c r="G95" s="130">
        <f>IF(ROW(C95)&lt;LoanPeriod*12+ROW($B$9)-1,C95-F95," ")</f>
        <v>106388.62127160524</v>
      </c>
    </row>
    <row r="96">
      <c r="A96" t="s">
        <v>6</v>
      </c>
      <c r="B96" s="129">
        <f>IF(ROW(B96)&lt;LoanPeriod*12+ROW($B$9)-1,EDATE(B95,1)," ")</f>
        <v>48700</v>
      </c>
      <c r="C96" s="130">
        <f>IF(ROW(B96)&lt;LoanPeriod*12+ROW($B$9)-1,G95," ")</f>
        <v>106388.62127160524</v>
      </c>
      <c r="D96" s="130">
        <f>IF(ROW(C96)&lt;LoanPeriod*12+ROW($B$9)-1,MonthlyPayment," ")</f>
        <v>2017.0915511035114</v>
      </c>
      <c r="E96" s="130">
        <f>IF(ROW(C96)&lt;LoanPeriod*12+ROW($B$9)-1,C96*InterestRate/100/12," ")</f>
        <v>226.07582020216114</v>
      </c>
      <c r="F96" s="130">
        <f>IF(ROW(B96)&lt;LoanPeriod*12+ROW($B$9)-1,D96-E96," ")</f>
        <v>1791.0157309013503</v>
      </c>
      <c r="G96" s="130">
        <f>IF(ROW(C96)&lt;LoanPeriod*12+ROW($B$9)-1,C96-F96," ")</f>
        <v>104597.6055407039</v>
      </c>
    </row>
    <row r="97">
      <c r="A97" t="s">
        <v>6</v>
      </c>
      <c r="B97" s="129">
        <f>IF(ROW(B97)&lt;LoanPeriod*12+ROW($B$9)-1,EDATE(B96,1)," ")</f>
        <v>48731</v>
      </c>
      <c r="C97" s="130">
        <f>IF(ROW(B97)&lt;LoanPeriod*12+ROW($B$9)-1,G96," ")</f>
        <v>104597.6055407039</v>
      </c>
      <c r="D97" s="130">
        <f>IF(ROW(C97)&lt;LoanPeriod*12+ROW($B$9)-1,MonthlyPayment," ")</f>
        <v>2017.0915511035114</v>
      </c>
      <c r="E97" s="130">
        <f>IF(ROW(C97)&lt;LoanPeriod*12+ROW($B$9)-1,C97*InterestRate/100/12," ")</f>
        <v>222.26991177399574</v>
      </c>
      <c r="F97" s="130">
        <f>IF(ROW(B97)&lt;LoanPeriod*12+ROW($B$9)-1,D97-E97," ")</f>
        <v>1794.8216393295156</v>
      </c>
      <c r="G97" s="130">
        <f>IF(ROW(C97)&lt;LoanPeriod*12+ROW($B$9)-1,C97-F97," ")</f>
        <v>102802.78390137438</v>
      </c>
    </row>
    <row r="98">
      <c r="A98" t="s">
        <v>6</v>
      </c>
      <c r="B98" s="129">
        <f>IF(ROW(B98)&lt;LoanPeriod*12+ROW($B$9)-1,EDATE(B97,1)," ")</f>
        <v>48761</v>
      </c>
      <c r="C98" s="130">
        <f>IF(ROW(B98)&lt;LoanPeriod*12+ROW($B$9)-1,G97," ")</f>
        <v>102802.78390137438</v>
      </c>
      <c r="D98" s="130">
        <f>IF(ROW(C98)&lt;LoanPeriod*12+ROW($B$9)-1,MonthlyPayment," ")</f>
        <v>2017.0915511035114</v>
      </c>
      <c r="E98" s="130">
        <f>IF(ROW(C98)&lt;LoanPeriod*12+ROW($B$9)-1,C98*InterestRate/100/12," ")</f>
        <v>218.45591579042056</v>
      </c>
      <c r="F98" s="130">
        <f>IF(ROW(B98)&lt;LoanPeriod*12+ROW($B$9)-1,D98-E98," ")</f>
        <v>1798.635635313091</v>
      </c>
      <c r="G98" s="130">
        <f>IF(ROW(C98)&lt;LoanPeriod*12+ROW($B$9)-1,C98-F98," ")</f>
        <v>101004.14826606128</v>
      </c>
    </row>
    <row r="99">
      <c r="A99" t="s">
        <v>6</v>
      </c>
      <c r="B99" s="129">
        <f>IF(ROW(B99)&lt;LoanPeriod*12+ROW($B$9)-1,EDATE(B98,1)," ")</f>
        <v>48792</v>
      </c>
      <c r="C99" s="130">
        <f>IF(ROW(B99)&lt;LoanPeriod*12+ROW($B$9)-1,G98," ")</f>
        <v>101004.14826606128</v>
      </c>
      <c r="D99" s="130">
        <f>IF(ROW(C99)&lt;LoanPeriod*12+ROW($B$9)-1,MonthlyPayment," ")</f>
        <v>2017.0915511035114</v>
      </c>
      <c r="E99" s="130">
        <f>IF(ROW(C99)&lt;LoanPeriod*12+ROW($B$9)-1,C99*InterestRate/100/12," ")</f>
        <v>214.63381506538022</v>
      </c>
      <c r="F99" s="130">
        <f>IF(ROW(B99)&lt;LoanPeriod*12+ROW($B$9)-1,D99-E99," ")</f>
        <v>1802.457736038131</v>
      </c>
      <c r="G99" s="130">
        <f>IF(ROW(C99)&lt;LoanPeriod*12+ROW($B$9)-1,C99-F99," ")</f>
        <v>99201.69053002314</v>
      </c>
    </row>
    <row r="100">
      <c r="A100" t="s">
        <v>6</v>
      </c>
      <c r="B100" s="129">
        <f>IF(ROW(B100)&lt;LoanPeriod*12+ROW($B$9)-1,EDATE(B99,1)," ")</f>
        <v>48823</v>
      </c>
      <c r="C100" s="130">
        <f>IF(ROW(B100)&lt;LoanPeriod*12+ROW($B$9)-1,G99," ")</f>
        <v>99201.69053002314</v>
      </c>
      <c r="D100" s="130">
        <f>IF(ROW(C100)&lt;LoanPeriod*12+ROW($B$9)-1,MonthlyPayment," ")</f>
        <v>2017.0915511035114</v>
      </c>
      <c r="E100" s="130">
        <f>IF(ROW(C100)&lt;LoanPeriod*12+ROW($B$9)-1,C100*InterestRate/100/12," ")</f>
        <v>210.80359237629918</v>
      </c>
      <c r="F100" s="130">
        <f>IF(ROW(B100)&lt;LoanPeriod*12+ROW($B$9)-1,D100-E100," ")</f>
        <v>1806.2879587272123</v>
      </c>
      <c r="G100" s="130">
        <f>IF(ROW(C100)&lt;LoanPeriod*12+ROW($B$9)-1,C100-F100," ")</f>
        <v>97395.40257129593</v>
      </c>
    </row>
    <row r="101">
      <c r="A101" t="s">
        <v>6</v>
      </c>
      <c r="B101" s="129">
        <f>IF(ROW(B101)&lt;LoanPeriod*12+ROW($B$9)-1,EDATE(B100,1)," ")</f>
        <v>48853</v>
      </c>
      <c r="C101" s="130">
        <f>IF(ROW(B101)&lt;LoanPeriod*12+ROW($B$9)-1,G100," ")</f>
        <v>97395.40257129593</v>
      </c>
      <c r="D101" s="130">
        <f>IF(ROW(C101)&lt;LoanPeriod*12+ROW($B$9)-1,MonthlyPayment," ")</f>
        <v>2017.0915511035114</v>
      </c>
      <c r="E101" s="130">
        <f>IF(ROW(C101)&lt;LoanPeriod*12+ROW($B$9)-1,C101*InterestRate/100/12," ")</f>
        <v>206.96523046400384</v>
      </c>
      <c r="F101" s="130">
        <f>IF(ROW(B101)&lt;LoanPeriod*12+ROW($B$9)-1,D101-E101," ")</f>
        <v>1810.1263206395076</v>
      </c>
      <c r="G101" s="130">
        <f>IF(ROW(C101)&lt;LoanPeriod*12+ROW($B$9)-1,C101-F101," ")</f>
        <v>95585.27625065642</v>
      </c>
    </row>
    <row r="102">
      <c r="A102" t="s">
        <v>6</v>
      </c>
      <c r="B102" s="129">
        <f>IF(ROW(B102)&lt;LoanPeriod*12+ROW($B$9)-1,EDATE(B101,1)," ")</f>
        <v>48884</v>
      </c>
      <c r="C102" s="130">
        <f>IF(ROW(B102)&lt;LoanPeriod*12+ROW($B$9)-1,G101," ")</f>
        <v>95585.27625065642</v>
      </c>
      <c r="D102" s="130">
        <f>IF(ROW(C102)&lt;LoanPeriod*12+ROW($B$9)-1,MonthlyPayment," ")</f>
        <v>2017.0915511035114</v>
      </c>
      <c r="E102" s="130">
        <f>IF(ROW(C102)&lt;LoanPeriod*12+ROW($B$9)-1,C102*InterestRate/100/12," ")</f>
        <v>203.11871203264488</v>
      </c>
      <c r="F102" s="130">
        <f>IF(ROW(B102)&lt;LoanPeriod*12+ROW($B$9)-1,D102-E102," ")</f>
        <v>1813.9728390708665</v>
      </c>
      <c r="G102" s="130">
        <f>IF(ROW(C102)&lt;LoanPeriod*12+ROW($B$9)-1,C102-F102," ")</f>
        <v>93771.30341158556</v>
      </c>
    </row>
    <row r="103">
      <c r="A103" t="s">
        <v>6</v>
      </c>
      <c r="B103" s="129">
        <f>IF(ROW(B103)&lt;LoanPeriod*12+ROW($B$9)-1,EDATE(B102,1)," ")</f>
        <v>48914</v>
      </c>
      <c r="C103" s="130">
        <f>IF(ROW(B103)&lt;LoanPeriod*12+ROW($B$9)-1,G102," ")</f>
        <v>93771.30341158556</v>
      </c>
      <c r="D103" s="130">
        <f>IF(ROW(C103)&lt;LoanPeriod*12+ROW($B$9)-1,MonthlyPayment," ")</f>
        <v>2017.0915511035114</v>
      </c>
      <c r="E103" s="130">
        <f>IF(ROW(C103)&lt;LoanPeriod*12+ROW($B$9)-1,C103*InterestRate/100/12," ")</f>
        <v>199.26401974961928</v>
      </c>
      <c r="F103" s="130">
        <f>IF(ROW(B103)&lt;LoanPeriod*12+ROW($B$9)-1,D103-E103," ")</f>
        <v>1817.827531353892</v>
      </c>
      <c r="G103" s="130">
        <f>IF(ROW(C103)&lt;LoanPeriod*12+ROW($B$9)-1,C103-F103," ")</f>
        <v>91953.47588023166</v>
      </c>
    </row>
    <row r="104">
      <c r="A104" t="s">
        <v>6</v>
      </c>
      <c r="B104" s="129">
        <f>IF(ROW(B104)&lt;LoanPeriod*12+ROW($B$9)-1,EDATE(B103,1)," ")</f>
        <v>48945</v>
      </c>
      <c r="C104" s="130">
        <f>IF(ROW(B104)&lt;LoanPeriod*12+ROW($B$9)-1,G103," ")</f>
        <v>91953.47588023166</v>
      </c>
      <c r="D104" s="130">
        <f>IF(ROW(C104)&lt;LoanPeriod*12+ROW($B$9)-1,MonthlyPayment," ")</f>
        <v>2017.0915511035114</v>
      </c>
      <c r="E104" s="130">
        <f>IF(ROW(C104)&lt;LoanPeriod*12+ROW($B$9)-1,C104*InterestRate/100/12," ")</f>
        <v>195.40113624549227</v>
      </c>
      <c r="F104" s="130">
        <f>IF(ROW(B104)&lt;LoanPeriod*12+ROW($B$9)-1,D104-E104," ")</f>
        <v>1821.690414858019</v>
      </c>
      <c r="G104" s="130">
        <f>IF(ROW(C104)&lt;LoanPeriod*12+ROW($B$9)-1,C104-F104," ")</f>
        <v>90131.78546537364</v>
      </c>
    </row>
    <row r="105">
      <c r="A105" t="s">
        <v>6</v>
      </c>
      <c r="B105" s="129">
        <f>IF(ROW(B105)&lt;LoanPeriod*12+ROW($B$9)-1,EDATE(B104,1)," ")</f>
        <v>48976</v>
      </c>
      <c r="C105" s="130">
        <f>IF(ROW(B105)&lt;LoanPeriod*12+ROW($B$9)-1,G104," ")</f>
        <v>90131.78546537364</v>
      </c>
      <c r="D105" s="130">
        <f>IF(ROW(C105)&lt;LoanPeriod*12+ROW($B$9)-1,MonthlyPayment," ")</f>
        <v>2017.0915511035114</v>
      </c>
      <c r="E105" s="130">
        <f>IF(ROW(C105)&lt;LoanPeriod*12+ROW($B$9)-1,C105*InterestRate/100/12," ")</f>
        <v>191.53004411391896</v>
      </c>
      <c r="F105" s="130">
        <f>IF(ROW(B105)&lt;LoanPeriod*12+ROW($B$9)-1,D105-E105," ")</f>
        <v>1825.5615069895925</v>
      </c>
      <c r="G105" s="130">
        <f>IF(ROW(C105)&lt;LoanPeriod*12+ROW($B$9)-1,C105-F105," ")</f>
        <v>88306.22395838406</v>
      </c>
    </row>
    <row r="106">
      <c r="A106" t="s">
        <v>6</v>
      </c>
      <c r="B106" s="129">
        <f>IF(ROW(B106)&lt;LoanPeriod*12+ROW($B$9)-1,EDATE(B105,1)," ")</f>
        <v>49004</v>
      </c>
      <c r="C106" s="130">
        <f>IF(ROW(B106)&lt;LoanPeriod*12+ROW($B$9)-1,G105," ")</f>
        <v>88306.22395838406</v>
      </c>
      <c r="D106" s="130">
        <f>IF(ROW(C106)&lt;LoanPeriod*12+ROW($B$9)-1,MonthlyPayment," ")</f>
        <v>2017.0915511035114</v>
      </c>
      <c r="E106" s="130">
        <f>IF(ROW(C106)&lt;LoanPeriod*12+ROW($B$9)-1,C106*InterestRate/100/12," ")</f>
        <v>187.65072591156613</v>
      </c>
      <c r="F106" s="130">
        <f>IF(ROW(B106)&lt;LoanPeriod*12+ROW($B$9)-1,D106-E106," ")</f>
        <v>1829.4408251919454</v>
      </c>
      <c r="G106" s="130">
        <f>IF(ROW(C106)&lt;LoanPeriod*12+ROW($B$9)-1,C106-F106," ")</f>
        <v>86476.7831331921</v>
      </c>
    </row>
    <row r="107">
      <c r="A107" t="s">
        <v>6</v>
      </c>
      <c r="B107" s="129">
        <f>IF(ROW(B107)&lt;LoanPeriod*12+ROW($B$9)-1,EDATE(B106,1)," ")</f>
        <v>49035</v>
      </c>
      <c r="C107" s="130">
        <f>IF(ROW(B107)&lt;LoanPeriod*12+ROW($B$9)-1,G106," ")</f>
        <v>86476.7831331921</v>
      </c>
      <c r="D107" s="130">
        <f>IF(ROW(C107)&lt;LoanPeriod*12+ROW($B$9)-1,MonthlyPayment," ")</f>
        <v>2017.0915511035114</v>
      </c>
      <c r="E107" s="130">
        <f>IF(ROW(C107)&lt;LoanPeriod*12+ROW($B$9)-1,C107*InterestRate/100/12," ")</f>
        <v>183.7631641580332</v>
      </c>
      <c r="F107" s="130">
        <f>IF(ROW(B107)&lt;LoanPeriod*12+ROW($B$9)-1,D107-E107," ")</f>
        <v>1833.328386945478</v>
      </c>
      <c r="G107" s="130">
        <f>IF(ROW(C107)&lt;LoanPeriod*12+ROW($B$9)-1,C107-F107," ")</f>
        <v>84643.45474624663</v>
      </c>
    </row>
    <row r="108">
      <c r="A108" t="s">
        <v>6</v>
      </c>
      <c r="B108" s="129">
        <f>IF(ROW(B108)&lt;LoanPeriod*12+ROW($B$9)-1,EDATE(B107,1)," ")</f>
        <v>49065</v>
      </c>
      <c r="C108" s="130">
        <f>IF(ROW(B108)&lt;LoanPeriod*12+ROW($B$9)-1,G107," ")</f>
        <v>84643.45474624663</v>
      </c>
      <c r="D108" s="130">
        <f>IF(ROW(C108)&lt;LoanPeriod*12+ROW($B$9)-1,MonthlyPayment," ")</f>
        <v>2017.0915511035114</v>
      </c>
      <c r="E108" s="130">
        <f>IF(ROW(C108)&lt;LoanPeriod*12+ROW($B$9)-1,C108*InterestRate/100/12," ")</f>
        <v>179.86734133577409</v>
      </c>
      <c r="F108" s="130">
        <f>IF(ROW(B108)&lt;LoanPeriod*12+ROW($B$9)-1,D108-E108," ")</f>
        <v>1837.2242097677372</v>
      </c>
      <c r="G108" s="130">
        <f>IF(ROW(C108)&lt;LoanPeriod*12+ROW($B$9)-1,C108-F108," ")</f>
        <v>82806.23053647889</v>
      </c>
    </row>
    <row r="109">
      <c r="A109" t="s">
        <v>6</v>
      </c>
      <c r="B109" s="129">
        <f>IF(ROW(B109)&lt;LoanPeriod*12+ROW($B$9)-1,EDATE(B108,1)," ")</f>
        <v>49096</v>
      </c>
      <c r="C109" s="130">
        <f>IF(ROW(B109)&lt;LoanPeriod*12+ROW($B$9)-1,G108," ")</f>
        <v>82806.23053647889</v>
      </c>
      <c r="D109" s="130">
        <f>IF(ROW(C109)&lt;LoanPeriod*12+ROW($B$9)-1,MonthlyPayment," ")</f>
        <v>2017.0915511035114</v>
      </c>
      <c r="E109" s="130">
        <f>IF(ROW(C109)&lt;LoanPeriod*12+ROW($B$9)-1,C109*InterestRate/100/12," ")</f>
        <v>175.9632398900176</v>
      </c>
      <c r="F109" s="130">
        <f>IF(ROW(B109)&lt;LoanPeriod*12+ROW($B$9)-1,D109-E109," ")</f>
        <v>1841.1283112134938</v>
      </c>
      <c r="G109" s="130">
        <f>IF(ROW(C109)&lt;LoanPeriod*12+ROW($B$9)-1,C109-F109," ")</f>
        <v>80965.1022252654</v>
      </c>
    </row>
    <row r="110">
      <c r="A110" t="s">
        <v>6</v>
      </c>
      <c r="B110" s="129">
        <f>IF(ROW(B110)&lt;LoanPeriod*12+ROW($B$9)-1,EDATE(B109,1)," ")</f>
        <v>49126</v>
      </c>
      <c r="C110" s="130">
        <f>IF(ROW(B110)&lt;LoanPeriod*12+ROW($B$9)-1,G109," ")</f>
        <v>80965.1022252654</v>
      </c>
      <c r="D110" s="130">
        <f>IF(ROW(C110)&lt;LoanPeriod*12+ROW($B$9)-1,MonthlyPayment," ")</f>
        <v>2017.0915511035114</v>
      </c>
      <c r="E110" s="130">
        <f>IF(ROW(C110)&lt;LoanPeriod*12+ROW($B$9)-1,C110*InterestRate/100/12," ")</f>
        <v>172.05084222868894</v>
      </c>
      <c r="F110" s="130">
        <f>IF(ROW(B110)&lt;LoanPeriod*12+ROW($B$9)-1,D110-E110," ")</f>
        <v>1845.0407088748225</v>
      </c>
      <c r="G110" s="130">
        <f>IF(ROW(C110)&lt;LoanPeriod*12+ROW($B$9)-1,C110-F110," ")</f>
        <v>79120.06151639057</v>
      </c>
    </row>
    <row r="111">
      <c r="A111" t="s">
        <v>6</v>
      </c>
      <c r="B111" s="129">
        <f>IF(ROW(B111)&lt;LoanPeriod*12+ROW($B$9)-1,EDATE(B110,1)," ")</f>
        <v>49157</v>
      </c>
      <c r="C111" s="130">
        <f>IF(ROW(B111)&lt;LoanPeriod*12+ROW($B$9)-1,G110," ")</f>
        <v>79120.06151639057</v>
      </c>
      <c r="D111" s="130">
        <f>IF(ROW(C111)&lt;LoanPeriod*12+ROW($B$9)-1,MonthlyPayment," ")</f>
        <v>2017.0915511035114</v>
      </c>
      <c r="E111" s="130">
        <f>IF(ROW(C111)&lt;LoanPeriod*12+ROW($B$9)-1,C111*InterestRate/100/12," ")</f>
        <v>168.13013072232997</v>
      </c>
      <c r="F111" s="130">
        <f>IF(ROW(B111)&lt;LoanPeriod*12+ROW($B$9)-1,D111-E111," ")</f>
        <v>1848.9614203811814</v>
      </c>
      <c r="G111" s="130">
        <f>IF(ROW(C111)&lt;LoanPeriod*12+ROW($B$9)-1,C111-F111," ")</f>
        <v>77271.1000960094</v>
      </c>
    </row>
    <row r="112">
      <c r="A112" t="s">
        <v>6</v>
      </c>
      <c r="B112" s="129">
        <f>IF(ROW(B112)&lt;LoanPeriod*12+ROW($B$9)-1,EDATE(B111,1)," ")</f>
        <v>49188</v>
      </c>
      <c r="C112" s="130">
        <f>IF(ROW(B112)&lt;LoanPeriod*12+ROW($B$9)-1,G111," ")</f>
        <v>77271.1000960094</v>
      </c>
      <c r="D112" s="130">
        <f>IF(ROW(C112)&lt;LoanPeriod*12+ROW($B$9)-1,MonthlyPayment," ")</f>
        <v>2017.0915511035114</v>
      </c>
      <c r="E112" s="130">
        <f>IF(ROW(C112)&lt;LoanPeriod*12+ROW($B$9)-1,C112*InterestRate/100/12," ")</f>
        <v>164.20108770401995</v>
      </c>
      <c r="F112" s="130">
        <f>IF(ROW(B112)&lt;LoanPeriod*12+ROW($B$9)-1,D112-E112," ")</f>
        <v>1852.8904633994914</v>
      </c>
      <c r="G112" s="130">
        <f>IF(ROW(C112)&lt;LoanPeriod*12+ROW($B$9)-1,C112-F112," ")</f>
        <v>75418.2096326099</v>
      </c>
    </row>
    <row r="113">
      <c r="A113" t="s">
        <v>6</v>
      </c>
      <c r="B113" s="129">
        <f>IF(ROW(B113)&lt;LoanPeriod*12+ROW($B$9)-1,EDATE(B112,1)," ")</f>
        <v>49218</v>
      </c>
      <c r="C113" s="130">
        <f>IF(ROW(B113)&lt;LoanPeriod*12+ROW($B$9)-1,G112," ")</f>
        <v>75418.2096326099</v>
      </c>
      <c r="D113" s="130">
        <f>IF(ROW(C113)&lt;LoanPeriod*12+ROW($B$9)-1,MonthlyPayment," ")</f>
        <v>2017.0915511035114</v>
      </c>
      <c r="E113" s="130">
        <f>IF(ROW(C113)&lt;LoanPeriod*12+ROW($B$9)-1,C113*InterestRate/100/12," ")</f>
        <v>160.26369546929604</v>
      </c>
      <c r="F113" s="130">
        <f>IF(ROW(B113)&lt;LoanPeriod*12+ROW($B$9)-1,D113-E113," ")</f>
        <v>1856.8278556342154</v>
      </c>
      <c r="G113" s="130">
        <f>IF(ROW(C113)&lt;LoanPeriod*12+ROW($B$9)-1,C113-F113," ")</f>
        <v>73561.38177697569</v>
      </c>
    </row>
    <row r="114">
      <c r="A114" t="s">
        <v>6</v>
      </c>
      <c r="B114" s="129">
        <f>IF(ROW(B114)&lt;LoanPeriod*12+ROW($B$9)-1,EDATE(B113,1)," ")</f>
        <v>49249</v>
      </c>
      <c r="C114" s="130">
        <f>IF(ROW(B114)&lt;LoanPeriod*12+ROW($B$9)-1,G113," ")</f>
        <v>73561.38177697569</v>
      </c>
      <c r="D114" s="130">
        <f>IF(ROW(C114)&lt;LoanPeriod*12+ROW($B$9)-1,MonthlyPayment," ")</f>
        <v>2017.0915511035114</v>
      </c>
      <c r="E114" s="130">
        <f>IF(ROW(C114)&lt;LoanPeriod*12+ROW($B$9)-1,C114*InterestRate/100/12," ")</f>
        <v>156.3179362760733</v>
      </c>
      <c r="F114" s="130">
        <f>IF(ROW(B114)&lt;LoanPeriod*12+ROW($B$9)-1,D114-E114," ")</f>
        <v>1860.773614827438</v>
      </c>
      <c r="G114" s="130">
        <f>IF(ROW(C114)&lt;LoanPeriod*12+ROW($B$9)-1,C114-F114," ")</f>
        <v>71700.60816214824</v>
      </c>
    </row>
    <row r="115">
      <c r="A115" t="s">
        <v>6</v>
      </c>
      <c r="B115" s="129">
        <f>IF(ROW(B115)&lt;LoanPeriod*12+ROW($B$9)-1,EDATE(B114,1)," ")</f>
        <v>49279</v>
      </c>
      <c r="C115" s="130">
        <f>IF(ROW(B115)&lt;LoanPeriod*12+ROW($B$9)-1,G114," ")</f>
        <v>71700.60816214824</v>
      </c>
      <c r="D115" s="130">
        <f>IF(ROW(C115)&lt;LoanPeriod*12+ROW($B$9)-1,MonthlyPayment," ")</f>
        <v>2017.0915511035114</v>
      </c>
      <c r="E115" s="130">
        <f>IF(ROW(C115)&lt;LoanPeriod*12+ROW($B$9)-1,C115*InterestRate/100/12," ")</f>
        <v>152.363792344565</v>
      </c>
      <c r="F115" s="130">
        <f>IF(ROW(B115)&lt;LoanPeriod*12+ROW($B$9)-1,D115-E115," ")</f>
        <v>1864.7277587589465</v>
      </c>
      <c r="G115" s="130">
        <f>IF(ROW(C115)&lt;LoanPeriod*12+ROW($B$9)-1,C115-F115," ")</f>
        <v>69835.8804033893</v>
      </c>
    </row>
    <row r="116">
      <c r="A116" t="s">
        <v>6</v>
      </c>
      <c r="B116" s="129">
        <f>IF(ROW(B116)&lt;LoanPeriod*12+ROW($B$9)-1,EDATE(B115,1)," ")</f>
        <v>49310</v>
      </c>
      <c r="C116" s="130">
        <f>IF(ROW(B116)&lt;LoanPeriod*12+ROW($B$9)-1,G115," ")</f>
        <v>69835.8804033893</v>
      </c>
      <c r="D116" s="130">
        <f>IF(ROW(C116)&lt;LoanPeriod*12+ROW($B$9)-1,MonthlyPayment," ")</f>
        <v>2017.0915511035114</v>
      </c>
      <c r="E116" s="130">
        <f>IF(ROW(C116)&lt;LoanPeriod*12+ROW($B$9)-1,C116*InterestRate/100/12," ")</f>
        <v>148.40124585720227</v>
      </c>
      <c r="F116" s="130">
        <f>IF(ROW(B116)&lt;LoanPeriod*12+ROW($B$9)-1,D116-E116," ")</f>
        <v>1868.6903052463092</v>
      </c>
      <c r="G116" s="130">
        <f>IF(ROW(C116)&lt;LoanPeriod*12+ROW($B$9)-1,C116-F116," ")</f>
        <v>67967.190098143</v>
      </c>
    </row>
    <row r="117">
      <c r="A117" t="s">
        <v>6</v>
      </c>
      <c r="B117" s="129">
        <f>IF(ROW(B117)&lt;LoanPeriod*12+ROW($B$9)-1,EDATE(B116,1)," ")</f>
        <v>49341</v>
      </c>
      <c r="C117" s="130">
        <f>IF(ROW(B117)&lt;LoanPeriod*12+ROW($B$9)-1,G116," ")</f>
        <v>67967.190098143</v>
      </c>
      <c r="D117" s="130">
        <f>IF(ROW(C117)&lt;LoanPeriod*12+ROW($B$9)-1,MonthlyPayment," ")</f>
        <v>2017.0915511035114</v>
      </c>
      <c r="E117" s="130">
        <f>IF(ROW(C117)&lt;LoanPeriod*12+ROW($B$9)-1,C117*InterestRate/100/12," ")</f>
        <v>144.43027895855386</v>
      </c>
      <c r="F117" s="130">
        <f>IF(ROW(B117)&lt;LoanPeriod*12+ROW($B$9)-1,D117-E117," ")</f>
        <v>1872.6612721449576</v>
      </c>
      <c r="G117" s="130">
        <f>IF(ROW(C117)&lt;LoanPeriod*12+ROW($B$9)-1,C117-F117," ")</f>
        <v>66094.52882599803</v>
      </c>
    </row>
    <row r="118">
      <c r="A118" t="s">
        <v>6</v>
      </c>
      <c r="B118" s="129">
        <f>IF(ROW(B118)&lt;LoanPeriod*12+ROW($B$9)-1,EDATE(B117,1)," ")</f>
        <v>49369</v>
      </c>
      <c r="C118" s="130">
        <f>IF(ROW(B118)&lt;LoanPeriod*12+ROW($B$9)-1,G117," ")</f>
        <v>66094.52882599803</v>
      </c>
      <c r="D118" s="130">
        <f>IF(ROW(C118)&lt;LoanPeriod*12+ROW($B$9)-1,MonthlyPayment," ")</f>
        <v>2017.0915511035114</v>
      </c>
      <c r="E118" s="130">
        <f>IF(ROW(C118)&lt;LoanPeriod*12+ROW($B$9)-1,C118*InterestRate/100/12," ")</f>
        <v>140.4508737552458</v>
      </c>
      <c r="F118" s="130">
        <f>IF(ROW(B118)&lt;LoanPeriod*12+ROW($B$9)-1,D118-E118," ")</f>
        <v>1876.6406773482656</v>
      </c>
      <c r="G118" s="130">
        <f>IF(ROW(C118)&lt;LoanPeriod*12+ROW($B$9)-1,C118-F118," ")</f>
        <v>64217.88814864976</v>
      </c>
    </row>
    <row r="119">
      <c r="A119" t="s">
        <v>6</v>
      </c>
      <c r="B119" s="129">
        <f>IF(ROW(B119)&lt;LoanPeriod*12+ROW($B$9)-1,EDATE(B118,1)," ")</f>
        <v>49400</v>
      </c>
      <c r="C119" s="130">
        <f>IF(ROW(B119)&lt;LoanPeriod*12+ROW($B$9)-1,G118," ")</f>
        <v>64217.88814864976</v>
      </c>
      <c r="D119" s="130">
        <f>IF(ROW(C119)&lt;LoanPeriod*12+ROW($B$9)-1,MonthlyPayment," ")</f>
        <v>2017.0915511035114</v>
      </c>
      <c r="E119" s="130">
        <f>IF(ROW(C119)&lt;LoanPeriod*12+ROW($B$9)-1,C119*InterestRate/100/12," ")</f>
        <v>136.46301231588075</v>
      </c>
      <c r="F119" s="130">
        <f>IF(ROW(B119)&lt;LoanPeriod*12+ROW($B$9)-1,D119-E119," ")</f>
        <v>1880.6285387876305</v>
      </c>
      <c r="G119" s="130">
        <f>IF(ROW(C119)&lt;LoanPeriod*12+ROW($B$9)-1,C119-F119," ")</f>
        <v>62337.25960986213</v>
      </c>
    </row>
    <row r="120">
      <c r="A120" t="s">
        <v>6</v>
      </c>
      <c r="B120" s="129">
        <f>IF(ROW(B120)&lt;LoanPeriod*12+ROW($B$9)-1,EDATE(B119,1)," ")</f>
        <v>49430</v>
      </c>
      <c r="C120" s="130">
        <f>IF(ROW(B120)&lt;LoanPeriod*12+ROW($B$9)-1,G119," ")</f>
        <v>62337.25960986213</v>
      </c>
      <c r="D120" s="130">
        <f>IF(ROW(C120)&lt;LoanPeriod*12+ROW($B$9)-1,MonthlyPayment," ")</f>
        <v>2017.0915511035114</v>
      </c>
      <c r="E120" s="130">
        <f>IF(ROW(C120)&lt;LoanPeriod*12+ROW($B$9)-1,C120*InterestRate/100/12," ")</f>
        <v>132.466676670957</v>
      </c>
      <c r="F120" s="130">
        <f>IF(ROW(B120)&lt;LoanPeriod*12+ROW($B$9)-1,D120-E120," ")</f>
        <v>1884.6248744325544</v>
      </c>
      <c r="G120" s="130">
        <f>IF(ROW(C120)&lt;LoanPeriod*12+ROW($B$9)-1,C120-F120," ")</f>
        <v>60452.63473542957</v>
      </c>
    </row>
    <row r="121">
      <c r="A121" t="s">
        <v>6</v>
      </c>
      <c r="B121" s="129">
        <f>IF(ROW(B121)&lt;LoanPeriod*12+ROW($B$9)-1,EDATE(B120,1)," ")</f>
        <v>49461</v>
      </c>
      <c r="C121" s="130">
        <f>IF(ROW(B121)&lt;LoanPeriod*12+ROW($B$9)-1,G120," ")</f>
        <v>60452.63473542957</v>
      </c>
      <c r="D121" s="130">
        <f>IF(ROW(C121)&lt;LoanPeriod*12+ROW($B$9)-1,MonthlyPayment," ")</f>
        <v>2017.0915511035114</v>
      </c>
      <c r="E121" s="130">
        <f>IF(ROW(C121)&lt;LoanPeriod*12+ROW($B$9)-1,C121*InterestRate/100/12," ")</f>
        <v>128.46184881278785</v>
      </c>
      <c r="F121" s="130">
        <f>IF(ROW(B121)&lt;LoanPeriod*12+ROW($B$9)-1,D121-E121," ")</f>
        <v>1888.6297022907236</v>
      </c>
      <c r="G121" s="130">
        <f>IF(ROW(C121)&lt;LoanPeriod*12+ROW($B$9)-1,C121-F121," ")</f>
        <v>58564.00503313885</v>
      </c>
    </row>
    <row r="122">
      <c r="A122" t="s">
        <v>6</v>
      </c>
      <c r="B122" s="129">
        <f>IF(ROW(B122)&lt;LoanPeriod*12+ROW($B$9)-1,EDATE(B121,1)," ")</f>
        <v>49491</v>
      </c>
      <c r="C122" s="130">
        <f>IF(ROW(B122)&lt;LoanPeriod*12+ROW($B$9)-1,G121," ")</f>
        <v>58564.00503313885</v>
      </c>
      <c r="D122" s="130">
        <f>IF(ROW(C122)&lt;LoanPeriod*12+ROW($B$9)-1,MonthlyPayment," ")</f>
        <v>2017.0915511035114</v>
      </c>
      <c r="E122" s="130">
        <f>IF(ROW(C122)&lt;LoanPeriod*12+ROW($B$9)-1,C122*InterestRate/100/12," ")</f>
        <v>124.44851069542005</v>
      </c>
      <c r="F122" s="130">
        <f>IF(ROW(B122)&lt;LoanPeriod*12+ROW($B$9)-1,D122-E122," ")</f>
        <v>1892.6430404080913</v>
      </c>
      <c r="G122" s="130">
        <f>IF(ROW(C122)&lt;LoanPeriod*12+ROW($B$9)-1,C122-F122," ")</f>
        <v>56671.36199273076</v>
      </c>
    </row>
    <row r="123">
      <c r="A123" t="s">
        <v>6</v>
      </c>
      <c r="B123" s="129">
        <f>IF(ROW(B123)&lt;LoanPeriod*12+ROW($B$9)-1,EDATE(B122,1)," ")</f>
        <v>49522</v>
      </c>
      <c r="C123" s="130">
        <f>IF(ROW(B123)&lt;LoanPeriod*12+ROW($B$9)-1,G122," ")</f>
        <v>56671.36199273076</v>
      </c>
      <c r="D123" s="130">
        <f>IF(ROW(C123)&lt;LoanPeriod*12+ROW($B$9)-1,MonthlyPayment," ")</f>
        <v>2017.0915511035114</v>
      </c>
      <c r="E123" s="130">
        <f>IF(ROW(C123)&lt;LoanPeriod*12+ROW($B$9)-1,C123*InterestRate/100/12," ")</f>
        <v>120.42664423455285</v>
      </c>
      <c r="F123" s="130">
        <f>IF(ROW(B123)&lt;LoanPeriod*12+ROW($B$9)-1,D123-E123," ")</f>
        <v>1896.6649068689585</v>
      </c>
      <c r="G123" s="130">
        <f>IF(ROW(C123)&lt;LoanPeriod*12+ROW($B$9)-1,C123-F123," ")</f>
        <v>54774.6970858618</v>
      </c>
    </row>
    <row r="124">
      <c r="A124" t="s">
        <v>6</v>
      </c>
      <c r="B124" s="129">
        <f>IF(ROW(B124)&lt;LoanPeriod*12+ROW($B$9)-1,EDATE(B123,1)," ")</f>
        <v>49553</v>
      </c>
      <c r="C124" s="130">
        <f>IF(ROW(B124)&lt;LoanPeriod*12+ROW($B$9)-1,G123," ")</f>
        <v>54774.6970858618</v>
      </c>
      <c r="D124" s="130">
        <f>IF(ROW(C124)&lt;LoanPeriod*12+ROW($B$9)-1,MonthlyPayment," ")</f>
        <v>2017.0915511035114</v>
      </c>
      <c r="E124" s="130">
        <f>IF(ROW(C124)&lt;LoanPeriod*12+ROW($B$9)-1,C124*InterestRate/100/12," ")</f>
        <v>116.39623130745633</v>
      </c>
      <c r="F124" s="130">
        <f>IF(ROW(B124)&lt;LoanPeriod*12+ROW($B$9)-1,D124-E124," ")</f>
        <v>1900.6953197960552</v>
      </c>
      <c r="G124" s="130">
        <f>IF(ROW(C124)&lt;LoanPeriod*12+ROW($B$9)-1,C124-F124," ")</f>
        <v>52874.00176606575</v>
      </c>
    </row>
    <row r="125">
      <c r="A125" t="s">
        <v>6</v>
      </c>
      <c r="B125" s="129">
        <f>IF(ROW(B125)&lt;LoanPeriod*12+ROW($B$9)-1,EDATE(B124,1)," ")</f>
        <v>49583</v>
      </c>
      <c r="C125" s="130">
        <f>IF(ROW(B125)&lt;LoanPeriod*12+ROW($B$9)-1,G124," ")</f>
        <v>52874.00176606575</v>
      </c>
      <c r="D125" s="130">
        <f>IF(ROW(C125)&lt;LoanPeriod*12+ROW($B$9)-1,MonthlyPayment," ")</f>
        <v>2017.0915511035114</v>
      </c>
      <c r="E125" s="130">
        <f>IF(ROW(C125)&lt;LoanPeriod*12+ROW($B$9)-1,C125*InterestRate/100/12," ")</f>
        <v>112.35725375288972</v>
      </c>
      <c r="F125" s="130">
        <f>IF(ROW(B125)&lt;LoanPeriod*12+ROW($B$9)-1,D125-E125," ")</f>
        <v>1904.7342973506218</v>
      </c>
      <c r="G125" s="130">
        <f>IF(ROW(C125)&lt;LoanPeriod*12+ROW($B$9)-1,C125-F125," ")</f>
        <v>50969.26746871512</v>
      </c>
    </row>
    <row r="126">
      <c r="A126" t="s">
        <v>6</v>
      </c>
      <c r="B126" s="129">
        <f>IF(ROW(B126)&lt;LoanPeriod*12+ROW($B$9)-1,EDATE(B125,1)," ")</f>
        <v>49614</v>
      </c>
      <c r="C126" s="130">
        <f>IF(ROW(B126)&lt;LoanPeriod*12+ROW($B$9)-1,G125," ")</f>
        <v>50969.26746871512</v>
      </c>
      <c r="D126" s="130">
        <f>IF(ROW(C126)&lt;LoanPeriod*12+ROW($B$9)-1,MonthlyPayment," ")</f>
        <v>2017.0915511035114</v>
      </c>
      <c r="E126" s="130">
        <f>IF(ROW(C126)&lt;LoanPeriod*12+ROW($B$9)-1,C126*InterestRate/100/12," ")</f>
        <v>108.30969337101963</v>
      </c>
      <c r="F126" s="130">
        <f>IF(ROW(B126)&lt;LoanPeriod*12+ROW($B$9)-1,D126-E126," ")</f>
        <v>1908.7818577324917</v>
      </c>
      <c r="G126" s="130">
        <f>IF(ROW(C126)&lt;LoanPeriod*12+ROW($B$9)-1,C126-F126," ")</f>
        <v>49060.48561098263</v>
      </c>
    </row>
    <row r="127">
      <c r="A127" t="s">
        <v>6</v>
      </c>
      <c r="B127" s="129">
        <f>IF(ROW(B127)&lt;LoanPeriod*12+ROW($B$9)-1,EDATE(B126,1)," ")</f>
        <v>49644</v>
      </c>
      <c r="C127" s="130">
        <f>IF(ROW(B127)&lt;LoanPeriod*12+ROW($B$9)-1,G126," ")</f>
        <v>49060.48561098263</v>
      </c>
      <c r="D127" s="130">
        <f>IF(ROW(C127)&lt;LoanPeriod*12+ROW($B$9)-1,MonthlyPayment," ")</f>
        <v>2017.0915511035114</v>
      </c>
      <c r="E127" s="130">
        <f>IF(ROW(C127)&lt;LoanPeriod*12+ROW($B$9)-1,C127*InterestRate/100/12," ")</f>
        <v>104.25353192333807</v>
      </c>
      <c r="F127" s="130">
        <f>IF(ROW(B127)&lt;LoanPeriod*12+ROW($B$9)-1,D127-E127," ")</f>
        <v>1912.8380191801734</v>
      </c>
      <c r="G127" s="130">
        <f>IF(ROW(C127)&lt;LoanPeriod*12+ROW($B$9)-1,C127-F127," ")</f>
        <v>47147.64759180245</v>
      </c>
    </row>
    <row r="128">
      <c r="A128" t="s">
        <v>6</v>
      </c>
      <c r="B128" s="129">
        <f>IF(ROW(B128)&lt;LoanPeriod*12+ROW($B$9)-1,EDATE(B127,1)," ")</f>
        <v>49675</v>
      </c>
      <c r="C128" s="130">
        <f>IF(ROW(B128)&lt;LoanPeriod*12+ROW($B$9)-1,G127," ")</f>
        <v>47147.64759180245</v>
      </c>
      <c r="D128" s="130">
        <f>IF(ROW(C128)&lt;LoanPeriod*12+ROW($B$9)-1,MonthlyPayment," ")</f>
        <v>2017.0915511035114</v>
      </c>
      <c r="E128" s="130">
        <f>IF(ROW(C128)&lt;LoanPeriod*12+ROW($B$9)-1,C128*InterestRate/100/12," ")</f>
        <v>100.18875113258021</v>
      </c>
      <c r="F128" s="130">
        <f>IF(ROW(B128)&lt;LoanPeriod*12+ROW($B$9)-1,D128-E128," ")</f>
        <v>1916.9027999709313</v>
      </c>
      <c r="G128" s="130">
        <f>IF(ROW(C128)&lt;LoanPeriod*12+ROW($B$9)-1,C128-F128," ")</f>
        <v>45230.74479183152</v>
      </c>
    </row>
    <row r="129">
      <c r="A129" t="s">
        <v>6</v>
      </c>
      <c r="B129" s="129">
        <f>IF(ROW(B129)&lt;LoanPeriod*12+ROW($B$9)-1,EDATE(B128,1)," ")</f>
        <v>49706</v>
      </c>
      <c r="C129" s="130">
        <f>IF(ROW(B129)&lt;LoanPeriod*12+ROW($B$9)-1,G128," ")</f>
        <v>45230.74479183152</v>
      </c>
      <c r="D129" s="130">
        <f>IF(ROW(C129)&lt;LoanPeriod*12+ROW($B$9)-1,MonthlyPayment," ")</f>
        <v>2017.0915511035114</v>
      </c>
      <c r="E129" s="130">
        <f>IF(ROW(C129)&lt;LoanPeriod*12+ROW($B$9)-1,C129*InterestRate/100/12," ")</f>
        <v>96.11533268264198</v>
      </c>
      <c r="F129" s="130">
        <f>IF(ROW(B129)&lt;LoanPeriod*12+ROW($B$9)-1,D129-E129," ")</f>
        <v>1920.9762184208694</v>
      </c>
      <c r="G129" s="130">
        <f>IF(ROW(C129)&lt;LoanPeriod*12+ROW($B$9)-1,C129-F129," ")</f>
        <v>43309.768573410656</v>
      </c>
    </row>
    <row r="130">
      <c r="A130" t="s">
        <v>6</v>
      </c>
      <c r="B130" s="129">
        <f>IF(ROW(B130)&lt;LoanPeriod*12+ROW($B$9)-1,EDATE(B129,1)," ")</f>
        <v>49735</v>
      </c>
      <c r="C130" s="130">
        <f>IF(ROW(B130)&lt;LoanPeriod*12+ROW($B$9)-1,G129," ")</f>
        <v>43309.768573410656</v>
      </c>
      <c r="D130" s="130">
        <f>IF(ROW(C130)&lt;LoanPeriod*12+ROW($B$9)-1,MonthlyPayment," ")</f>
        <v>2017.0915511035114</v>
      </c>
      <c r="E130" s="130">
        <f>IF(ROW(C130)&lt;LoanPeriod*12+ROW($B$9)-1,C130*InterestRate/100/12," ")</f>
        <v>92.03325821849764</v>
      </c>
      <c r="F130" s="130">
        <f>IF(ROW(B130)&lt;LoanPeriod*12+ROW($B$9)-1,D130-E130," ")</f>
        <v>1925.0582928850138</v>
      </c>
      <c r="G130" s="130">
        <f>IF(ROW(C130)&lt;LoanPeriod*12+ROW($B$9)-1,C130-F130," ")</f>
        <v>41384.71028052564</v>
      </c>
    </row>
    <row r="131">
      <c r="A131" t="s">
        <v>6</v>
      </c>
      <c r="B131" s="129">
        <f>IF(ROW(B131)&lt;LoanPeriod*12+ROW($B$9)-1,EDATE(B130,1)," ")</f>
        <v>49766</v>
      </c>
      <c r="C131" s="130">
        <f>IF(ROW(B131)&lt;LoanPeriod*12+ROW($B$9)-1,G130," ")</f>
        <v>41384.71028052564</v>
      </c>
      <c r="D131" s="130">
        <f>IF(ROW(C131)&lt;LoanPeriod*12+ROW($B$9)-1,MonthlyPayment," ")</f>
        <v>2017.0915511035114</v>
      </c>
      <c r="E131" s="130">
        <f>IF(ROW(C131)&lt;LoanPeriod*12+ROW($B$9)-1,C131*InterestRate/100/12," ")</f>
        <v>87.94250934611699</v>
      </c>
      <c r="F131" s="130">
        <f>IF(ROW(B131)&lt;LoanPeriod*12+ROW($B$9)-1,D131-E131," ")</f>
        <v>1929.1490417573943</v>
      </c>
      <c r="G131" s="130">
        <f>IF(ROW(C131)&lt;LoanPeriod*12+ROW($B$9)-1,C131-F131," ")</f>
        <v>39455.56123876825</v>
      </c>
    </row>
    <row r="132">
      <c r="A132" t="s">
        <v>6</v>
      </c>
      <c r="B132" s="129">
        <f>IF(ROW(B132)&lt;LoanPeriod*12+ROW($B$9)-1,EDATE(B131,1)," ")</f>
        <v>49796</v>
      </c>
      <c r="C132" s="130">
        <f>IF(ROW(B132)&lt;LoanPeriod*12+ROW($B$9)-1,G131," ")</f>
        <v>39455.56123876825</v>
      </c>
      <c r="D132" s="130">
        <f>IF(ROW(C132)&lt;LoanPeriod*12+ROW($B$9)-1,MonthlyPayment," ")</f>
        <v>2017.0915511035114</v>
      </c>
      <c r="E132" s="130">
        <f>IF(ROW(C132)&lt;LoanPeriod*12+ROW($B$9)-1,C132*InterestRate/100/12," ")</f>
        <v>83.84306763238251</v>
      </c>
      <c r="F132" s="130">
        <f>IF(ROW(B132)&lt;LoanPeriod*12+ROW($B$9)-1,D132-E132," ")</f>
        <v>1933.2484834711288</v>
      </c>
      <c r="G132" s="130">
        <f>IF(ROW(C132)&lt;LoanPeriod*12+ROW($B$9)-1,C132-F132," ")</f>
        <v>37522.31275529712</v>
      </c>
    </row>
    <row r="133">
      <c r="A133" t="s">
        <v>6</v>
      </c>
      <c r="B133" s="129">
        <f>IF(ROW(B133)&lt;LoanPeriod*12+ROW($B$9)-1,EDATE(B132,1)," ")</f>
        <v>49827</v>
      </c>
      <c r="C133" s="130">
        <f>IF(ROW(B133)&lt;LoanPeriod*12+ROW($B$9)-1,G132," ")</f>
        <v>37522.31275529712</v>
      </c>
      <c r="D133" s="130">
        <f>IF(ROW(C133)&lt;LoanPeriod*12+ROW($B$9)-1,MonthlyPayment," ")</f>
        <v>2017.0915511035114</v>
      </c>
      <c r="E133" s="130">
        <f>IF(ROW(C133)&lt;LoanPeriod*12+ROW($B$9)-1,C133*InterestRate/100/12," ")</f>
        <v>79.73491460500638</v>
      </c>
      <c r="F133" s="130">
        <f>IF(ROW(B133)&lt;LoanPeriod*12+ROW($B$9)-1,D133-E133," ")</f>
        <v>1937.356636498505</v>
      </c>
      <c r="G133" s="130">
        <f>IF(ROW(C133)&lt;LoanPeriod*12+ROW($B$9)-1,C133-F133," ")</f>
        <v>35584.95611879862</v>
      </c>
    </row>
    <row r="134">
      <c r="A134" t="s">
        <v>6</v>
      </c>
      <c r="B134" s="129">
        <f>IF(ROW(B134)&lt;LoanPeriod*12+ROW($B$9)-1,EDATE(B133,1)," ")</f>
        <v>49857</v>
      </c>
      <c r="C134" s="130">
        <f>IF(ROW(B134)&lt;LoanPeriod*12+ROW($B$9)-1,G133," ")</f>
        <v>35584.95611879862</v>
      </c>
      <c r="D134" s="130">
        <f>IF(ROW(C134)&lt;LoanPeriod*12+ROW($B$9)-1,MonthlyPayment," ")</f>
        <v>2017.0915511035114</v>
      </c>
      <c r="E134" s="130">
        <f>IF(ROW(C134)&lt;LoanPeriod*12+ROW($B$9)-1,C134*InterestRate/100/12," ")</f>
        <v>75.61803175244707</v>
      </c>
      <c r="F134" s="130">
        <f>IF(ROW(B134)&lt;LoanPeriod*12+ROW($B$9)-1,D134-E134," ")</f>
        <v>1941.4735193510644</v>
      </c>
      <c r="G134" s="130">
        <f>IF(ROW(C134)&lt;LoanPeriod*12+ROW($B$9)-1,C134-F134," ")</f>
        <v>33643.482599447554</v>
      </c>
    </row>
    <row r="135">
      <c r="A135" t="s">
        <v>6</v>
      </c>
      <c r="B135" s="129">
        <f>IF(ROW(B135)&lt;LoanPeriod*12+ROW($B$9)-1,EDATE(B134,1)," ")</f>
        <v>49888</v>
      </c>
      <c r="C135" s="130">
        <f>IF(ROW(B135)&lt;LoanPeriod*12+ROW($B$9)-1,G134," ")</f>
        <v>33643.482599447554</v>
      </c>
      <c r="D135" s="130">
        <f>IF(ROW(C135)&lt;LoanPeriod*12+ROW($B$9)-1,MonthlyPayment," ")</f>
        <v>2017.0915511035114</v>
      </c>
      <c r="E135" s="130">
        <f>IF(ROW(C135)&lt;LoanPeriod*12+ROW($B$9)-1,C135*InterestRate/100/12," ")</f>
        <v>71.49240052382605</v>
      </c>
      <c r="F135" s="130">
        <f>IF(ROW(B135)&lt;LoanPeriod*12+ROW($B$9)-1,D135-E135," ")</f>
        <v>1945.5991505796853</v>
      </c>
      <c r="G135" s="130">
        <f>IF(ROW(C135)&lt;LoanPeriod*12+ROW($B$9)-1,C135-F135," ")</f>
        <v>31697.88344886787</v>
      </c>
    </row>
    <row r="136">
      <c r="A136" t="s">
        <v>6</v>
      </c>
      <c r="B136" s="129">
        <f>IF(ROW(B136)&lt;LoanPeriod*12+ROW($B$9)-1,EDATE(B135,1)," ")</f>
        <v>49919</v>
      </c>
      <c r="C136" s="130">
        <f>IF(ROW(B136)&lt;LoanPeriod*12+ROW($B$9)-1,G135," ")</f>
        <v>31697.88344886787</v>
      </c>
      <c r="D136" s="130">
        <f>IF(ROW(C136)&lt;LoanPeriod*12+ROW($B$9)-1,MonthlyPayment," ")</f>
        <v>2017.0915511035114</v>
      </c>
      <c r="E136" s="130">
        <f>IF(ROW(C136)&lt;LoanPeriod*12+ROW($B$9)-1,C136*InterestRate/100/12," ")</f>
        <v>67.35800232884422</v>
      </c>
      <c r="F136" s="130">
        <f>IF(ROW(B136)&lt;LoanPeriod*12+ROW($B$9)-1,D136-E136," ")</f>
        <v>1949.7335487746673</v>
      </c>
      <c r="G136" s="130">
        <f>IF(ROW(C136)&lt;LoanPeriod*12+ROW($B$9)-1,C136-F136," ")</f>
        <v>29748.1499000932</v>
      </c>
    </row>
    <row r="137">
      <c r="A137" t="s">
        <v>6</v>
      </c>
      <c r="B137" s="129">
        <f>IF(ROW(B137)&lt;LoanPeriod*12+ROW($B$9)-1,EDATE(B136,1)," ")</f>
        <v>49949</v>
      </c>
      <c r="C137" s="130">
        <f>IF(ROW(B137)&lt;LoanPeriod*12+ROW($B$9)-1,G136," ")</f>
        <v>29748.1499000932</v>
      </c>
      <c r="D137" s="130">
        <f>IF(ROW(C137)&lt;LoanPeriod*12+ROW($B$9)-1,MonthlyPayment," ")</f>
        <v>2017.0915511035114</v>
      </c>
      <c r="E137" s="130">
        <f>IF(ROW(C137)&lt;LoanPeriod*12+ROW($B$9)-1,C137*InterestRate/100/12," ")</f>
        <v>63.21481853769805</v>
      </c>
      <c r="F137" s="130">
        <f>IF(ROW(B137)&lt;LoanPeriod*12+ROW($B$9)-1,D137-E137," ")</f>
        <v>1953.8767325658134</v>
      </c>
      <c r="G137" s="130">
        <f>IF(ROW(C137)&lt;LoanPeriod*12+ROW($B$9)-1,C137-F137," ")</f>
        <v>27794.27316752739</v>
      </c>
    </row>
    <row r="138">
      <c r="A138" t="s">
        <v>6</v>
      </c>
      <c r="B138" s="129">
        <f>IF(ROW(B138)&lt;LoanPeriod*12+ROW($B$9)-1,EDATE(B137,1)," ")</f>
        <v>49980</v>
      </c>
      <c r="C138" s="130">
        <f>IF(ROW(B138)&lt;LoanPeriod*12+ROW($B$9)-1,G137," ")</f>
        <v>27794.27316752739</v>
      </c>
      <c r="D138" s="130">
        <f>IF(ROW(C138)&lt;LoanPeriod*12+ROW($B$9)-1,MonthlyPayment," ")</f>
        <v>2017.0915511035114</v>
      </c>
      <c r="E138" s="130">
        <f>IF(ROW(C138)&lt;LoanPeriod*12+ROW($B$9)-1,C138*InterestRate/100/12," ")</f>
        <v>59.0628304809957</v>
      </c>
      <c r="F138" s="130">
        <f>IF(ROW(B138)&lt;LoanPeriod*12+ROW($B$9)-1,D138-E138," ")</f>
        <v>1958.0287206225157</v>
      </c>
      <c r="G138" s="130">
        <f>IF(ROW(C138)&lt;LoanPeriod*12+ROW($B$9)-1,C138-F138," ")</f>
        <v>25836.244446904875</v>
      </c>
    </row>
    <row r="139">
      <c r="A139" t="s">
        <v>6</v>
      </c>
      <c r="B139" s="129">
        <f>IF(ROW(B139)&lt;LoanPeriod*12+ROW($B$9)-1,EDATE(B138,1)," ")</f>
        <v>50010</v>
      </c>
      <c r="C139" s="130">
        <f>IF(ROW(B139)&lt;LoanPeriod*12+ROW($B$9)-1,G138," ")</f>
        <v>25836.244446904875</v>
      </c>
      <c r="D139" s="130">
        <f>IF(ROW(C139)&lt;LoanPeriod*12+ROW($B$9)-1,MonthlyPayment," ")</f>
        <v>2017.0915511035114</v>
      </c>
      <c r="E139" s="130">
        <f>IF(ROW(C139)&lt;LoanPeriod*12+ROW($B$9)-1,C139*InterestRate/100/12," ")</f>
        <v>54.902019449672856</v>
      </c>
      <c r="F139" s="130">
        <f>IF(ROW(B139)&lt;LoanPeriod*12+ROW($B$9)-1,D139-E139," ")</f>
        <v>1962.1895316538385</v>
      </c>
      <c r="G139" s="130">
        <f>IF(ROW(C139)&lt;LoanPeriod*12+ROW($B$9)-1,C139-F139," ")</f>
        <v>23874.054915251036</v>
      </c>
    </row>
    <row r="140">
      <c r="A140" t="s">
        <v>6</v>
      </c>
      <c r="B140" s="129">
        <f>IF(ROW(B140)&lt;LoanPeriod*12+ROW($B$9)-1,EDATE(B139,1)," ")</f>
        <v>50041</v>
      </c>
      <c r="C140" s="130">
        <f>IF(ROW(B140)&lt;LoanPeriod*12+ROW($B$9)-1,G139," ")</f>
        <v>23874.054915251036</v>
      </c>
      <c r="D140" s="130">
        <f>IF(ROW(C140)&lt;LoanPeriod*12+ROW($B$9)-1,MonthlyPayment," ")</f>
        <v>2017.0915511035114</v>
      </c>
      <c r="E140" s="130">
        <f>IF(ROW(C140)&lt;LoanPeriod*12+ROW($B$9)-1,C140*InterestRate/100/12," ")</f>
        <v>50.73236669490844</v>
      </c>
      <c r="F140" s="130">
        <f>IF(ROW(B140)&lt;LoanPeriod*12+ROW($B$9)-1,D140-E140," ")</f>
        <v>1966.359184408603</v>
      </c>
      <c r="G140" s="130">
        <f>IF(ROW(C140)&lt;LoanPeriod*12+ROW($B$9)-1,C140-F140," ")</f>
        <v>21907.69573084243</v>
      </c>
    </row>
    <row r="141">
      <c r="A141" t="s">
        <v>6</v>
      </c>
      <c r="B141" s="129">
        <f>IF(ROW(B141)&lt;LoanPeriod*12+ROW($B$9)-1,EDATE(B140,1)," ")</f>
        <v>50072</v>
      </c>
      <c r="C141" s="130">
        <f>IF(ROW(B141)&lt;LoanPeriod*12+ROW($B$9)-1,G140," ")</f>
        <v>21907.69573084243</v>
      </c>
      <c r="D141" s="130">
        <f>IF(ROW(C141)&lt;LoanPeriod*12+ROW($B$9)-1,MonthlyPayment," ")</f>
        <v>2017.0915511035114</v>
      </c>
      <c r="E141" s="130">
        <f>IF(ROW(C141)&lt;LoanPeriod*12+ROW($B$9)-1,C141*InterestRate/100/12," ")</f>
        <v>46.55385342804016</v>
      </c>
      <c r="F141" s="130">
        <f>IF(ROW(B141)&lt;LoanPeriod*12+ROW($B$9)-1,D141-E141," ")</f>
        <v>1970.5376976754712</v>
      </c>
      <c r="G141" s="130">
        <f>IF(ROW(C141)&lt;LoanPeriod*12+ROW($B$9)-1,C141-F141," ")</f>
        <v>19937.15803316696</v>
      </c>
    </row>
    <row r="142">
      <c r="A142" t="s">
        <v>6</v>
      </c>
      <c r="B142" s="129">
        <f>IF(ROW(B142)&lt;LoanPeriod*12+ROW($B$9)-1,EDATE(B141,1)," ")</f>
        <v>50100</v>
      </c>
      <c r="C142" s="130">
        <f>IF(ROW(B142)&lt;LoanPeriod*12+ROW($B$9)-1,G141," ")</f>
        <v>19937.15803316696</v>
      </c>
      <c r="D142" s="130">
        <f>IF(ROW(C142)&lt;LoanPeriod*12+ROW($B$9)-1,MonthlyPayment," ")</f>
        <v>2017.0915511035114</v>
      </c>
      <c r="E142" s="130">
        <f>IF(ROW(C142)&lt;LoanPeriod*12+ROW($B$9)-1,C142*InterestRate/100/12," ")</f>
        <v>42.36646082047979</v>
      </c>
      <c r="F142" s="130">
        <f>IF(ROW(B142)&lt;LoanPeriod*12+ROW($B$9)-1,D142-E142," ")</f>
        <v>1974.7250902830317</v>
      </c>
      <c r="G142" s="130">
        <f>IF(ROW(C142)&lt;LoanPeriod*12+ROW($B$9)-1,C142-F142," ")</f>
        <v>17962.43294288393</v>
      </c>
    </row>
    <row r="143">
      <c r="A143" t="s">
        <v>6</v>
      </c>
      <c r="B143" s="129">
        <f>IF(ROW(B143)&lt;LoanPeriod*12+ROW($B$9)-1,EDATE(B142,1)," ")</f>
        <v>50131</v>
      </c>
      <c r="C143" s="130">
        <f>IF(ROW(B143)&lt;LoanPeriod*12+ROW($B$9)-1,G142," ")</f>
        <v>17962.43294288393</v>
      </c>
      <c r="D143" s="130">
        <f>IF(ROW(C143)&lt;LoanPeriod*12+ROW($B$9)-1,MonthlyPayment," ")</f>
        <v>2017.0915511035114</v>
      </c>
      <c r="E143" s="130">
        <f>IF(ROW(C143)&lt;LoanPeriod*12+ROW($B$9)-1,C143*InterestRate/100/12," ")</f>
        <v>38.17017000362835</v>
      </c>
      <c r="F143" s="130">
        <f>IF(ROW(B143)&lt;LoanPeriod*12+ROW($B$9)-1,D143-E143," ")</f>
        <v>1978.921381099883</v>
      </c>
      <c r="G143" s="130">
        <f>IF(ROW(C143)&lt;LoanPeriod*12+ROW($B$9)-1,C143-F143," ")</f>
        <v>15983.511561784047</v>
      </c>
    </row>
    <row r="144">
      <c r="A144" t="s">
        <v>6</v>
      </c>
      <c r="B144" s="129">
        <f>IF(ROW(B144)&lt;LoanPeriod*12+ROW($B$9)-1,EDATE(B143,1)," ")</f>
        <v>50161</v>
      </c>
      <c r="C144" s="130">
        <f>IF(ROW(B144)&lt;LoanPeriod*12+ROW($B$9)-1,G143," ")</f>
        <v>15983.511561784047</v>
      </c>
      <c r="D144" s="130">
        <f>IF(ROW(C144)&lt;LoanPeriod*12+ROW($B$9)-1,MonthlyPayment," ")</f>
        <v>2017.0915511035114</v>
      </c>
      <c r="E144" s="130">
        <f>IF(ROW(C144)&lt;LoanPeriod*12+ROW($B$9)-1,C144*InterestRate/100/12," ")</f>
        <v>33.9649620687911</v>
      </c>
      <c r="F144" s="130">
        <f>IF(ROW(B144)&lt;LoanPeriod*12+ROW($B$9)-1,D144-E144," ")</f>
        <v>1983.1265890347204</v>
      </c>
      <c r="G144" s="130">
        <f>IF(ROW(C144)&lt;LoanPeriod*12+ROW($B$9)-1,C144-F144," ")</f>
        <v>14000.384972749327</v>
      </c>
    </row>
    <row r="145">
      <c r="A145" t="s">
        <v>6</v>
      </c>
      <c r="B145" s="129">
        <f>IF(ROW(B145)&lt;LoanPeriod*12+ROW($B$9)-1,EDATE(B144,1)," ")</f>
        <v>50192</v>
      </c>
      <c r="C145" s="130">
        <f>IF(ROW(B145)&lt;LoanPeriod*12+ROW($B$9)-1,G144," ")</f>
        <v>14000.384972749327</v>
      </c>
      <c r="D145" s="130">
        <f>IF(ROW(C145)&lt;LoanPeriod*12+ROW($B$9)-1,MonthlyPayment," ")</f>
        <v>2017.0915511035114</v>
      </c>
      <c r="E145" s="130">
        <f>IF(ROW(C145)&lt;LoanPeriod*12+ROW($B$9)-1,C145*InterestRate/100/12," ")</f>
        <v>29.75081806709232</v>
      </c>
      <c r="F145" s="130">
        <f>IF(ROW(B145)&lt;LoanPeriod*12+ROW($B$9)-1,D145-E145," ")</f>
        <v>1987.3407330364191</v>
      </c>
      <c r="G145" s="130">
        <f>IF(ROW(C145)&lt;LoanPeriod*12+ROW($B$9)-1,C145-F145," ")</f>
        <v>12013.044239712908</v>
      </c>
    </row>
    <row r="146">
      <c r="A146" t="s">
        <v>6</v>
      </c>
      <c r="B146" s="129">
        <f>IF(ROW(B146)&lt;LoanPeriod*12+ROW($B$9)-1,EDATE(B145,1)," ")</f>
        <v>50222</v>
      </c>
      <c r="C146" s="130">
        <f>IF(ROW(B146)&lt;LoanPeriod*12+ROW($B$9)-1,G145," ")</f>
        <v>12013.044239712908</v>
      </c>
      <c r="D146" s="130">
        <f>IF(ROW(C146)&lt;LoanPeriod*12+ROW($B$9)-1,MonthlyPayment," ")</f>
        <v>2017.0915511035114</v>
      </c>
      <c r="E146" s="130">
        <f>IF(ROW(C146)&lt;LoanPeriod*12+ROW($B$9)-1,C146*InterestRate/100/12," ")</f>
        <v>25.527719009389926</v>
      </c>
      <c r="F146" s="130">
        <f>IF(ROW(B146)&lt;LoanPeriod*12+ROW($B$9)-1,D146-E146," ")</f>
        <v>1991.5638320941214</v>
      </c>
      <c r="G146" s="130">
        <f>IF(ROW(C146)&lt;LoanPeriod*12+ROW($B$9)-1,C146-F146," ")</f>
        <v>10021.480407618787</v>
      </c>
    </row>
    <row r="147">
      <c r="A147" t="s">
        <v>6</v>
      </c>
      <c r="B147" s="129">
        <f>IF(ROW(B147)&lt;LoanPeriod*12+ROW($B$9)-1,EDATE(B146,1)," ")</f>
        <v>50253</v>
      </c>
      <c r="C147" s="130">
        <f>IF(ROW(B147)&lt;LoanPeriod*12+ROW($B$9)-1,G146," ")</f>
        <v>10021.480407618787</v>
      </c>
      <c r="D147" s="130">
        <f>IF(ROW(C147)&lt;LoanPeriod*12+ROW($B$9)-1,MonthlyPayment," ")</f>
        <v>2017.0915511035114</v>
      </c>
      <c r="E147" s="130">
        <f>IF(ROW(C147)&lt;LoanPeriod*12+ROW($B$9)-1,C147*InterestRate/100/12," ")</f>
        <v>21.29564586618992</v>
      </c>
      <c r="F147" s="130">
        <f>IF(ROW(B147)&lt;LoanPeriod*12+ROW($B$9)-1,D147-E147," ")</f>
        <v>1995.7959052373214</v>
      </c>
      <c r="G147" s="130">
        <f>IF(ROW(C147)&lt;LoanPeriod*12+ROW($B$9)-1,C147-F147," ")</f>
        <v>8025.684502381465</v>
      </c>
    </row>
    <row r="148">
      <c r="A148" t="s">
        <v>6</v>
      </c>
      <c r="B148" s="129">
        <f>IF(ROW(B148)&lt;LoanPeriod*12+ROW($B$9)-1,EDATE(B147,1)," ")</f>
        <v>50284</v>
      </c>
      <c r="C148" s="130">
        <f>IF(ROW(B148)&lt;LoanPeriod*12+ROW($B$9)-1,G147," ")</f>
        <v>8025.684502381465</v>
      </c>
      <c r="D148" s="130">
        <f>IF(ROW(C148)&lt;LoanPeriod*12+ROW($B$9)-1,MonthlyPayment," ")</f>
        <v>2017.0915511035114</v>
      </c>
      <c r="E148" s="130">
        <f>IF(ROW(C148)&lt;LoanPeriod*12+ROW($B$9)-1,C148*InterestRate/100/12," ")</f>
        <v>17.054579567560612</v>
      </c>
      <c r="F148" s="130">
        <f>IF(ROW(B148)&lt;LoanPeriod*12+ROW($B$9)-1,D148-E148," ")</f>
        <v>2000.0369715359507</v>
      </c>
      <c r="G148" s="130">
        <f>IF(ROW(C148)&lt;LoanPeriod*12+ROW($B$9)-1,C148-F148," ")</f>
        <v>6025.647530845514</v>
      </c>
    </row>
    <row r="149">
      <c r="A149" t="s">
        <v>6</v>
      </c>
      <c r="B149" s="129">
        <f>IF(ROW(B149)&lt;LoanPeriod*12+ROW($B$9)-1,EDATE(B148,1)," ")</f>
        <v>50314</v>
      </c>
      <c r="C149" s="130">
        <f>IF(ROW(B149)&lt;LoanPeriod*12+ROW($B$9)-1,G148," ")</f>
        <v>6025.647530845514</v>
      </c>
      <c r="D149" s="130">
        <f>IF(ROW(C149)&lt;LoanPeriod*12+ROW($B$9)-1,MonthlyPayment," ")</f>
        <v>2017.0915511035114</v>
      </c>
      <c r="E149" s="130">
        <f>IF(ROW(C149)&lt;LoanPeriod*12+ROW($B$9)-1,C149*InterestRate/100/12," ")</f>
        <v>12.804501003046717</v>
      </c>
      <c r="F149" s="130">
        <f>IF(ROW(B149)&lt;LoanPeriod*12+ROW($B$9)-1,D149-E149," ")</f>
        <v>2004.2870501004647</v>
      </c>
      <c r="G149" s="130">
        <f>IF(ROW(C149)&lt;LoanPeriod*12+ROW($B$9)-1,C149-F149," ")</f>
        <v>4021.3604807450492</v>
      </c>
    </row>
    <row r="150">
      <c r="A150" t="s">
        <v>6</v>
      </c>
      <c r="B150" s="129">
        <f>IF(ROW(B150)&lt;LoanPeriod*12+ROW($B$9)-1,EDATE(B149,1)," ")</f>
        <v>50345</v>
      </c>
      <c r="C150" s="130">
        <f>IF(ROW(B150)&lt;LoanPeriod*12+ROW($B$9)-1,G149," ")</f>
        <v>4021.3604807450492</v>
      </c>
      <c r="D150" s="130">
        <f>IF(ROW(C150)&lt;LoanPeriod*12+ROW($B$9)-1,MonthlyPayment," ")</f>
        <v>2017.0915511035114</v>
      </c>
      <c r="E150" s="130">
        <f>IF(ROW(C150)&lt;LoanPeriod*12+ROW($B$9)-1,C150*InterestRate/100/12," ")</f>
        <v>8.54539102158323</v>
      </c>
      <c r="F150" s="130">
        <f>IF(ROW(B150)&lt;LoanPeriod*12+ROW($B$9)-1,D150-E150," ")</f>
        <v>2008.546160081928</v>
      </c>
      <c r="G150" s="130">
        <f>IF(ROW(C150)&lt;LoanPeriod*12+ROW($B$9)-1,C150-F150," ")</f>
        <v>2012.8143206631212</v>
      </c>
    </row>
    <row r="151">
      <c r="A151" t="s">
        <v>6</v>
      </c>
      <c r="B151" s="129">
        <f>IF(ROW(B151)&lt;LoanPeriod*12+ROW($B$9)-1,EDATE(B150,1)," ")</f>
        <v>50375</v>
      </c>
      <c r="C151" s="130">
        <f>IF(ROW(B151)&lt;LoanPeriod*12+ROW($B$9)-1,G150," ")</f>
        <v>2012.8143206631212</v>
      </c>
      <c r="D151" s="130">
        <f>IF(ROW(C151)&lt;LoanPeriod*12+ROW($B$9)-1,MonthlyPayment," ")</f>
        <v>2017.0915511035114</v>
      </c>
      <c r="E151" s="130">
        <f>IF(ROW(C151)&lt;LoanPeriod*12+ROW($B$9)-1,C151*InterestRate/100/12," ")</f>
        <v>4.277230431409132</v>
      </c>
      <c r="F151" s="130">
        <f>IF(ROW(B151)&lt;LoanPeriod*12+ROW($B$9)-1,D151-E151," ")</f>
        <v>2012.8143206721022</v>
      </c>
      <c r="G151" s="130">
        <f>IF(ROW(C151)&lt;LoanPeriod*12+ROW($B$9)-1,C151-F151," ")</f>
        <v>-0.000000008981032806332223</v>
      </c>
    </row>
    <row r="152">
      <c r="A152" t="s">
        <v>6</v>
      </c>
      <c r="B152" t="str" s="123">
        <f>IF(ROW(B152)&lt;LoanPeriod*12+ROW($B$9)-1,EDATE(B151,1)," ")</f>
        <v> </v>
      </c>
      <c r="C152" t="str" s="124">
        <f>IF(ROW(B152)&lt;LoanPeriod*12+ROW($B$9)-1,G151," ")</f>
        <v> </v>
      </c>
      <c r="D152" t="str" s="124">
        <f>IF(ROW(C152)&lt;LoanPeriod*12+ROW($B$9)-1,MonthlyPayment," ")</f>
        <v> </v>
      </c>
      <c r="E152" t="str" s="124">
        <f>IF(ROW(C152)&lt;LoanPeriod*12+ROW($B$9)-1,C152*InterestRate/100/12," ")</f>
        <v> </v>
      </c>
      <c r="F152" t="str" s="124">
        <f>IF(ROW(B152)&lt;LoanPeriod*12+ROW($B$9)-1,D152-E152," ")</f>
        <v> </v>
      </c>
      <c r="G152" t="str" s="124">
        <f>IF(ROW(C152)&lt;LoanPeriod*12+ROW($B$9)-1,C152-F152," ")</f>
        <v> </v>
      </c>
    </row>
    <row r="153">
      <c r="A153" t="s">
        <v>6</v>
      </c>
      <c r="B153" t="str" s="123">
        <f>IF(ROW(B153)&lt;LoanPeriod*12+ROW($B$9)-1,EDATE(B152,1)," ")</f>
        <v> </v>
      </c>
      <c r="C153" t="str" s="124">
        <f>IF(ROW(B153)&lt;LoanPeriod*12+ROW($B$9)-1,G152," ")</f>
        <v> </v>
      </c>
      <c r="D153" t="str" s="124">
        <f>IF(ROW(C153)&lt;LoanPeriod*12+ROW($B$9)-1,MonthlyPayment," ")</f>
        <v> </v>
      </c>
      <c r="E153" t="str" s="124">
        <f>IF(ROW(C153)&lt;LoanPeriod*12+ROW($B$9)-1,C153*InterestRate/100/12," ")</f>
        <v> </v>
      </c>
      <c r="F153" t="str" s="124">
        <f>IF(ROW(B153)&lt;LoanPeriod*12+ROW($B$9)-1,D153-E153," ")</f>
        <v> </v>
      </c>
      <c r="G153" t="str" s="124">
        <f>IF(ROW(C153)&lt;LoanPeriod*12+ROW($B$9)-1,C153-F153," ")</f>
        <v> </v>
      </c>
    </row>
    <row r="154">
      <c r="A154" t="s">
        <v>6</v>
      </c>
      <c r="B154" t="str" s="123">
        <f>IF(ROW(B154)&lt;LoanPeriod*12+ROW($B$9)-1,EDATE(B153,1)," ")</f>
        <v> </v>
      </c>
      <c r="C154" t="str" s="124">
        <f>IF(ROW(B154)&lt;LoanPeriod*12+ROW($B$9)-1,G153," ")</f>
        <v> </v>
      </c>
      <c r="D154" t="str" s="124">
        <f>IF(ROW(C154)&lt;LoanPeriod*12+ROW($B$9)-1,MonthlyPayment," ")</f>
        <v> </v>
      </c>
      <c r="E154" t="str" s="124">
        <f>IF(ROW(C154)&lt;LoanPeriod*12+ROW($B$9)-1,C154*InterestRate/100/12," ")</f>
        <v> </v>
      </c>
      <c r="F154" t="str" s="124">
        <f>IF(ROW(B154)&lt;LoanPeriod*12+ROW($B$9)-1,D154-E154," ")</f>
        <v> </v>
      </c>
      <c r="G154" t="str" s="124">
        <f>IF(ROW(C154)&lt;LoanPeriod*12+ROW($B$9)-1,C154-F154," ")</f>
        <v> </v>
      </c>
    </row>
    <row r="155">
      <c r="A155" t="s">
        <v>6</v>
      </c>
      <c r="B155" t="str" s="123">
        <f>IF(ROW(B155)&lt;LoanPeriod*12+ROW($B$9)-1,EDATE(B154,1)," ")</f>
        <v> </v>
      </c>
      <c r="C155" t="str" s="124">
        <f>IF(ROW(B155)&lt;LoanPeriod*12+ROW($B$9)-1,G154," ")</f>
        <v> </v>
      </c>
      <c r="D155" t="str" s="124">
        <f>IF(ROW(C155)&lt;LoanPeriod*12+ROW($B$9)-1,MonthlyPayment," ")</f>
        <v> </v>
      </c>
      <c r="E155" t="str" s="124">
        <f>IF(ROW(C155)&lt;LoanPeriod*12+ROW($B$9)-1,C155*InterestRate/100/12," ")</f>
        <v> </v>
      </c>
      <c r="F155" t="str" s="124">
        <f>IF(ROW(B155)&lt;LoanPeriod*12+ROW($B$9)-1,D155-E155," ")</f>
        <v> </v>
      </c>
      <c r="G155" t="str" s="124">
        <f>IF(ROW(C155)&lt;LoanPeriod*12+ROW($B$9)-1,C155-F155," ")</f>
        <v> </v>
      </c>
    </row>
    <row r="156">
      <c r="A156" t="s">
        <v>6</v>
      </c>
      <c r="B156" t="str" s="123">
        <f>IF(ROW(B156)&lt;LoanPeriod*12+ROW($B$9)-1,EDATE(B155,1)," ")</f>
        <v> </v>
      </c>
      <c r="C156" t="str" s="124">
        <f>IF(ROW(B156)&lt;LoanPeriod*12+ROW($B$9)-1,G155," ")</f>
        <v> </v>
      </c>
      <c r="D156" t="str" s="124">
        <f>IF(ROW(C156)&lt;LoanPeriod*12+ROW($B$9)-1,MonthlyPayment," ")</f>
        <v> </v>
      </c>
      <c r="E156" t="str" s="124">
        <f>IF(ROW(C156)&lt;LoanPeriod*12+ROW($B$9)-1,C156*InterestRate/100/12," ")</f>
        <v> </v>
      </c>
      <c r="F156" t="str" s="124">
        <f>IF(ROW(B156)&lt;LoanPeriod*12+ROW($B$9)-1,D156-E156," ")</f>
        <v> </v>
      </c>
      <c r="G156" t="str" s="124">
        <f>IF(ROW(C156)&lt;LoanPeriod*12+ROW($B$9)-1,C156-F156," ")</f>
        <v> </v>
      </c>
    </row>
    <row r="157">
      <c r="A157" t="s">
        <v>6</v>
      </c>
      <c r="B157" t="str" s="123">
        <f>IF(ROW(B157)&lt;LoanPeriod*12+ROW($B$9)-1,EDATE(B156,1)," ")</f>
        <v> </v>
      </c>
      <c r="C157" t="str" s="124">
        <f>IF(ROW(B157)&lt;LoanPeriod*12+ROW($B$9)-1,G156," ")</f>
        <v> </v>
      </c>
      <c r="D157" t="str" s="124">
        <f>IF(ROW(C157)&lt;LoanPeriod*12+ROW($B$9)-1,MonthlyPayment," ")</f>
        <v> </v>
      </c>
      <c r="E157" t="str" s="124">
        <f>IF(ROW(C157)&lt;LoanPeriod*12+ROW($B$9)-1,C157*InterestRate/100/12," ")</f>
        <v> </v>
      </c>
      <c r="F157" t="str" s="124">
        <f>IF(ROW(B157)&lt;LoanPeriod*12+ROW($B$9)-1,D157-E157," ")</f>
        <v> </v>
      </c>
      <c r="G157" t="str" s="124">
        <f>IF(ROW(C157)&lt;LoanPeriod*12+ROW($B$9)-1,C157-F157," ")</f>
        <v> </v>
      </c>
    </row>
    <row r="158">
      <c r="A158" t="s">
        <v>6</v>
      </c>
      <c r="B158" t="str" s="123">
        <f>IF(ROW(B158)&lt;LoanPeriod*12+ROW($B$9)-1,EDATE(B157,1)," ")</f>
        <v> </v>
      </c>
      <c r="C158" t="str" s="124">
        <f>IF(ROW(B158)&lt;LoanPeriod*12+ROW($B$9)-1,G157," ")</f>
        <v> </v>
      </c>
      <c r="D158" t="str" s="124">
        <f>IF(ROW(C158)&lt;LoanPeriod*12+ROW($B$9)-1,MonthlyPayment," ")</f>
        <v> </v>
      </c>
      <c r="E158" t="str" s="124">
        <f>IF(ROW(C158)&lt;LoanPeriod*12+ROW($B$9)-1,C158*InterestRate/100/12," ")</f>
        <v> </v>
      </c>
      <c r="F158" t="str" s="124">
        <f>IF(ROW(B158)&lt;LoanPeriod*12+ROW($B$9)-1,D158-E158," ")</f>
        <v> </v>
      </c>
      <c r="G158" t="str" s="124">
        <f>IF(ROW(C158)&lt;LoanPeriod*12+ROW($B$9)-1,C158-F158," ")</f>
        <v> </v>
      </c>
    </row>
    <row r="159">
      <c r="A159" t="s">
        <v>6</v>
      </c>
      <c r="B159" t="str" s="123">
        <f>IF(ROW(B159)&lt;LoanPeriod*12+ROW($B$9)-1,EDATE(B158,1)," ")</f>
        <v> </v>
      </c>
      <c r="C159" t="str" s="124">
        <f>IF(ROW(B159)&lt;LoanPeriod*12+ROW($B$9)-1,G158," ")</f>
        <v> </v>
      </c>
      <c r="D159" t="str" s="124">
        <f>IF(ROW(C159)&lt;LoanPeriod*12+ROW($B$9)-1,MonthlyPayment," ")</f>
        <v> </v>
      </c>
      <c r="E159" t="str" s="124">
        <f>IF(ROW(C159)&lt;LoanPeriod*12+ROW($B$9)-1,C159*InterestRate/100/12," ")</f>
        <v> </v>
      </c>
      <c r="F159" t="str" s="124">
        <f>IF(ROW(B159)&lt;LoanPeriod*12+ROW($B$9)-1,D159-E159," ")</f>
        <v> </v>
      </c>
      <c r="G159" t="str" s="124">
        <f>IF(ROW(C159)&lt;LoanPeriod*12+ROW($B$9)-1,C159-F159," ")</f>
        <v> </v>
      </c>
    </row>
    <row r="160">
      <c r="A160" t="s">
        <v>6</v>
      </c>
      <c r="B160" t="str" s="123">
        <f>IF(ROW(B160)&lt;LoanPeriod*12+ROW($B$9)-1,EDATE(B159,1)," ")</f>
        <v> </v>
      </c>
      <c r="C160" t="str" s="124">
        <f>IF(ROW(B160)&lt;LoanPeriod*12+ROW($B$9)-1,G159," ")</f>
        <v> </v>
      </c>
      <c r="D160" t="str" s="124">
        <f>IF(ROW(C160)&lt;LoanPeriod*12+ROW($B$9)-1,MonthlyPayment," ")</f>
        <v> </v>
      </c>
      <c r="E160" t="str" s="124">
        <f>IF(ROW(C160)&lt;LoanPeriod*12+ROW($B$9)-1,C160*InterestRate/100/12," ")</f>
        <v> </v>
      </c>
      <c r="F160" t="str" s="124">
        <f>IF(ROW(B160)&lt;LoanPeriod*12+ROW($B$9)-1,D160-E160," ")</f>
        <v> </v>
      </c>
      <c r="G160" t="str" s="124">
        <f>IF(ROW(C160)&lt;LoanPeriod*12+ROW($B$9)-1,C160-F160," ")</f>
        <v> </v>
      </c>
    </row>
    <row r="161">
      <c r="A161" t="s">
        <v>6</v>
      </c>
      <c r="B161" t="str" s="123">
        <f>IF(ROW(B161)&lt;LoanPeriod*12+ROW($B$9)-1,EDATE(B160,1)," ")</f>
        <v> </v>
      </c>
      <c r="C161" t="str" s="124">
        <f>IF(ROW(B161)&lt;LoanPeriod*12+ROW($B$9)-1,G160," ")</f>
        <v> </v>
      </c>
      <c r="D161" t="str" s="124">
        <f>IF(ROW(C161)&lt;LoanPeriod*12+ROW($B$9)-1,MonthlyPayment," ")</f>
        <v> </v>
      </c>
      <c r="E161" t="str" s="124">
        <f>IF(ROW(C161)&lt;LoanPeriod*12+ROW($B$9)-1,C161*InterestRate/100/12," ")</f>
        <v> </v>
      </c>
      <c r="F161" t="str" s="124">
        <f>IF(ROW(B161)&lt;LoanPeriod*12+ROW($B$9)-1,D161-E161," ")</f>
        <v> </v>
      </c>
      <c r="G161" t="str" s="124">
        <f>IF(ROW(C161)&lt;LoanPeriod*12+ROW($B$9)-1,C161-F161," ")</f>
        <v> </v>
      </c>
    </row>
    <row r="162">
      <c r="A162" t="s">
        <v>6</v>
      </c>
      <c r="B162" t="str" s="123">
        <f>IF(ROW(B162)&lt;LoanPeriod*12+ROW($B$9)-1,EDATE(B161,1)," ")</f>
        <v> </v>
      </c>
      <c r="C162" t="str" s="124">
        <f>IF(ROW(B162)&lt;LoanPeriod*12+ROW($B$9)-1,G161," ")</f>
        <v> </v>
      </c>
      <c r="D162" t="str" s="124">
        <f>IF(ROW(C162)&lt;LoanPeriod*12+ROW($B$9)-1,MonthlyPayment," ")</f>
        <v> </v>
      </c>
      <c r="E162" t="str" s="124">
        <f>IF(ROW(C162)&lt;LoanPeriod*12+ROW($B$9)-1,C162*InterestRate/100/12," ")</f>
        <v> </v>
      </c>
      <c r="F162" t="str" s="124">
        <f>IF(ROW(B162)&lt;LoanPeriod*12+ROW($B$9)-1,D162-E162," ")</f>
        <v> </v>
      </c>
      <c r="G162" t="str" s="124">
        <f>IF(ROW(C162)&lt;LoanPeriod*12+ROW($B$9)-1,C162-F162," ")</f>
        <v> </v>
      </c>
    </row>
    <row r="163">
      <c r="A163" t="s">
        <v>6</v>
      </c>
      <c r="B163" t="str" s="123">
        <f>IF(ROW(B163)&lt;LoanPeriod*12+ROW($B$9)-1,EDATE(B162,1)," ")</f>
        <v> </v>
      </c>
      <c r="C163" t="str" s="124">
        <f>IF(ROW(B163)&lt;LoanPeriod*12+ROW($B$9)-1,G162," ")</f>
        <v> </v>
      </c>
      <c r="D163" t="str" s="124">
        <f>IF(ROW(C163)&lt;LoanPeriod*12+ROW($B$9)-1,MonthlyPayment," ")</f>
        <v> </v>
      </c>
      <c r="E163" t="str" s="124">
        <f>IF(ROW(C163)&lt;LoanPeriod*12+ROW($B$9)-1,C163*InterestRate/100/12," ")</f>
        <v> </v>
      </c>
      <c r="F163" t="str" s="124">
        <f>IF(ROW(B163)&lt;LoanPeriod*12+ROW($B$9)-1,D163-E163," ")</f>
        <v> </v>
      </c>
      <c r="G163" t="str" s="124">
        <f>IF(ROW(C163)&lt;LoanPeriod*12+ROW($B$9)-1,C163-F163," ")</f>
        <v> </v>
      </c>
    </row>
    <row r="164">
      <c r="A164" t="s">
        <v>6</v>
      </c>
      <c r="B164" t="str" s="123">
        <f>IF(ROW(B164)&lt;LoanPeriod*12+ROW($B$9)-1,EDATE(B163,1)," ")</f>
        <v> </v>
      </c>
      <c r="C164" t="str" s="124">
        <f>IF(ROW(B164)&lt;LoanPeriod*12+ROW($B$9)-1,G163," ")</f>
        <v> </v>
      </c>
      <c r="D164" t="str" s="124">
        <f>IF(ROW(C164)&lt;LoanPeriod*12+ROW($B$9)-1,MonthlyPayment," ")</f>
        <v> </v>
      </c>
      <c r="E164" t="str" s="124">
        <f>IF(ROW(C164)&lt;LoanPeriod*12+ROW($B$9)-1,C164*InterestRate/100/12," ")</f>
        <v> </v>
      </c>
      <c r="F164" t="str" s="124">
        <f>IF(ROW(B164)&lt;LoanPeriod*12+ROW($B$9)-1,D164-E164," ")</f>
        <v> </v>
      </c>
      <c r="G164" t="str" s="124">
        <f>IF(ROW(C164)&lt;LoanPeriod*12+ROW($B$9)-1,C164-F164," ")</f>
        <v> </v>
      </c>
    </row>
    <row r="165">
      <c r="A165" t="s">
        <v>6</v>
      </c>
      <c r="B165" t="str" s="123">
        <f>IF(ROW(B165)&lt;LoanPeriod*12+ROW($B$9)-1,EDATE(B164,1)," ")</f>
        <v> </v>
      </c>
      <c r="C165" t="str" s="124">
        <f>IF(ROW(B165)&lt;LoanPeriod*12+ROW($B$9)-1,G164," ")</f>
        <v> </v>
      </c>
      <c r="D165" t="str" s="124">
        <f>IF(ROW(C165)&lt;LoanPeriod*12+ROW($B$9)-1,MonthlyPayment," ")</f>
        <v> </v>
      </c>
      <c r="E165" t="str" s="124">
        <f>IF(ROW(C165)&lt;LoanPeriod*12+ROW($B$9)-1,C165*InterestRate/100/12," ")</f>
        <v> </v>
      </c>
      <c r="F165" t="str" s="124">
        <f>IF(ROW(B165)&lt;LoanPeriod*12+ROW($B$9)-1,D165-E165," ")</f>
        <v> </v>
      </c>
      <c r="G165" t="str" s="124">
        <f>IF(ROW(C165)&lt;LoanPeriod*12+ROW($B$9)-1,C165-F165," ")</f>
        <v> </v>
      </c>
    </row>
    <row r="166">
      <c r="A166" t="s">
        <v>6</v>
      </c>
      <c r="B166" t="str" s="123">
        <f>IF(ROW(B166)&lt;LoanPeriod*12+ROW($B$9)-1,EDATE(B165,1)," ")</f>
        <v> </v>
      </c>
      <c r="C166" t="str" s="124">
        <f>IF(ROW(B166)&lt;LoanPeriod*12+ROW($B$9)-1,G165," ")</f>
        <v> </v>
      </c>
      <c r="D166" t="str" s="124">
        <f>IF(ROW(C166)&lt;LoanPeriod*12+ROW($B$9)-1,MonthlyPayment," ")</f>
        <v> </v>
      </c>
      <c r="E166" t="str" s="124">
        <f>IF(ROW(C166)&lt;LoanPeriod*12+ROW($B$9)-1,C166*InterestRate/100/12," ")</f>
        <v> </v>
      </c>
      <c r="F166" t="str" s="124">
        <f>IF(ROW(B166)&lt;LoanPeriod*12+ROW($B$9)-1,D166-E166," ")</f>
        <v> </v>
      </c>
      <c r="G166" t="str" s="124">
        <f>IF(ROW(C166)&lt;LoanPeriod*12+ROW($B$9)-1,C166-F166," ")</f>
        <v> </v>
      </c>
    </row>
    <row r="167">
      <c r="A167" t="s">
        <v>6</v>
      </c>
      <c r="B167" t="str" s="123">
        <f>IF(ROW(B167)&lt;LoanPeriod*12+ROW($B$9)-1,EDATE(B166,1)," ")</f>
        <v> </v>
      </c>
      <c r="C167" t="str" s="124">
        <f>IF(ROW(B167)&lt;LoanPeriod*12+ROW($B$9)-1,G166," ")</f>
        <v> </v>
      </c>
      <c r="D167" t="str" s="124">
        <f>IF(ROW(C167)&lt;LoanPeriod*12+ROW($B$9)-1,MonthlyPayment," ")</f>
        <v> </v>
      </c>
      <c r="E167" t="str" s="124">
        <f>IF(ROW(C167)&lt;LoanPeriod*12+ROW($B$9)-1,C167*InterestRate/100/12," ")</f>
        <v> </v>
      </c>
      <c r="F167" t="str" s="124">
        <f>IF(ROW(B167)&lt;LoanPeriod*12+ROW($B$9)-1,D167-E167," ")</f>
        <v> </v>
      </c>
      <c r="G167" t="str" s="124">
        <f>IF(ROW(C167)&lt;LoanPeriod*12+ROW($B$9)-1,C167-F167," ")</f>
        <v> </v>
      </c>
    </row>
    <row r="168">
      <c r="A168" t="s">
        <v>6</v>
      </c>
      <c r="B168" t="str" s="123">
        <f>IF(ROW(B168)&lt;LoanPeriod*12+ROW($B$9)-1,EDATE(B167,1)," ")</f>
        <v> </v>
      </c>
      <c r="C168" t="str" s="124">
        <f>IF(ROW(B168)&lt;LoanPeriod*12+ROW($B$9)-1,G167," ")</f>
        <v> </v>
      </c>
      <c r="D168" t="str" s="124">
        <f>IF(ROW(C168)&lt;LoanPeriod*12+ROW($B$9)-1,MonthlyPayment," ")</f>
        <v> </v>
      </c>
      <c r="E168" t="str" s="124">
        <f>IF(ROW(C168)&lt;LoanPeriod*12+ROW($B$9)-1,C168*InterestRate/100/12," ")</f>
        <v> </v>
      </c>
      <c r="F168" t="str" s="124">
        <f>IF(ROW(B168)&lt;LoanPeriod*12+ROW($B$9)-1,D168-E168," ")</f>
        <v> </v>
      </c>
      <c r="G168" t="str" s="124">
        <f>IF(ROW(C168)&lt;LoanPeriod*12+ROW($B$9)-1,C168-F168," ")</f>
        <v> </v>
      </c>
    </row>
    <row r="169">
      <c r="A169" t="s">
        <v>6</v>
      </c>
      <c r="B169" t="str" s="123">
        <f>IF(ROW(B169)&lt;LoanPeriod*12+ROW($B$9)-1,EDATE(B168,1)," ")</f>
        <v> </v>
      </c>
      <c r="C169" t="str" s="124">
        <f>IF(ROW(B169)&lt;LoanPeriod*12+ROW($B$9)-1,G168," ")</f>
        <v> </v>
      </c>
      <c r="D169" t="str" s="124">
        <f>IF(ROW(C169)&lt;LoanPeriod*12+ROW($B$9)-1,MonthlyPayment," ")</f>
        <v> </v>
      </c>
      <c r="E169" t="str" s="124">
        <f>IF(ROW(C169)&lt;LoanPeriod*12+ROW($B$9)-1,C169*InterestRate/100/12," ")</f>
        <v> </v>
      </c>
      <c r="F169" t="str" s="124">
        <f>IF(ROW(B169)&lt;LoanPeriod*12+ROW($B$9)-1,D169-E169," ")</f>
        <v> </v>
      </c>
      <c r="G169" t="str" s="124">
        <f>IF(ROW(C169)&lt;LoanPeriod*12+ROW($B$9)-1,C169-F169," ")</f>
        <v> </v>
      </c>
    </row>
    <row r="170">
      <c r="A170" t="s">
        <v>6</v>
      </c>
      <c r="B170" t="str" s="123">
        <f>IF(ROW(B170)&lt;LoanPeriod*12+ROW($B$9)-1,EDATE(B169,1)," ")</f>
        <v> </v>
      </c>
      <c r="C170" t="str" s="124">
        <f>IF(ROW(B170)&lt;LoanPeriod*12+ROW($B$9)-1,G169," ")</f>
        <v> </v>
      </c>
      <c r="D170" t="str" s="124">
        <f>IF(ROW(C170)&lt;LoanPeriod*12+ROW($B$9)-1,MonthlyPayment," ")</f>
        <v> </v>
      </c>
      <c r="E170" t="str" s="124">
        <f>IF(ROW(C170)&lt;LoanPeriod*12+ROW($B$9)-1,C170*InterestRate/100/12," ")</f>
        <v> </v>
      </c>
      <c r="F170" t="str" s="124">
        <f>IF(ROW(B170)&lt;LoanPeriod*12+ROW($B$9)-1,D170-E170," ")</f>
        <v> </v>
      </c>
      <c r="G170" t="str" s="124">
        <f>IF(ROW(C170)&lt;LoanPeriod*12+ROW($B$9)-1,C170-F170," ")</f>
        <v> </v>
      </c>
    </row>
    <row r="171">
      <c r="A171" t="s">
        <v>6</v>
      </c>
      <c r="B171" t="str" s="123">
        <f>IF(ROW(B171)&lt;LoanPeriod*12+ROW($B$9)-1,EDATE(B170,1)," ")</f>
        <v> </v>
      </c>
      <c r="C171" t="str" s="124">
        <f>IF(ROW(B171)&lt;LoanPeriod*12+ROW($B$9)-1,G170," ")</f>
        <v> </v>
      </c>
      <c r="D171" t="str" s="124">
        <f>IF(ROW(C171)&lt;LoanPeriod*12+ROW($B$9)-1,MonthlyPayment," ")</f>
        <v> </v>
      </c>
      <c r="E171" t="str" s="124">
        <f>IF(ROW(C171)&lt;LoanPeriod*12+ROW($B$9)-1,C171*InterestRate/100/12," ")</f>
        <v> </v>
      </c>
      <c r="F171" t="str" s="124">
        <f>IF(ROW(B171)&lt;LoanPeriod*12+ROW($B$9)-1,D171-E171," ")</f>
        <v> </v>
      </c>
      <c r="G171" t="str" s="124">
        <f>IF(ROW(C171)&lt;LoanPeriod*12+ROW($B$9)-1,C171-F171," ")</f>
        <v> </v>
      </c>
    </row>
    <row r="172">
      <c r="A172" t="s">
        <v>6</v>
      </c>
      <c r="B172" t="str" s="123">
        <f>IF(ROW(B172)&lt;LoanPeriod*12+ROW($B$9)-1,EDATE(B171,1)," ")</f>
        <v> </v>
      </c>
      <c r="C172" t="str" s="124">
        <f>IF(ROW(B172)&lt;LoanPeriod*12+ROW($B$9)-1,G171," ")</f>
        <v> </v>
      </c>
      <c r="D172" t="str" s="124">
        <f>IF(ROW(C172)&lt;LoanPeriod*12+ROW($B$9)-1,MonthlyPayment," ")</f>
        <v> </v>
      </c>
      <c r="E172" t="str" s="124">
        <f>IF(ROW(C172)&lt;LoanPeriod*12+ROW($B$9)-1,C172*InterestRate/100/12," ")</f>
        <v> </v>
      </c>
      <c r="F172" t="str" s="124">
        <f>IF(ROW(B172)&lt;LoanPeriod*12+ROW($B$9)-1,D172-E172," ")</f>
        <v> </v>
      </c>
      <c r="G172" t="str" s="124">
        <f>IF(ROW(C172)&lt;LoanPeriod*12+ROW($B$9)-1,C172-F172," ")</f>
        <v> </v>
      </c>
    </row>
    <row r="173">
      <c r="A173" t="s">
        <v>6</v>
      </c>
      <c r="B173" t="str" s="123">
        <f>IF(ROW(B173)&lt;LoanPeriod*12+ROW($B$9)-1,EDATE(B172,1)," ")</f>
        <v> </v>
      </c>
      <c r="C173" t="str" s="124">
        <f>IF(ROW(B173)&lt;LoanPeriod*12+ROW($B$9)-1,G172," ")</f>
        <v> </v>
      </c>
      <c r="D173" t="str" s="124">
        <f>IF(ROW(C173)&lt;LoanPeriod*12+ROW($B$9)-1,MonthlyPayment," ")</f>
        <v> </v>
      </c>
      <c r="E173" t="str" s="124">
        <f>IF(ROW(C173)&lt;LoanPeriod*12+ROW($B$9)-1,C173*InterestRate/100/12," ")</f>
        <v> </v>
      </c>
      <c r="F173" t="str" s="124">
        <f>IF(ROW(B173)&lt;LoanPeriod*12+ROW($B$9)-1,D173-E173," ")</f>
        <v> </v>
      </c>
      <c r="G173" t="str" s="124">
        <f>IF(ROW(C173)&lt;LoanPeriod*12+ROW($B$9)-1,C173-F173," ")</f>
        <v> </v>
      </c>
    </row>
    <row r="174">
      <c r="A174" t="s">
        <v>6</v>
      </c>
      <c r="B174" t="str" s="123">
        <f>IF(ROW(B174)&lt;LoanPeriod*12+ROW($B$9)-1,EDATE(B173,1)," ")</f>
        <v> </v>
      </c>
      <c r="C174" t="str" s="124">
        <f>IF(ROW(B174)&lt;LoanPeriod*12+ROW($B$9)-1,G173," ")</f>
        <v> </v>
      </c>
      <c r="D174" t="str" s="124">
        <f>IF(ROW(C174)&lt;LoanPeriod*12+ROW($B$9)-1,MonthlyPayment," ")</f>
        <v> </v>
      </c>
      <c r="E174" t="str" s="124">
        <f>IF(ROW(C174)&lt;LoanPeriod*12+ROW($B$9)-1,C174*InterestRate/100/12," ")</f>
        <v> </v>
      </c>
      <c r="F174" t="str" s="124">
        <f>IF(ROW(B174)&lt;LoanPeriod*12+ROW($B$9)-1,D174-E174," ")</f>
        <v> </v>
      </c>
      <c r="G174" t="str" s="124">
        <f>IF(ROW(C174)&lt;LoanPeriod*12+ROW($B$9)-1,C174-F174," ")</f>
        <v> </v>
      </c>
    </row>
    <row r="175">
      <c r="A175" t="s">
        <v>6</v>
      </c>
      <c r="B175" t="str" s="123">
        <f>IF(ROW(B175)&lt;LoanPeriod*12+ROW($B$9)-1,EDATE(B174,1)," ")</f>
        <v> </v>
      </c>
      <c r="C175" t="str" s="124">
        <f>IF(ROW(B175)&lt;LoanPeriod*12+ROW($B$9)-1,G174," ")</f>
        <v> </v>
      </c>
      <c r="D175" t="str" s="124">
        <f>IF(ROW(C175)&lt;LoanPeriod*12+ROW($B$9)-1,MonthlyPayment," ")</f>
        <v> </v>
      </c>
      <c r="E175" t="str" s="124">
        <f>IF(ROW(C175)&lt;LoanPeriod*12+ROW($B$9)-1,C175*InterestRate/100/12," ")</f>
        <v> </v>
      </c>
      <c r="F175" t="str" s="124">
        <f>IF(ROW(B175)&lt;LoanPeriod*12+ROW($B$9)-1,D175-E175," ")</f>
        <v> </v>
      </c>
      <c r="G175" t="str" s="124">
        <f>IF(ROW(C175)&lt;LoanPeriod*12+ROW($B$9)-1,C175-F175," ")</f>
        <v> </v>
      </c>
    </row>
    <row r="176">
      <c r="A176" t="s">
        <v>6</v>
      </c>
      <c r="B176" t="str" s="123">
        <f>IF(ROW(B176)&lt;LoanPeriod*12+ROW($B$9)-1,EDATE(B175,1)," ")</f>
        <v> </v>
      </c>
      <c r="C176" t="str" s="124">
        <f>IF(ROW(B176)&lt;LoanPeriod*12+ROW($B$9)-1,G175," ")</f>
        <v> </v>
      </c>
      <c r="D176" t="str" s="124">
        <f>IF(ROW(C176)&lt;LoanPeriod*12+ROW($B$9)-1,MonthlyPayment," ")</f>
        <v> </v>
      </c>
      <c r="E176" t="str" s="124">
        <f>IF(ROW(C176)&lt;LoanPeriod*12+ROW($B$9)-1,C176*InterestRate/100/12," ")</f>
        <v> </v>
      </c>
      <c r="F176" t="str" s="124">
        <f>IF(ROW(B176)&lt;LoanPeriod*12+ROW($B$9)-1,D176-E176," ")</f>
        <v> </v>
      </c>
      <c r="G176" t="str" s="124">
        <f>IF(ROW(C176)&lt;LoanPeriod*12+ROW($B$9)-1,C176-F176," ")</f>
        <v> </v>
      </c>
    </row>
    <row r="177">
      <c r="A177" t="s">
        <v>6</v>
      </c>
      <c r="B177" t="str" s="123">
        <f>IF(ROW(B177)&lt;LoanPeriod*12+ROW($B$9)-1,EDATE(B176,1)," ")</f>
        <v> </v>
      </c>
      <c r="C177" t="str" s="124">
        <f>IF(ROW(B177)&lt;LoanPeriod*12+ROW($B$9)-1,G176," ")</f>
        <v> </v>
      </c>
      <c r="D177" t="str" s="124">
        <f>IF(ROW(C177)&lt;LoanPeriod*12+ROW($B$9)-1,MonthlyPayment," ")</f>
        <v> </v>
      </c>
      <c r="E177" t="str" s="124">
        <f>IF(ROW(C177)&lt;LoanPeriod*12+ROW($B$9)-1,C177*InterestRate/100/12," ")</f>
        <v> </v>
      </c>
      <c r="F177" t="str" s="124">
        <f>IF(ROW(B177)&lt;LoanPeriod*12+ROW($B$9)-1,D177-E177," ")</f>
        <v> </v>
      </c>
      <c r="G177" t="str" s="124">
        <f>IF(ROW(C177)&lt;LoanPeriod*12+ROW($B$9)-1,C177-F177," ")</f>
        <v> </v>
      </c>
    </row>
    <row r="178">
      <c r="A178" t="s">
        <v>6</v>
      </c>
      <c r="B178" t="str" s="123">
        <f>IF(ROW(B178)&lt;LoanPeriod*12+ROW($B$9)-1,EDATE(B177,1)," ")</f>
        <v> </v>
      </c>
      <c r="C178" t="str" s="124">
        <f>IF(ROW(B178)&lt;LoanPeriod*12+ROW($B$9)-1,G177," ")</f>
        <v> </v>
      </c>
      <c r="D178" t="str" s="124">
        <f>IF(ROW(C178)&lt;LoanPeriod*12+ROW($B$9)-1,MonthlyPayment," ")</f>
        <v> </v>
      </c>
      <c r="E178" t="str" s="124">
        <f>IF(ROW(C178)&lt;LoanPeriod*12+ROW($B$9)-1,C178*InterestRate/100/12," ")</f>
        <v> </v>
      </c>
      <c r="F178" t="str" s="124">
        <f>IF(ROW(B178)&lt;LoanPeriod*12+ROW($B$9)-1,D178-E178," ")</f>
        <v> </v>
      </c>
      <c r="G178" t="str" s="124">
        <f>IF(ROW(C178)&lt;LoanPeriod*12+ROW($B$9)-1,C178-F178," ")</f>
        <v> </v>
      </c>
    </row>
    <row r="179">
      <c r="A179" t="s">
        <v>6</v>
      </c>
      <c r="B179" t="str" s="123">
        <f>IF(ROW(B179)&lt;LoanPeriod*12+ROW($B$9)-1,EDATE(B178,1)," ")</f>
        <v> </v>
      </c>
      <c r="C179" t="str" s="124">
        <f>IF(ROW(B179)&lt;LoanPeriod*12+ROW($B$9)-1,G178," ")</f>
        <v> </v>
      </c>
      <c r="D179" t="str" s="124">
        <f>IF(ROW(C179)&lt;LoanPeriod*12+ROW($B$9)-1,MonthlyPayment," ")</f>
        <v> </v>
      </c>
      <c r="E179" t="str" s="124">
        <f>IF(ROW(C179)&lt;LoanPeriod*12+ROW($B$9)-1,C179*InterestRate/100/12," ")</f>
        <v> </v>
      </c>
      <c r="F179" t="str" s="124">
        <f>IF(ROW(B179)&lt;LoanPeriod*12+ROW($B$9)-1,D179-E179," ")</f>
        <v> </v>
      </c>
      <c r="G179" t="str" s="124">
        <f>IF(ROW(C179)&lt;LoanPeriod*12+ROW($B$9)-1,C179-F179," ")</f>
        <v> </v>
      </c>
    </row>
    <row r="180">
      <c r="A180" t="s">
        <v>6</v>
      </c>
      <c r="B180" t="str" s="123">
        <f>IF(ROW(B180)&lt;LoanPeriod*12+ROW($B$9)-1,EDATE(B179,1)," ")</f>
        <v> </v>
      </c>
      <c r="C180" t="str" s="124">
        <f>IF(ROW(B180)&lt;LoanPeriod*12+ROW($B$9)-1,G179," ")</f>
        <v> </v>
      </c>
      <c r="D180" t="str" s="124">
        <f>IF(ROW(C180)&lt;LoanPeriod*12+ROW($B$9)-1,MonthlyPayment," ")</f>
        <v> </v>
      </c>
      <c r="E180" t="str" s="124">
        <f>IF(ROW(C180)&lt;LoanPeriod*12+ROW($B$9)-1,C180*InterestRate/100/12," ")</f>
        <v> </v>
      </c>
      <c r="F180" t="str" s="124">
        <f>IF(ROW(B180)&lt;LoanPeriod*12+ROW($B$9)-1,D180-E180," ")</f>
        <v> </v>
      </c>
      <c r="G180" t="str" s="124">
        <f>IF(ROW(C180)&lt;LoanPeriod*12+ROW($B$9)-1,C180-F180," ")</f>
        <v> </v>
      </c>
    </row>
    <row r="181">
      <c r="A181" t="s">
        <v>6</v>
      </c>
      <c r="B181" t="str" s="123">
        <f>IF(ROW(B181)&lt;LoanPeriod*12+ROW($B$9)-1,EDATE(B180,1)," ")</f>
        <v> </v>
      </c>
      <c r="C181" t="str" s="124">
        <f>IF(ROW(B181)&lt;LoanPeriod*12+ROW($B$9)-1,G180," ")</f>
        <v> </v>
      </c>
      <c r="D181" t="str" s="124">
        <f>IF(ROW(C181)&lt;LoanPeriod*12+ROW($B$9)-1,MonthlyPayment," ")</f>
        <v> </v>
      </c>
      <c r="E181" t="str" s="124">
        <f>IF(ROW(C181)&lt;LoanPeriod*12+ROW($B$9)-1,C181*InterestRate/100/12," ")</f>
        <v> </v>
      </c>
      <c r="F181" t="str" s="124">
        <f>IF(ROW(B181)&lt;LoanPeriod*12+ROW($B$9)-1,D181-E181," ")</f>
        <v> </v>
      </c>
      <c r="G181" t="str" s="124">
        <f>IF(ROW(C181)&lt;LoanPeriod*12+ROW($B$9)-1,C181-F181," ")</f>
        <v> </v>
      </c>
    </row>
    <row r="182">
      <c r="A182" t="s">
        <v>6</v>
      </c>
      <c r="B182" t="str" s="123">
        <f>IF(ROW(B182)&lt;LoanPeriod*12+ROW($B$9)-1,EDATE(B181,1)," ")</f>
        <v> </v>
      </c>
      <c r="C182" t="str" s="124">
        <f>IF(ROW(B182)&lt;LoanPeriod*12+ROW($B$9)-1,G181," ")</f>
        <v> </v>
      </c>
      <c r="D182" t="str" s="124">
        <f>IF(ROW(C182)&lt;LoanPeriod*12+ROW($B$9)-1,MonthlyPayment," ")</f>
        <v> </v>
      </c>
      <c r="E182" t="str" s="124">
        <f>IF(ROW(C182)&lt;LoanPeriod*12+ROW($B$9)-1,C182*InterestRate/100/12," ")</f>
        <v> </v>
      </c>
      <c r="F182" t="str" s="124">
        <f>IF(ROW(B182)&lt;LoanPeriod*12+ROW($B$9)-1,D182-E182," ")</f>
        <v> </v>
      </c>
      <c r="G182" t="str" s="124">
        <f>IF(ROW(C182)&lt;LoanPeriod*12+ROW($B$9)-1,C182-F182," ")</f>
        <v> </v>
      </c>
    </row>
    <row r="183">
      <c r="A183" t="s">
        <v>6</v>
      </c>
      <c r="B183" t="str" s="123">
        <f>IF(ROW(B183)&lt;LoanPeriod*12+ROW($B$9)-1,EDATE(B182,1)," ")</f>
        <v> </v>
      </c>
      <c r="C183" t="str" s="124">
        <f>IF(ROW(B183)&lt;LoanPeriod*12+ROW($B$9)-1,G182," ")</f>
        <v> </v>
      </c>
      <c r="D183" t="str" s="124">
        <f>IF(ROW(C183)&lt;LoanPeriod*12+ROW($B$9)-1,MonthlyPayment," ")</f>
        <v> </v>
      </c>
      <c r="E183" t="str" s="124">
        <f>IF(ROW(C183)&lt;LoanPeriod*12+ROW($B$9)-1,C183*InterestRate/100/12," ")</f>
        <v> </v>
      </c>
      <c r="F183" t="str" s="124">
        <f>IF(ROW(B183)&lt;LoanPeriod*12+ROW($B$9)-1,D183-E183," ")</f>
        <v> </v>
      </c>
      <c r="G183" t="str" s="124">
        <f>IF(ROW(C183)&lt;LoanPeriod*12+ROW($B$9)-1,C183-F183," ")</f>
        <v> </v>
      </c>
    </row>
    <row r="184">
      <c r="A184" t="s">
        <v>6</v>
      </c>
      <c r="B184" t="str" s="123">
        <f>IF(ROW(B184)&lt;LoanPeriod*12+ROW($B$9)-1,EDATE(B183,1)," ")</f>
        <v> </v>
      </c>
      <c r="C184" t="str" s="124">
        <f>IF(ROW(B184)&lt;LoanPeriod*12+ROW($B$9)-1,G183," ")</f>
        <v> </v>
      </c>
      <c r="D184" t="str" s="124">
        <f>IF(ROW(C184)&lt;LoanPeriod*12+ROW($B$9)-1,MonthlyPayment," ")</f>
        <v> </v>
      </c>
      <c r="E184" t="str" s="124">
        <f>IF(ROW(C184)&lt;LoanPeriod*12+ROW($B$9)-1,C184*InterestRate/100/12," ")</f>
        <v> </v>
      </c>
      <c r="F184" t="str" s="124">
        <f>IF(ROW(B184)&lt;LoanPeriod*12+ROW($B$9)-1,D184-E184," ")</f>
        <v> </v>
      </c>
      <c r="G184" t="str" s="124">
        <f>IF(ROW(C184)&lt;LoanPeriod*12+ROW($B$9)-1,C184-F184," ")</f>
        <v> </v>
      </c>
    </row>
    <row r="185">
      <c r="A185" t="s">
        <v>6</v>
      </c>
      <c r="B185" t="str" s="123">
        <f>IF(ROW(B185)&lt;LoanPeriod*12+ROW($B$9)-1,EDATE(B184,1)," ")</f>
        <v> </v>
      </c>
      <c r="C185" t="str" s="124">
        <f>IF(ROW(B185)&lt;LoanPeriod*12+ROW($B$9)-1,G184," ")</f>
        <v> </v>
      </c>
      <c r="D185" t="str" s="124">
        <f>IF(ROW(C185)&lt;LoanPeriod*12+ROW($B$9)-1,MonthlyPayment," ")</f>
        <v> </v>
      </c>
      <c r="E185" t="str" s="124">
        <f>IF(ROW(C185)&lt;LoanPeriod*12+ROW($B$9)-1,C185*InterestRate/100/12," ")</f>
        <v> </v>
      </c>
      <c r="F185" t="str" s="124">
        <f>IF(ROW(B185)&lt;LoanPeriod*12+ROW($B$9)-1,D185-E185," ")</f>
        <v> </v>
      </c>
      <c r="G185" t="str" s="124">
        <f>IF(ROW(C185)&lt;LoanPeriod*12+ROW($B$9)-1,C185-F185," ")</f>
        <v> </v>
      </c>
    </row>
    <row r="186">
      <c r="A186" t="s">
        <v>6</v>
      </c>
      <c r="B186" t="str" s="123">
        <f>IF(ROW(B186)&lt;LoanPeriod*12+ROW($B$9)-1,EDATE(B185,1)," ")</f>
        <v> </v>
      </c>
      <c r="C186" t="str" s="124">
        <f>IF(ROW(B186)&lt;LoanPeriod*12+ROW($B$9)-1,G185," ")</f>
        <v> </v>
      </c>
      <c r="D186" t="str" s="124">
        <f>IF(ROW(C186)&lt;LoanPeriod*12+ROW($B$9)-1,MonthlyPayment," ")</f>
        <v> </v>
      </c>
      <c r="E186" t="str" s="124">
        <f>IF(ROW(C186)&lt;LoanPeriod*12+ROW($B$9)-1,C186*InterestRate/100/12," ")</f>
        <v> </v>
      </c>
      <c r="F186" t="str" s="124">
        <f>IF(ROW(B186)&lt;LoanPeriod*12+ROW($B$9)-1,D186-E186," ")</f>
        <v> </v>
      </c>
      <c r="G186" t="str" s="124">
        <f>IF(ROW(C186)&lt;LoanPeriod*12+ROW($B$9)-1,C186-F186," ")</f>
        <v> </v>
      </c>
    </row>
    <row r="187">
      <c r="A187" t="s">
        <v>6</v>
      </c>
      <c r="B187" t="str" s="123">
        <f>IF(ROW(B187)&lt;LoanPeriod*12+ROW($B$9)-1,EDATE(B186,1)," ")</f>
        <v> </v>
      </c>
      <c r="C187" t="str" s="124">
        <f>IF(ROW(B187)&lt;LoanPeriod*12+ROW($B$9)-1,G186," ")</f>
        <v> </v>
      </c>
      <c r="D187" t="str" s="124">
        <f>IF(ROW(C187)&lt;LoanPeriod*12+ROW($B$9)-1,MonthlyPayment," ")</f>
        <v> </v>
      </c>
      <c r="E187" t="str" s="124">
        <f>IF(ROW(C187)&lt;LoanPeriod*12+ROW($B$9)-1,C187*InterestRate/100/12," ")</f>
        <v> </v>
      </c>
      <c r="F187" t="str" s="124">
        <f>IF(ROW(B187)&lt;LoanPeriod*12+ROW($B$9)-1,D187-E187," ")</f>
        <v> </v>
      </c>
      <c r="G187" t="str" s="124">
        <f>IF(ROW(C187)&lt;LoanPeriod*12+ROW($B$9)-1,C187-F187," ")</f>
        <v> </v>
      </c>
    </row>
    <row r="188">
      <c r="A188" t="s">
        <v>6</v>
      </c>
      <c r="B188" t="str" s="123">
        <f>IF(ROW(B188)&lt;LoanPeriod*12+ROW($B$9)-1,EDATE(B187,1)," ")</f>
        <v> </v>
      </c>
      <c r="C188" t="str" s="124">
        <f>IF(ROW(B188)&lt;LoanPeriod*12+ROW($B$9)-1,G187," ")</f>
        <v> </v>
      </c>
      <c r="D188" t="str" s="124">
        <f>IF(ROW(C188)&lt;LoanPeriod*12+ROW($B$9)-1,MonthlyPayment," ")</f>
        <v> </v>
      </c>
      <c r="E188" t="str" s="124">
        <f>IF(ROW(C188)&lt;LoanPeriod*12+ROW($B$9)-1,C188*InterestRate/100/12," ")</f>
        <v> </v>
      </c>
      <c r="F188" t="str" s="124">
        <f>IF(ROW(B188)&lt;LoanPeriod*12+ROW($B$9)-1,D188-E188," ")</f>
        <v> </v>
      </c>
      <c r="G188" t="str" s="124">
        <f>IF(ROW(C188)&lt;LoanPeriod*12+ROW($B$9)-1,C188-F188," ")</f>
        <v> </v>
      </c>
    </row>
    <row r="189">
      <c r="A189" t="s">
        <v>6</v>
      </c>
      <c r="B189" t="str" s="123">
        <f>IF(ROW(B189)&lt;LoanPeriod*12+ROW($B$9)-1,EDATE(B188,1)," ")</f>
        <v> </v>
      </c>
      <c r="C189" t="str" s="124">
        <f>IF(ROW(B189)&lt;LoanPeriod*12+ROW($B$9)-1,G188," ")</f>
        <v> </v>
      </c>
      <c r="D189" t="str" s="124">
        <f>IF(ROW(C189)&lt;LoanPeriod*12+ROW($B$9)-1,MonthlyPayment," ")</f>
        <v> </v>
      </c>
      <c r="E189" t="str" s="124">
        <f>IF(ROW(C189)&lt;LoanPeriod*12+ROW($B$9)-1,C189*InterestRate/100/12," ")</f>
        <v> </v>
      </c>
      <c r="F189" t="str" s="124">
        <f>IF(ROW(B189)&lt;LoanPeriod*12+ROW($B$9)-1,D189-E189," ")</f>
        <v> </v>
      </c>
      <c r="G189" t="str" s="124">
        <f>IF(ROW(C189)&lt;LoanPeriod*12+ROW($B$9)-1,C189-F189," ")</f>
        <v> </v>
      </c>
    </row>
    <row r="190">
      <c r="A190" t="s">
        <v>6</v>
      </c>
      <c r="B190" t="str" s="123">
        <f>IF(ROW(B190)&lt;LoanPeriod*12+ROW($B$9)-1,EDATE(B189,1)," ")</f>
        <v> </v>
      </c>
      <c r="C190" t="str" s="124">
        <f>IF(ROW(B190)&lt;LoanPeriod*12+ROW($B$9)-1,G189," ")</f>
        <v> </v>
      </c>
      <c r="D190" t="str" s="124">
        <f>IF(ROW(C190)&lt;LoanPeriod*12+ROW($B$9)-1,MonthlyPayment," ")</f>
        <v> </v>
      </c>
      <c r="E190" t="str" s="124">
        <f>IF(ROW(C190)&lt;LoanPeriod*12+ROW($B$9)-1,C190*InterestRate/100/12," ")</f>
        <v> </v>
      </c>
      <c r="F190" t="str" s="124">
        <f>IF(ROW(B190)&lt;LoanPeriod*12+ROW($B$9)-1,D190-E190," ")</f>
        <v> </v>
      </c>
      <c r="G190" t="str" s="124">
        <f>IF(ROW(C190)&lt;LoanPeriod*12+ROW($B$9)-1,C190-F190," ")</f>
        <v> </v>
      </c>
    </row>
    <row r="191">
      <c r="A191" t="s">
        <v>6</v>
      </c>
      <c r="B191" t="str" s="123">
        <f>IF(ROW(B191)&lt;LoanPeriod*12+ROW($B$9)-1,EDATE(B190,1)," ")</f>
        <v> </v>
      </c>
      <c r="C191" t="str" s="124">
        <f>IF(ROW(B191)&lt;LoanPeriod*12+ROW($B$9)-1,G190," ")</f>
        <v> </v>
      </c>
      <c r="D191" t="str" s="124">
        <f>IF(ROW(C191)&lt;LoanPeriod*12+ROW($B$9)-1,MonthlyPayment," ")</f>
        <v> </v>
      </c>
      <c r="E191" t="str" s="124">
        <f>IF(ROW(C191)&lt;LoanPeriod*12+ROW($B$9)-1,C191*InterestRate/100/12," ")</f>
        <v> </v>
      </c>
      <c r="F191" t="str" s="124">
        <f>IF(ROW(B191)&lt;LoanPeriod*12+ROW($B$9)-1,D191-E191," ")</f>
        <v> </v>
      </c>
      <c r="G191" t="str" s="124">
        <f>IF(ROW(C191)&lt;LoanPeriod*12+ROW($B$9)-1,C191-F191," ")</f>
        <v> </v>
      </c>
    </row>
    <row r="192">
      <c r="A192" t="s">
        <v>6</v>
      </c>
      <c r="B192" t="str" s="123">
        <f>IF(ROW(B192)&lt;LoanPeriod*12+ROW($B$9)-1,EDATE(B191,1)," ")</f>
        <v> </v>
      </c>
      <c r="C192" t="str" s="124">
        <f>IF(ROW(B192)&lt;LoanPeriod*12+ROW($B$9)-1,G191," ")</f>
        <v> </v>
      </c>
      <c r="D192" t="str" s="124">
        <f>IF(ROW(C192)&lt;LoanPeriod*12+ROW($B$9)-1,MonthlyPayment," ")</f>
        <v> </v>
      </c>
      <c r="E192" t="str" s="124">
        <f>IF(ROW(C192)&lt;LoanPeriod*12+ROW($B$9)-1,C192*InterestRate/100/12," ")</f>
        <v> </v>
      </c>
      <c r="F192" t="str" s="124">
        <f>IF(ROW(B192)&lt;LoanPeriod*12+ROW($B$9)-1,D192-E192," ")</f>
        <v> </v>
      </c>
      <c r="G192" t="str" s="124">
        <f>IF(ROW(C192)&lt;LoanPeriod*12+ROW($B$9)-1,C192-F192," ")</f>
        <v> </v>
      </c>
    </row>
    <row r="193">
      <c r="A193" t="s">
        <v>6</v>
      </c>
      <c r="B193" t="str" s="123">
        <f>IF(ROW(B193)&lt;LoanPeriod*12+ROW($B$9)-1,EDATE(B192,1)," ")</f>
        <v> </v>
      </c>
      <c r="C193" t="str" s="124">
        <f>IF(ROW(B193)&lt;LoanPeriod*12+ROW($B$9)-1,G192," ")</f>
        <v> </v>
      </c>
      <c r="D193" t="str" s="124">
        <f>IF(ROW(C193)&lt;LoanPeriod*12+ROW($B$9)-1,MonthlyPayment," ")</f>
        <v> </v>
      </c>
      <c r="E193" t="str" s="124">
        <f>IF(ROW(C193)&lt;LoanPeriod*12+ROW($B$9)-1,C193*InterestRate/100/12," ")</f>
        <v> </v>
      </c>
      <c r="F193" t="str" s="124">
        <f>IF(ROW(B193)&lt;LoanPeriod*12+ROW($B$9)-1,D193-E193," ")</f>
        <v> </v>
      </c>
      <c r="G193" t="str" s="124">
        <f>IF(ROW(C193)&lt;LoanPeriod*12+ROW($B$9)-1,C193-F193," ")</f>
        <v> </v>
      </c>
    </row>
    <row r="194">
      <c r="A194" t="s">
        <v>6</v>
      </c>
      <c r="B194" t="str" s="123">
        <f>IF(ROW(B194)&lt;LoanPeriod*12+ROW($B$9)-1,EDATE(B193,1)," ")</f>
        <v> </v>
      </c>
      <c r="C194" t="str" s="124">
        <f>IF(ROW(B194)&lt;LoanPeriod*12+ROW($B$9)-1,G193," ")</f>
        <v> </v>
      </c>
      <c r="D194" t="str" s="124">
        <f>IF(ROW(C194)&lt;LoanPeriod*12+ROW($B$9)-1,MonthlyPayment," ")</f>
        <v> </v>
      </c>
      <c r="E194" t="str" s="124">
        <f>IF(ROW(C194)&lt;LoanPeriod*12+ROW($B$9)-1,C194*InterestRate/100/12," ")</f>
        <v> </v>
      </c>
      <c r="F194" t="str" s="124">
        <f>IF(ROW(B194)&lt;LoanPeriod*12+ROW($B$9)-1,D194-E194," ")</f>
        <v> </v>
      </c>
      <c r="G194" t="str" s="124">
        <f>IF(ROW(C194)&lt;LoanPeriod*12+ROW($B$9)-1,C194-F194," ")</f>
        <v> </v>
      </c>
    </row>
    <row r="195">
      <c r="A195" t="s">
        <v>6</v>
      </c>
      <c r="B195" t="str" s="123">
        <f>IF(ROW(B195)&lt;LoanPeriod*12+ROW($B$9)-1,EDATE(B194,1)," ")</f>
        <v> </v>
      </c>
      <c r="C195" t="str" s="124">
        <f>IF(ROW(B195)&lt;LoanPeriod*12+ROW($B$9)-1,G194," ")</f>
        <v> </v>
      </c>
      <c r="D195" t="str" s="124">
        <f>IF(ROW(C195)&lt;LoanPeriod*12+ROW($B$9)-1,MonthlyPayment," ")</f>
        <v> </v>
      </c>
      <c r="E195" t="str" s="124">
        <f>IF(ROW(C195)&lt;LoanPeriod*12+ROW($B$9)-1,C195*InterestRate/100/12," ")</f>
        <v> </v>
      </c>
      <c r="F195" t="str" s="124">
        <f>IF(ROW(B195)&lt;LoanPeriod*12+ROW($B$9)-1,D195-E195," ")</f>
        <v> </v>
      </c>
      <c r="G195" t="str" s="124">
        <f>IF(ROW(C195)&lt;LoanPeriod*12+ROW($B$9)-1,C195-F195," ")</f>
        <v> </v>
      </c>
    </row>
    <row r="196">
      <c r="A196" t="s">
        <v>6</v>
      </c>
      <c r="B196" t="str" s="123">
        <f>IF(ROW(B196)&lt;LoanPeriod*12+ROW($B$9)-1,EDATE(B195,1)," ")</f>
        <v> </v>
      </c>
      <c r="C196" t="str" s="124">
        <f>IF(ROW(B196)&lt;LoanPeriod*12+ROW($B$9)-1,G195," ")</f>
        <v> </v>
      </c>
      <c r="D196" t="str" s="124">
        <f>IF(ROW(C196)&lt;LoanPeriod*12+ROW($B$9)-1,MonthlyPayment," ")</f>
        <v> </v>
      </c>
      <c r="E196" t="str" s="124">
        <f>IF(ROW(C196)&lt;LoanPeriod*12+ROW($B$9)-1,C196*InterestRate/100/12," ")</f>
        <v> </v>
      </c>
      <c r="F196" t="str" s="124">
        <f>IF(ROW(B196)&lt;LoanPeriod*12+ROW($B$9)-1,D196-E196," ")</f>
        <v> </v>
      </c>
      <c r="G196" t="str" s="124">
        <f>IF(ROW(C196)&lt;LoanPeriod*12+ROW($B$9)-1,C196-F196," ")</f>
        <v> </v>
      </c>
    </row>
    <row r="197">
      <c r="A197" t="s">
        <v>6</v>
      </c>
      <c r="B197" t="str" s="123">
        <f>IF(ROW(B197)&lt;LoanPeriod*12+ROW($B$9)-1,EDATE(B196,1)," ")</f>
        <v> </v>
      </c>
      <c r="C197" t="str" s="124">
        <f>IF(ROW(B197)&lt;LoanPeriod*12+ROW($B$9)-1,G196," ")</f>
        <v> </v>
      </c>
      <c r="D197" t="str" s="124">
        <f>IF(ROW(C197)&lt;LoanPeriod*12+ROW($B$9)-1,MonthlyPayment," ")</f>
        <v> </v>
      </c>
      <c r="E197" t="str" s="124">
        <f>IF(ROW(C197)&lt;LoanPeriod*12+ROW($B$9)-1,C197*InterestRate/100/12," ")</f>
        <v> </v>
      </c>
      <c r="F197" t="str" s="124">
        <f>IF(ROW(B197)&lt;LoanPeriod*12+ROW($B$9)-1,D197-E197," ")</f>
        <v> </v>
      </c>
      <c r="G197" t="str" s="124">
        <f>IF(ROW(C197)&lt;LoanPeriod*12+ROW($B$9)-1,C197-F197," ")</f>
        <v> </v>
      </c>
    </row>
    <row r="198">
      <c r="A198" t="s">
        <v>6</v>
      </c>
      <c r="B198" t="str" s="123">
        <f>IF(ROW(B198)&lt;LoanPeriod*12+ROW($B$9)-1,EDATE(B197,1)," ")</f>
        <v> </v>
      </c>
      <c r="C198" t="str" s="124">
        <f>IF(ROW(B198)&lt;LoanPeriod*12+ROW($B$9)-1,G197," ")</f>
        <v> </v>
      </c>
      <c r="D198" t="str" s="124">
        <f>IF(ROW(C198)&lt;LoanPeriod*12+ROW($B$9)-1,MonthlyPayment," ")</f>
        <v> </v>
      </c>
      <c r="E198" t="str" s="124">
        <f>IF(ROW(C198)&lt;LoanPeriod*12+ROW($B$9)-1,C198*InterestRate/100/12," ")</f>
        <v> </v>
      </c>
      <c r="F198" t="str" s="124">
        <f>IF(ROW(B198)&lt;LoanPeriod*12+ROW($B$9)-1,D198-E198," ")</f>
        <v> </v>
      </c>
      <c r="G198" t="str" s="124">
        <f>IF(ROW(C198)&lt;LoanPeriod*12+ROW($B$9)-1,C198-F198," ")</f>
        <v> </v>
      </c>
    </row>
    <row r="199">
      <c r="A199" t="s">
        <v>6</v>
      </c>
      <c r="B199" t="str" s="123">
        <f>IF(ROW(B199)&lt;LoanPeriod*12+ROW($B$9)-1,EDATE(B198,1)," ")</f>
        <v> </v>
      </c>
      <c r="C199" t="str" s="124">
        <f>IF(ROW(B199)&lt;LoanPeriod*12+ROW($B$9)-1,G198," ")</f>
        <v> </v>
      </c>
      <c r="D199" t="str" s="124">
        <f>IF(ROW(C199)&lt;LoanPeriod*12+ROW($B$9)-1,MonthlyPayment," ")</f>
        <v> </v>
      </c>
      <c r="E199" t="str" s="124">
        <f>IF(ROW(C199)&lt;LoanPeriod*12+ROW($B$9)-1,C199*InterestRate/100/12," ")</f>
        <v> </v>
      </c>
      <c r="F199" t="str" s="124">
        <f>IF(ROW(B199)&lt;LoanPeriod*12+ROW($B$9)-1,D199-E199," ")</f>
        <v> </v>
      </c>
      <c r="G199" t="str" s="124">
        <f>IF(ROW(C199)&lt;LoanPeriod*12+ROW($B$9)-1,C199-F199," ")</f>
        <v> </v>
      </c>
    </row>
    <row r="200">
      <c r="A200" t="s">
        <v>6</v>
      </c>
      <c r="B200" t="str" s="123">
        <f>IF(ROW(B200)&lt;LoanPeriod*12+ROW($B$9)-1,EDATE(B199,1)," ")</f>
        <v> </v>
      </c>
      <c r="C200" t="str" s="124">
        <f>IF(ROW(B200)&lt;LoanPeriod*12+ROW($B$9)-1,G199," ")</f>
        <v> </v>
      </c>
      <c r="D200" t="str" s="124">
        <f>IF(ROW(C200)&lt;LoanPeriod*12+ROW($B$9)-1,MonthlyPayment," ")</f>
        <v> </v>
      </c>
      <c r="E200" t="str" s="124">
        <f>IF(ROW(C200)&lt;LoanPeriod*12+ROW($B$9)-1,C200*InterestRate/100/12," ")</f>
        <v> </v>
      </c>
      <c r="F200" t="str" s="124">
        <f>IF(ROW(B200)&lt;LoanPeriod*12+ROW($B$9)-1,D200-E200," ")</f>
        <v> </v>
      </c>
      <c r="G200" t="str" s="124">
        <f>IF(ROW(C200)&lt;LoanPeriod*12+ROW($B$9)-1,C200-F200," ")</f>
        <v> </v>
      </c>
    </row>
    <row r="201">
      <c r="A201" t="s">
        <v>6</v>
      </c>
      <c r="B201" t="str" s="123">
        <f>IF(ROW(B201)&lt;LoanPeriod*12+ROW($B$9)-1,EDATE(B200,1)," ")</f>
        <v> </v>
      </c>
      <c r="C201" t="str" s="124">
        <f>IF(ROW(B201)&lt;LoanPeriod*12+ROW($B$9)-1,G200," ")</f>
        <v> </v>
      </c>
      <c r="D201" t="str" s="124">
        <f>IF(ROW(C201)&lt;LoanPeriod*12+ROW($B$9)-1,MonthlyPayment," ")</f>
        <v> </v>
      </c>
      <c r="E201" t="str" s="124">
        <f>IF(ROW(C201)&lt;LoanPeriod*12+ROW($B$9)-1,C201*InterestRate/100/12," ")</f>
        <v> </v>
      </c>
      <c r="F201" t="str" s="124">
        <f>IF(ROW(B201)&lt;LoanPeriod*12+ROW($B$9)-1,D201-E201," ")</f>
        <v> </v>
      </c>
      <c r="G201" t="str" s="124">
        <f>IF(ROW(C201)&lt;LoanPeriod*12+ROW($B$9)-1,C201-F201," ")</f>
        <v> </v>
      </c>
    </row>
    <row r="202">
      <c r="A202" t="s">
        <v>6</v>
      </c>
      <c r="B202" t="str" s="123">
        <f>IF(ROW(B202)&lt;LoanPeriod*12+ROW($B$9)-1,EDATE(B201,1)," ")</f>
        <v> </v>
      </c>
      <c r="C202" t="str" s="124">
        <f>IF(ROW(B202)&lt;LoanPeriod*12+ROW($B$9)-1,G201," ")</f>
        <v> </v>
      </c>
      <c r="D202" t="str" s="124">
        <f>IF(ROW(C202)&lt;LoanPeriod*12+ROW($B$9)-1,MonthlyPayment," ")</f>
        <v> </v>
      </c>
      <c r="E202" t="str" s="124">
        <f>IF(ROW(C202)&lt;LoanPeriod*12+ROW($B$9)-1,C202*InterestRate/100/12," ")</f>
        <v> </v>
      </c>
      <c r="F202" t="str" s="124">
        <f>IF(ROW(B202)&lt;LoanPeriod*12+ROW($B$9)-1,D202-E202," ")</f>
        <v> </v>
      </c>
      <c r="G202" t="str" s="124">
        <f>IF(ROW(C202)&lt;LoanPeriod*12+ROW($B$9)-1,C202-F202," ")</f>
        <v> </v>
      </c>
    </row>
    <row r="203">
      <c r="A203" t="s">
        <v>6</v>
      </c>
      <c r="B203" t="str" s="123">
        <f>IF(ROW(B203)&lt;LoanPeriod*12+ROW($B$9)-1,EDATE(B202,1)," ")</f>
        <v> </v>
      </c>
      <c r="C203" t="str" s="124">
        <f>IF(ROW(B203)&lt;LoanPeriod*12+ROW($B$9)-1,G202," ")</f>
        <v> </v>
      </c>
      <c r="D203" t="str" s="124">
        <f>IF(ROW(C203)&lt;LoanPeriod*12+ROW($B$9)-1,MonthlyPayment," ")</f>
        <v> </v>
      </c>
      <c r="E203" t="str" s="124">
        <f>IF(ROW(C203)&lt;LoanPeriod*12+ROW($B$9)-1,C203*InterestRate/100/12," ")</f>
        <v> </v>
      </c>
      <c r="F203" t="str" s="124">
        <f>IF(ROW(B203)&lt;LoanPeriod*12+ROW($B$9)-1,D203-E203," ")</f>
        <v> </v>
      </c>
      <c r="G203" t="str" s="124">
        <f>IF(ROW(C203)&lt;LoanPeriod*12+ROW($B$9)-1,C203-F203," ")</f>
        <v> </v>
      </c>
    </row>
    <row r="204">
      <c r="A204" t="s">
        <v>6</v>
      </c>
      <c r="B204" t="str" s="123">
        <f>IF(ROW(B204)&lt;LoanPeriod*12+ROW($B$9)-1,EDATE(B203,1)," ")</f>
        <v> </v>
      </c>
      <c r="C204" t="str" s="124">
        <f>IF(ROW(B204)&lt;LoanPeriod*12+ROW($B$9)-1,G203," ")</f>
        <v> </v>
      </c>
      <c r="D204" t="str" s="124">
        <f>IF(ROW(C204)&lt;LoanPeriod*12+ROW($B$9)-1,MonthlyPayment," ")</f>
        <v> </v>
      </c>
      <c r="E204" t="str" s="124">
        <f>IF(ROW(C204)&lt;LoanPeriod*12+ROW($B$9)-1,C204*InterestRate/100/12," ")</f>
        <v> </v>
      </c>
      <c r="F204" t="str" s="124">
        <f>IF(ROW(B204)&lt;LoanPeriod*12+ROW($B$9)-1,D204-E204," ")</f>
        <v> </v>
      </c>
      <c r="G204" t="str" s="124">
        <f>IF(ROW(C204)&lt;LoanPeriod*12+ROW($B$9)-1,C204-F204," ")</f>
        <v> </v>
      </c>
    </row>
    <row r="205">
      <c r="A205" t="s">
        <v>6</v>
      </c>
      <c r="B205" t="str" s="123">
        <f>IF(ROW(B205)&lt;LoanPeriod*12+ROW($B$9)-1,EDATE(B204,1)," ")</f>
        <v> </v>
      </c>
      <c r="C205" t="str" s="124">
        <f>IF(ROW(B205)&lt;LoanPeriod*12+ROW($B$9)-1,G204," ")</f>
        <v> </v>
      </c>
      <c r="D205" t="str" s="124">
        <f>IF(ROW(C205)&lt;LoanPeriod*12+ROW($B$9)-1,MonthlyPayment," ")</f>
        <v> </v>
      </c>
      <c r="E205" t="str" s="124">
        <f>IF(ROW(C205)&lt;LoanPeriod*12+ROW($B$9)-1,C205*InterestRate/100/12," ")</f>
        <v> </v>
      </c>
      <c r="F205" t="str" s="124">
        <f>IF(ROW(B205)&lt;LoanPeriod*12+ROW($B$9)-1,D205-E205," ")</f>
        <v> </v>
      </c>
      <c r="G205" t="str" s="124">
        <f>IF(ROW(C205)&lt;LoanPeriod*12+ROW($B$9)-1,C205-F205," ")</f>
        <v> </v>
      </c>
    </row>
    <row r="206">
      <c r="A206" t="s">
        <v>6</v>
      </c>
      <c r="B206" t="str" s="123">
        <f>IF(ROW(B206)&lt;LoanPeriod*12+ROW($B$9)-1,EDATE(B205,1)," ")</f>
        <v> </v>
      </c>
      <c r="C206" t="str" s="124">
        <f>IF(ROW(B206)&lt;LoanPeriod*12+ROW($B$9)-1,G205," ")</f>
        <v> </v>
      </c>
      <c r="D206" t="str" s="124">
        <f>IF(ROW(C206)&lt;LoanPeriod*12+ROW($B$9)-1,MonthlyPayment," ")</f>
        <v> </v>
      </c>
      <c r="E206" t="str" s="124">
        <f>IF(ROW(C206)&lt;LoanPeriod*12+ROW($B$9)-1,C206*InterestRate/100/12," ")</f>
        <v> </v>
      </c>
      <c r="F206" t="str" s="124">
        <f>IF(ROW(B206)&lt;LoanPeriod*12+ROW($B$9)-1,D206-E206," ")</f>
        <v> </v>
      </c>
      <c r="G206" t="str" s="124">
        <f>IF(ROW(C206)&lt;LoanPeriod*12+ROW($B$9)-1,C206-F206," ")</f>
        <v> </v>
      </c>
    </row>
    <row r="207">
      <c r="A207" t="s">
        <v>6</v>
      </c>
      <c r="B207" t="str" s="123">
        <f>IF(ROW(B207)&lt;LoanPeriod*12+ROW($B$9)-1,EDATE(B206,1)," ")</f>
        <v> </v>
      </c>
      <c r="C207" t="str" s="124">
        <f>IF(ROW(B207)&lt;LoanPeriod*12+ROW($B$9)-1,G206," ")</f>
        <v> </v>
      </c>
      <c r="D207" t="str" s="124">
        <f>IF(ROW(C207)&lt;LoanPeriod*12+ROW($B$9)-1,MonthlyPayment," ")</f>
        <v> </v>
      </c>
      <c r="E207" t="str" s="124">
        <f>IF(ROW(C207)&lt;LoanPeriod*12+ROW($B$9)-1,C207*InterestRate/100/12," ")</f>
        <v> </v>
      </c>
      <c r="F207" t="str" s="124">
        <f>IF(ROW(B207)&lt;LoanPeriod*12+ROW($B$9)-1,D207-E207," ")</f>
        <v> </v>
      </c>
      <c r="G207" t="str" s="124">
        <f>IF(ROW(C207)&lt;LoanPeriod*12+ROW($B$9)-1,C207-F207," ")</f>
        <v> </v>
      </c>
    </row>
    <row r="208">
      <c r="A208" t="s">
        <v>6</v>
      </c>
      <c r="B208" t="str" s="123">
        <f>IF(ROW(B208)&lt;LoanPeriod*12+ROW($B$9)-1,EDATE(B207,1)," ")</f>
        <v> </v>
      </c>
      <c r="C208" t="str" s="124">
        <f>IF(ROW(B208)&lt;LoanPeriod*12+ROW($B$9)-1,G207," ")</f>
        <v> </v>
      </c>
      <c r="D208" t="str" s="124">
        <f>IF(ROW(C208)&lt;LoanPeriod*12+ROW($B$9)-1,MonthlyPayment," ")</f>
        <v> </v>
      </c>
      <c r="E208" t="str" s="124">
        <f>IF(ROW(C208)&lt;LoanPeriod*12+ROW($B$9)-1,C208*InterestRate/100/12," ")</f>
        <v> </v>
      </c>
      <c r="F208" t="str" s="124">
        <f>IF(ROW(B208)&lt;LoanPeriod*12+ROW($B$9)-1,D208-E208," ")</f>
        <v> </v>
      </c>
      <c r="G208" t="str" s="124">
        <f>IF(ROW(C208)&lt;LoanPeriod*12+ROW($B$9)-1,C208-F208," ")</f>
        <v> </v>
      </c>
    </row>
    <row r="209">
      <c r="A209" t="s">
        <v>6</v>
      </c>
      <c r="B209" t="str" s="123">
        <f>IF(ROW(B209)&lt;LoanPeriod*12+ROW($B$9)-1,EDATE(B208,1)," ")</f>
        <v> </v>
      </c>
      <c r="C209" t="str" s="124">
        <f>IF(ROW(B209)&lt;LoanPeriod*12+ROW($B$9)-1,G208," ")</f>
        <v> </v>
      </c>
      <c r="D209" t="str" s="124">
        <f>IF(ROW(C209)&lt;LoanPeriod*12+ROW($B$9)-1,MonthlyPayment," ")</f>
        <v> </v>
      </c>
      <c r="E209" t="str" s="124">
        <f>IF(ROW(C209)&lt;LoanPeriod*12+ROW($B$9)-1,C209*InterestRate/100/12," ")</f>
        <v> </v>
      </c>
      <c r="F209" t="str" s="124">
        <f>IF(ROW(B209)&lt;LoanPeriod*12+ROW($B$9)-1,D209-E209," ")</f>
        <v> </v>
      </c>
      <c r="G209" t="str" s="124">
        <f>IF(ROW(C209)&lt;LoanPeriod*12+ROW($B$9)-1,C209-F209," ")</f>
        <v> </v>
      </c>
    </row>
    <row r="210">
      <c r="A210" t="s">
        <v>6</v>
      </c>
      <c r="B210" t="str" s="123">
        <f>IF(ROW(B210)&lt;LoanPeriod*12+ROW($B$9)-1,EDATE(B209,1)," ")</f>
        <v> </v>
      </c>
      <c r="C210" t="str" s="124">
        <f>IF(ROW(B210)&lt;LoanPeriod*12+ROW($B$9)-1,G209," ")</f>
        <v> </v>
      </c>
      <c r="D210" t="str" s="124">
        <f>IF(ROW(C210)&lt;LoanPeriod*12+ROW($B$9)-1,MonthlyPayment," ")</f>
        <v> </v>
      </c>
      <c r="E210" t="str" s="124">
        <f>IF(ROW(C210)&lt;LoanPeriod*12+ROW($B$9)-1,C210*InterestRate/100/12," ")</f>
        <v> </v>
      </c>
      <c r="F210" t="str" s="124">
        <f>IF(ROW(B210)&lt;LoanPeriod*12+ROW($B$9)-1,D210-E210," ")</f>
        <v> </v>
      </c>
      <c r="G210" t="str" s="124">
        <f>IF(ROW(C210)&lt;LoanPeriod*12+ROW($B$9)-1,C210-F210," ")</f>
        <v> </v>
      </c>
    </row>
    <row r="211">
      <c r="A211" t="s">
        <v>6</v>
      </c>
      <c r="B211" t="str" s="123">
        <f>IF(ROW(B211)&lt;LoanPeriod*12+ROW($B$9)-1,EDATE(B210,1)," ")</f>
        <v> </v>
      </c>
      <c r="C211" t="str" s="124">
        <f>IF(ROW(B211)&lt;LoanPeriod*12+ROW($B$9)-1,G210," ")</f>
        <v> </v>
      </c>
      <c r="D211" t="str" s="124">
        <f>IF(ROW(C211)&lt;LoanPeriod*12+ROW($B$9)-1,MonthlyPayment," ")</f>
        <v> </v>
      </c>
      <c r="E211" t="str" s="124">
        <f>IF(ROW(C211)&lt;LoanPeriod*12+ROW($B$9)-1,C211*InterestRate/100/12," ")</f>
        <v> </v>
      </c>
      <c r="F211" t="str" s="124">
        <f>IF(ROW(B211)&lt;LoanPeriod*12+ROW($B$9)-1,D211-E211," ")</f>
        <v> </v>
      </c>
      <c r="G211" t="str" s="124">
        <f>IF(ROW(C211)&lt;LoanPeriod*12+ROW($B$9)-1,C211-F211," ")</f>
        <v> </v>
      </c>
    </row>
    <row r="212">
      <c r="A212" t="s">
        <v>6</v>
      </c>
      <c r="B212" t="str" s="123">
        <f>IF(ROW(B212)&lt;LoanPeriod*12+ROW($B$9)-1,EDATE(B211,1)," ")</f>
        <v> </v>
      </c>
      <c r="C212" t="str" s="124">
        <f>IF(ROW(B212)&lt;LoanPeriod*12+ROW($B$9)-1,G211," ")</f>
        <v> </v>
      </c>
      <c r="D212" t="str" s="124">
        <f>IF(ROW(C212)&lt;LoanPeriod*12+ROW($B$9)-1,MonthlyPayment," ")</f>
        <v> </v>
      </c>
      <c r="E212" t="str" s="124">
        <f>IF(ROW(C212)&lt;LoanPeriod*12+ROW($B$9)-1,C212*InterestRate/100/12," ")</f>
        <v> </v>
      </c>
      <c r="F212" t="str" s="124">
        <f>IF(ROW(B212)&lt;LoanPeriod*12+ROW($B$9)-1,D212-E212," ")</f>
        <v> </v>
      </c>
      <c r="G212" t="str" s="124">
        <f>IF(ROW(C212)&lt;LoanPeriod*12+ROW($B$9)-1,C212-F212," ")</f>
        <v> </v>
      </c>
    </row>
    <row r="213">
      <c r="A213" t="s">
        <v>6</v>
      </c>
      <c r="B213" t="str" s="123">
        <f>IF(ROW(B213)&lt;LoanPeriod*12+ROW($B$9)-1,EDATE(B212,1)," ")</f>
        <v> </v>
      </c>
      <c r="C213" t="str" s="124">
        <f>IF(ROW(B213)&lt;LoanPeriod*12+ROW($B$9)-1,G212," ")</f>
        <v> </v>
      </c>
      <c r="D213" t="str" s="124">
        <f>IF(ROW(C213)&lt;LoanPeriod*12+ROW($B$9)-1,MonthlyPayment," ")</f>
        <v> </v>
      </c>
      <c r="E213" t="str" s="124">
        <f>IF(ROW(C213)&lt;LoanPeriod*12+ROW($B$9)-1,C213*InterestRate/100/12," ")</f>
        <v> </v>
      </c>
      <c r="F213" t="str" s="124">
        <f>IF(ROW(B213)&lt;LoanPeriod*12+ROW($B$9)-1,D213-E213," ")</f>
        <v> </v>
      </c>
      <c r="G213" t="str" s="124">
        <f>IF(ROW(C213)&lt;LoanPeriod*12+ROW($B$9)-1,C213-F213," ")</f>
        <v> </v>
      </c>
    </row>
    <row r="214">
      <c r="A214" t="s">
        <v>6</v>
      </c>
      <c r="B214" t="str" s="123">
        <f>IF(ROW(B214)&lt;LoanPeriod*12+ROW($B$9)-1,EDATE(B213,1)," ")</f>
        <v> </v>
      </c>
      <c r="C214" t="str" s="124">
        <f>IF(ROW(B214)&lt;LoanPeriod*12+ROW($B$9)-1,G213," ")</f>
        <v> </v>
      </c>
      <c r="D214" t="str" s="124">
        <f>IF(ROW(C214)&lt;LoanPeriod*12+ROW($B$9)-1,MonthlyPayment," ")</f>
        <v> </v>
      </c>
      <c r="E214" t="str" s="124">
        <f>IF(ROW(C214)&lt;LoanPeriod*12+ROW($B$9)-1,C214*InterestRate/100/12," ")</f>
        <v> </v>
      </c>
      <c r="F214" t="str" s="124">
        <f>IF(ROW(B214)&lt;LoanPeriod*12+ROW($B$9)-1,D214-E214," ")</f>
        <v> </v>
      </c>
      <c r="G214" t="str" s="124">
        <f>IF(ROW(C214)&lt;LoanPeriod*12+ROW($B$9)-1,C214-F214," ")</f>
        <v> </v>
      </c>
    </row>
    <row r="215">
      <c r="A215" t="s">
        <v>6</v>
      </c>
      <c r="B215" t="str" s="123">
        <f>IF(ROW(B215)&lt;LoanPeriod*12+ROW($B$9)-1,EDATE(B214,1)," ")</f>
        <v> </v>
      </c>
      <c r="C215" t="str" s="124">
        <f>IF(ROW(B215)&lt;LoanPeriod*12+ROW($B$9)-1,G214," ")</f>
        <v> </v>
      </c>
      <c r="D215" t="str" s="124">
        <f>IF(ROW(C215)&lt;LoanPeriod*12+ROW($B$9)-1,MonthlyPayment," ")</f>
        <v> </v>
      </c>
      <c r="E215" t="str" s="124">
        <f>IF(ROW(C215)&lt;LoanPeriod*12+ROW($B$9)-1,C215*InterestRate/100/12," ")</f>
        <v> </v>
      </c>
      <c r="F215" t="str" s="124">
        <f>IF(ROW(B215)&lt;LoanPeriod*12+ROW($B$9)-1,D215-E215," ")</f>
        <v> </v>
      </c>
      <c r="G215" t="str" s="124">
        <f>IF(ROW(C215)&lt;LoanPeriod*12+ROW($B$9)-1,C215-F215," ")</f>
        <v> </v>
      </c>
    </row>
    <row r="216">
      <c r="A216" t="s">
        <v>6</v>
      </c>
      <c r="B216" t="s">
        <v>6</v>
      </c>
      <c r="C216" t="s">
        <v>6</v>
      </c>
      <c r="D216" t="s">
        <v>6</v>
      </c>
      <c r="E216" t="s">
        <v>6</v>
      </c>
      <c r="F216" t="s">
        <v>6</v>
      </c>
      <c r="G216" t="s">
        <v>6</v>
      </c>
    </row>
    <row r="217">
      <c r="A217" t="s">
        <v>6</v>
      </c>
      <c r="B217" t="s">
        <v>6</v>
      </c>
      <c r="C217" t="s">
        <v>6</v>
      </c>
      <c r="D217" t="s">
        <v>6</v>
      </c>
      <c r="E217" t="s">
        <v>6</v>
      </c>
      <c r="F217" t="s">
        <v>6</v>
      </c>
      <c r="G217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2025-06-14T17:44:36Z</dcterms:created>
  <dcterms:modified xsi:type="dcterms:W3CDTF">2025-09-24T18:54:56Z</dcterms:modified>
  <cp:category/>
  <cp:contentStatus/>
</cp:coreProperties>
</file>