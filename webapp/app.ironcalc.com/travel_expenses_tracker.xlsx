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📈 Overview" sheetId="1" r:id="rId1"/>
    <sheet name="🗒️ Expenses" sheetId="2" r:id="rId2"/>
  </sheets>
  <definedNames>
    <definedName name="ExpenseAmount">'🗒️ Expenses'!$F$5:$F$200</definedName>
    <definedName name="ExpenseType">'🗒️ Expenses'!$G$5:$G$200</definedName>
  </definedNames>
  <calcPr/>
</workbook>
</file>

<file path=xl/sharedStrings.xml><?xml version="1.0" encoding="utf-8"?>
<sst xmlns="http://schemas.openxmlformats.org/spreadsheetml/2006/main" count="85" uniqueCount="85">
  <si>
    <t>🏨</t>
  </si>
  <si>
    <t>Accommodation</t>
  </si>
  <si>
    <t>Budget your next trip and easily track your expenses</t>
  </si>
  <si>
    <t/>
  </si>
  <si>
    <t>Make sure to only fill in cells with no formulas!</t>
  </si>
  <si>
    <t>Planned</t>
  </si>
  <si>
    <t>Shopping</t>
  </si>
  <si>
    <t>🛍️</t>
  </si>
  <si>
    <t>Destination</t>
  </si>
  <si>
    <t>China</t>
  </si>
  <si>
    <t>🚕</t>
  </si>
  <si>
    <t>Local transportation</t>
  </si>
  <si>
    <t>👟</t>
  </si>
  <si>
    <t>Activities</t>
  </si>
  <si>
    <t>Days</t>
  </si>
  <si>
    <t>Long-distance transportation</t>
  </si>
  <si>
    <t>✈️</t>
  </si>
  <si>
    <t>Food</t>
  </si>
  <si>
    <t>🍕</t>
  </si>
  <si>
    <t>TOTAL</t>
  </si>
  <si>
    <t>Difference</t>
  </si>
  <si>
    <t>Cost per day</t>
  </si>
  <si>
    <t>Cost breakdown</t>
  </si>
  <si>
    <t>Actual</t>
  </si>
  <si>
    <t>abc</t>
  </si>
  <si>
    <t>Workbook3</t>
  </si>
  <si>
    <t>List your trip expenses on this page</t>
  </si>
  <si>
    <t>City</t>
  </si>
  <si>
    <t>Amount</t>
  </si>
  <si>
    <t>Type</t>
  </si>
  <si>
    <t>Expense</t>
  </si>
  <si>
    <t>Date</t>
  </si>
  <si>
    <t>Beijing</t>
  </si>
  <si>
    <t>Lunch</t>
  </si>
  <si>
    <t>Subway tickets</t>
  </si>
  <si>
    <t>Xi'an</t>
  </si>
  <si>
    <t>Shanghai</t>
  </si>
  <si>
    <t>Snacks &amp; drinks</t>
  </si>
  <si>
    <t>Dinner</t>
  </si>
  <si>
    <t>Breakfast</t>
  </si>
  <si>
    <t>Hotel Beijing</t>
  </si>
  <si>
    <t>Airport taxi</t>
  </si>
  <si>
    <t>Xi'an Wall</t>
  </si>
  <si>
    <t>Hotel</t>
  </si>
  <si>
    <t>Terracotta warriors tickets</t>
  </si>
  <si>
    <t>Souvenirs</t>
  </si>
  <si>
    <t>Clothes shopping</t>
  </si>
  <si>
    <t>Hotel </t>
  </si>
  <si>
    <t>Taxi</t>
  </si>
  <si>
    <t>Coffee</t>
  </si>
  <si>
    <t>Flight Xi'an-Shanghai</t>
  </si>
  <si>
    <t>Forbidden City tickets</t>
  </si>
  <si>
    <t>Bubble tea</t>
  </si>
  <si>
    <t>Flight Berlin-Beijing</t>
  </si>
  <si>
    <t>Thrifting</t>
  </si>
  <si>
    <t>Snacks</t>
  </si>
  <si>
    <t>Museum entrance</t>
  </si>
  <si>
    <t>Shanghai Tower ticket</t>
  </si>
  <si>
    <t>Ice cream</t>
  </si>
  <si>
    <t>Bus tickets</t>
  </si>
  <si>
    <t>Yu Garden entrance</t>
  </si>
  <si>
    <t>Magnets</t>
  </si>
  <si>
    <t>Metro card</t>
  </si>
  <si>
    <t>Train Beijing-Xi'an</t>
  </si>
  <si>
    <t>""
easily </t>
  </si>
  <si>
    <t>easily track your </t>
  </si>
  <si>
    <t>expenses</t>
  </si>
  <si>
    <t>Budget your next trip and</t>
  </si>
  <si>
    <t>Make sure to only fill in cells with</t>
  </si>
  <si>
    <t>no formulas</t>
  </si>
  <si>
    <t>no formulas!</t>
  </si>
  <si>
    <t>Budget your next trip here and</t>
  </si>
  <si>
    <t>Make sure to only fill in cells with no</t>
  </si>
  <si>
    <t>formulas!</t>
  </si>
  <si>
    <t>Expense Type</t>
  </si>
  <si>
    <t>List your trip expenses on </t>
  </si>
  <si>
    <t>Make sure to only fill blue cells with no</t>
  </si>
  <si>
    <t>Make sure to only fill blue cells with</t>
  </si>
  <si>
    <t>Make sure to only fill blue cells with </t>
  </si>
  <si>
    <t>🗼</t>
  </si>
  <si>
    <t>this page</t>
  </si>
  <si>
    <t>Expense type</t>
  </si>
  <si>
    <t>Budget your next trip here and easily track your expenses</t>
  </si>
  <si>
    <t>Make sure to only fill blue cells with no formulas</t>
  </si>
  <si>
    <t>Make sure to only fill in blue cells with no formulas</t>
  </si>
</sst>
</file>

<file path=xl/styles.xml><?xml version="1.0" encoding="utf-8"?>
<styleSheet xmlns="http://schemas.openxmlformats.org/spreadsheetml/2006/main">
  <numFmts count="5">
    <numFmt numFmtId="45" formatCode="#,##0.00&quot; €&quot;"/>
    <numFmt numFmtId="46" formatCode="&quot;€&quot;#,##0.00"/>
    <numFmt numFmtId="47" formatCode="#,##0"/>
    <numFmt numFmtId="48" formatCode="dd/mm/yyyy"/>
    <numFmt numFmtId="49" formatCode="dd&quot;/&quot;mm&quot;/&quot;yyyy"/>
  </numFmts>
  <fonts count="5">
    <font>
      <sz val="13"/>
      <color rgb="FF000000"/>
      <name val="Calibri"/>
      <family val="2"/>
      <scheme val="minor"/>
    </font>
    <font>
      <sz val="13"/>
      <color rgb="FF000000"/>
      <name val="Calibri"/>
      <b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b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9CDCB"/>
      </patternFill>
    </fill>
    <fill>
      <patternFill patternType="solid">
        <fgColor rgb="FFDDE8CC"/>
      </patternFill>
    </fill>
    <fill>
      <patternFill patternType="solid">
        <fgColor rgb="FFC2CDE9"/>
      </patternFill>
    </fill>
    <fill>
      <patternFill patternType="solid">
        <fgColor rgb="FFbfddfb"/>
      </patternFill>
    </fill>
    <fill>
      <patternFill patternType="solid">
        <fgColor rgb="FFF5F5F5"/>
      </patternFill>
    </fill>
    <fill>
      <patternFill patternType="solid">
        <fgColor rgb="FFEEEEEE"/>
      </patternFill>
    </fill>
    <fill>
      <patternFill patternType="solid">
        <fgColor rgb="FFE0E0E0"/>
      </patternFill>
    </fill>
    <fill>
      <patternFill patternType="solid">
        <fgColor rgb="FFBBD4D8"/>
      </patternFill>
    </fill>
  </fills>
  <borders count="16">
    <border>
      <left/>
      <right/>
      <top/>
      <bottom/>
      <diagonal/>
    </border>
    <border>
      <left/>
      <right style="thin">
        <color rgb="FF272525"/>
      </right>
      <top/>
      <bottom/>
      <diagonal/>
    </border>
    <border>
      <left style="thin">
        <color rgb="FF272525"/>
      </left>
      <right style="thin">
        <color rgb="FF272525"/>
      </right>
      <top/>
      <bottom/>
      <diagonal/>
    </border>
    <border>
      <left style="thin">
        <color rgb="FF272525"/>
      </left>
      <right/>
      <top/>
      <bottom/>
      <diagonal/>
    </border>
    <border>
      <left/>
      <right/>
      <top/>
      <bottom style="thin">
        <color rgb="FF272525"/>
      </bottom>
      <diagonal/>
    </border>
    <border>
      <left/>
      <right style="thin">
        <color rgb="FF272525"/>
      </right>
      <top/>
      <bottom style="thin">
        <color rgb="FF272525"/>
      </bottom>
      <diagonal/>
    </border>
    <border>
      <left style="thin">
        <color rgb="FF272525"/>
      </left>
      <right style="thin">
        <color rgb="FF272525"/>
      </right>
      <top/>
      <bottom style="thin">
        <color rgb="FF272525"/>
      </bottom>
      <diagonal/>
    </border>
    <border>
      <left style="thin">
        <color rgb="FF272525"/>
      </left>
      <right/>
      <top/>
      <bottom style="thin">
        <color rgb="FF272525"/>
      </bottom>
      <diagonal/>
    </border>
    <border>
      <left/>
      <right/>
      <top style="thin">
        <color rgb="FF272525"/>
      </top>
      <bottom style="thin">
        <color rgb="FF272525"/>
      </bottom>
      <diagonal/>
    </border>
    <border>
      <left/>
      <right style="thin">
        <color rgb="FF272525"/>
      </right>
      <top style="thin">
        <color rgb="FF272525"/>
      </top>
      <bottom style="thin">
        <color rgb="FF272525"/>
      </bottom>
      <diagonal/>
    </border>
    <border>
      <left style="thin">
        <color rgb="FF272525"/>
      </left>
      <right style="thin">
        <color rgb="FF272525"/>
      </right>
      <top style="thin">
        <color rgb="FF272525"/>
      </top>
      <bottom style="thin">
        <color rgb="FF272525"/>
      </bottom>
      <diagonal/>
    </border>
    <border>
      <left style="thin">
        <color rgb="FF272525"/>
      </left>
      <right/>
      <top style="thin">
        <color rgb="FF272525"/>
      </top>
      <bottom style="thin">
        <color rgb="FF272525"/>
      </bottom>
      <diagonal/>
    </border>
    <border>
      <left/>
      <right/>
      <top style="thin">
        <color rgb="FF272525"/>
      </top>
      <bottom/>
      <diagonal/>
    </border>
    <border>
      <left/>
      <right style="thin">
        <color rgb="FF272525"/>
      </right>
      <top style="thin">
        <color rgb="FF272525"/>
      </top>
      <bottom/>
      <diagonal/>
    </border>
    <border>
      <left style="thin">
        <color rgb="FF272525"/>
      </left>
      <right style="thin">
        <color rgb="FF272525"/>
      </right>
      <top style="thin">
        <color rgb="FF272525"/>
      </top>
      <bottom/>
      <diagonal/>
    </border>
    <border>
      <left style="thin">
        <color rgb="FF272525"/>
      </left>
      <right/>
      <top style="thin">
        <color rgb="FF272525"/>
      </top>
      <bottom/>
      <diagonal/>
    </border>
  </borders>
  <cellStyleXfs count="1">
    <xf borderId="0" fillId="0" fontId="0" numFmtId="0" applyAlignment="1" applyFont="1" applyFill="1"/>
  </cellStyleXfs>
  <cellXfs count="207">
    <xf xfId="0" borderId="0" fillId="0" fontId="0" numFmtId="0"/>
    <xf xfId="0" borderId="0" fillId="0" fontId="0" numFmtId="45"/>
    <xf xfId="0" borderId="0" fillId="0" fontId="1" numFmtId="0"/>
    <xf xfId="0" borderId="0" fillId="0" fontId="0" numFmtId="46">
      <alignment horizontal="right"/>
    </xf>
    <xf xfId="0" borderId="0" fillId="0" fontId="0" numFmtId="47"/>
    <xf xfId="0" borderId="0" fillId="0" fontId="2" numFmtId="0"/>
    <xf xfId="0" borderId="0" fillId="0" fontId="0" numFmtId="46"/>
    <xf xfId="0" borderId="0" fillId="0" fontId="1" numFmtId="45"/>
    <xf xfId="0" borderId="0" fillId="0" fontId="0" numFmtId="0">
      <alignment horizontal="right"/>
    </xf>
    <xf xfId="0" borderId="0" fillId="0" fontId="0" numFmtId="48"/>
    <xf xfId="0" borderId="0" fillId="0" fontId="0" numFmtId="49"/>
    <xf xfId="0" borderId="0" fillId="0" fontId="0" numFmtId="10"/>
    <xf xfId="0" borderId="0" fillId="0" fontId="1" numFmtId="0">
      <alignment horizontal="right"/>
    </xf>
    <xf xfId="0" borderId="0" fillId="0" fontId="0" numFmtId="46">
      <alignment horizontal="left"/>
    </xf>
    <xf xfId="0" borderId="0" fillId="0" fontId="1" numFmtId="46">
      <alignment horizontal="left"/>
    </xf>
    <xf xfId="0" borderId="0" fillId="0" fontId="3" numFmtId="47"/>
    <xf xfId="0" borderId="0" fillId="0" fontId="2" numFmtId="47"/>
    <xf xfId="0" borderId="0" fillId="0" fontId="2" numFmtId="0">
      <alignment horizontal="right"/>
    </xf>
    <xf xfId="0" borderId="0" fillId="0" fontId="1" numFmtId="46"/>
    <xf xfId="0" borderId="1" fillId="0" fontId="1" numFmtId="46"/>
    <xf xfId="0" borderId="2" fillId="0" fontId="1" numFmtId="0"/>
    <xf xfId="0" borderId="2" fillId="0" fontId="1" numFmtId="0">
      <alignment horizontal="right"/>
    </xf>
    <xf xfId="0" borderId="3" fillId="0" fontId="1" numFmtId="0">
      <alignment horizontal="right"/>
    </xf>
    <xf xfId="0" borderId="1" fillId="0" fontId="0" numFmtId="45"/>
    <xf xfId="0" borderId="2" fillId="0" fontId="0" numFmtId="45"/>
    <xf xfId="0" borderId="2" fillId="0" fontId="0" numFmtId="0"/>
    <xf xfId="0" borderId="2" fillId="0" fontId="0" numFmtId="10"/>
    <xf xfId="0" borderId="3" fillId="0" fontId="0" numFmtId="45"/>
    <xf xfId="0" borderId="1" fillId="0" fontId="1" numFmtId="45"/>
    <xf xfId="0" borderId="2" fillId="0" fontId="1" numFmtId="45"/>
    <xf xfId="0" borderId="3" fillId="0" fontId="1" numFmtId="45"/>
    <xf xfId="0" borderId="4" fillId="0" fontId="0" numFmtId="0"/>
    <xf xfId="0" borderId="5" fillId="0" fontId="0" numFmtId="45"/>
    <xf xfId="0" borderId="6" fillId="0" fontId="0" numFmtId="45"/>
    <xf xfId="0" borderId="4" fillId="0" fontId="0" numFmtId="45"/>
    <xf xfId="0" borderId="4" fillId="0" fontId="0" numFmtId="10"/>
    <xf xfId="0" borderId="7" fillId="0" fontId="0" numFmtId="45"/>
    <xf xfId="0" borderId="8" fillId="0" fontId="0" numFmtId="0"/>
    <xf xfId="0" borderId="9" fillId="0" fontId="0" numFmtId="45"/>
    <xf xfId="0" borderId="10" fillId="0" fontId="0" numFmtId="45"/>
    <xf xfId="0" borderId="8" fillId="0" fontId="0" numFmtId="45"/>
    <xf xfId="0" borderId="8" fillId="0" fontId="0" numFmtId="10"/>
    <xf xfId="0" borderId="11" fillId="0" fontId="0" numFmtId="45"/>
    <xf xfId="0" borderId="12" fillId="0" fontId="0" numFmtId="0"/>
    <xf xfId="0" borderId="12" fillId="0" fontId="1" numFmtId="0"/>
    <xf xfId="0" borderId="13" fillId="0" fontId="1" numFmtId="45"/>
    <xf xfId="0" borderId="14" fillId="0" fontId="1" numFmtId="45"/>
    <xf xfId="0" borderId="12" fillId="0" fontId="1" numFmtId="45"/>
    <xf xfId="0" borderId="15" fillId="0" fontId="1" numFmtId="45"/>
    <xf xfId="0" borderId="5" fillId="0" fontId="1" numFmtId="46"/>
    <xf xfId="0" borderId="6" fillId="0" fontId="1" numFmtId="0"/>
    <xf xfId="0" borderId="4" fillId="0" fontId="1" numFmtId="0"/>
    <xf xfId="0" borderId="4" fillId="0" fontId="1" numFmtId="0">
      <alignment horizontal="right"/>
    </xf>
    <xf xfId="0" borderId="7" fillId="0" fontId="1" numFmtId="0">
      <alignment horizontal="right"/>
    </xf>
    <xf xfId="0" borderId="10" fillId="0" fontId="1" numFmtId="0"/>
    <xf xfId="0" borderId="10" fillId="0" fontId="0" numFmtId="46">
      <alignment horizontal="right"/>
    </xf>
    <xf xfId="0" borderId="10" fillId="0" fontId="0" numFmtId="47"/>
    <xf xfId="0" borderId="6" fillId="0" fontId="1" numFmtId="46"/>
    <xf xfId="0" borderId="7" fillId="0" fontId="0" numFmtId="10"/>
    <xf xfId="0" borderId="11" fillId="0" fontId="0" numFmtId="10"/>
    <xf xfId="0" borderId="15" fillId="0" fontId="0" numFmtId="0"/>
    <xf xfId="0" borderId="1" fillId="0" fontId="0" numFmtId="0"/>
    <xf xfId="0" borderId="3" fillId="0" fontId="0" numFmtId="0"/>
    <xf xfId="0" borderId="0" fillId="2" fontId="1" numFmtId="0">
      <alignment horizontal="right"/>
    </xf>
    <xf xfId="0" borderId="0" fillId="2" fontId="1" numFmtId="46">
      <alignment horizontal="left"/>
    </xf>
    <xf xfId="0" borderId="0" fillId="2" fontId="1" numFmtId="0"/>
    <xf xfId="0" borderId="0" fillId="2" fontId="0" numFmtId="0"/>
    <xf xfId="0" borderId="0" fillId="2" fontId="2" numFmtId="0">
      <alignment horizontal="right"/>
    </xf>
    <xf xfId="0" borderId="0" fillId="2" fontId="2" numFmtId="47"/>
    <xf xfId="0" borderId="10" fillId="3" fontId="0" numFmtId="45"/>
    <xf xfId="0" borderId="14" fillId="3" fontId="1" numFmtId="45"/>
    <xf xfId="0" borderId="10" fillId="4" fontId="0" numFmtId="45"/>
    <xf xfId="0" borderId="10" fillId="5" fontId="0" numFmtId="45"/>
    <xf xfId="0" borderId="14" fillId="5" fontId="1" numFmtId="45"/>
    <xf xfId="0" borderId="10" fillId="6" fontId="0" numFmtId="46">
      <alignment horizontal="right"/>
    </xf>
    <xf xfId="0" borderId="10" fillId="6" fontId="0" numFmtId="47"/>
    <xf xfId="0" borderId="10" fillId="6" fontId="0" numFmtId="45"/>
    <xf xfId="0" borderId="14" fillId="6" fontId="1" numFmtId="45"/>
    <xf xfId="0" borderId="0" fillId="2" fontId="1" numFmtId="0">
      <alignment horizontal="right" vertical="center"/>
    </xf>
    <xf xfId="0" borderId="0" fillId="2" fontId="1" numFmtId="46">
      <alignment horizontal="left" vertical="center"/>
    </xf>
    <xf xfId="0" borderId="0" fillId="2" fontId="1" numFmtId="0">
      <alignment vertical="center"/>
    </xf>
    <xf xfId="0" borderId="0" fillId="2" fontId="0" numFmtId="0">
      <alignment vertical="center"/>
    </xf>
    <xf xfId="0" borderId="0" fillId="2" fontId="2" numFmtId="0">
      <alignment horizontal="right" vertical="center"/>
    </xf>
    <xf xfId="0" borderId="0" fillId="2" fontId="2" numFmtId="47">
      <alignment vertical="center"/>
    </xf>
    <xf xfId="0" borderId="4" fillId="0" fontId="0" numFmtId="0">
      <alignment vertical="center"/>
    </xf>
    <xf xfId="0" borderId="4" fillId="0" fontId="0" numFmtId="46">
      <alignment vertical="center"/>
    </xf>
    <xf xfId="0" borderId="0" fillId="0" fontId="0" numFmtId="0">
      <alignment vertical="center"/>
    </xf>
    <xf xfId="0" borderId="10" fillId="0" fontId="1" numFmtId="0">
      <alignment vertical="center"/>
    </xf>
    <xf xfId="0" borderId="10" fillId="6" fontId="0" numFmtId="46">
      <alignment horizontal="right" vertical="center"/>
    </xf>
    <xf xfId="0" borderId="3" fillId="0" fontId="0" numFmtId="0">
      <alignment vertical="center"/>
    </xf>
    <xf xfId="0" borderId="10" fillId="6" fontId="0" numFmtId="47">
      <alignment vertical="center"/>
    </xf>
    <xf xfId="0" borderId="5" fillId="0" fontId="1" numFmtId="46">
      <alignment vertical="center"/>
    </xf>
    <xf xfId="0" borderId="6" fillId="0" fontId="1" numFmtId="46">
      <alignment vertical="center"/>
    </xf>
    <xf xfId="0" borderId="6" fillId="0" fontId="1" numFmtId="0">
      <alignment vertical="center"/>
    </xf>
    <xf xfId="0" borderId="6" fillId="0" fontId="1" numFmtId="0">
      <alignment horizontal="right" vertical="center"/>
    </xf>
    <xf xfId="0" borderId="7" fillId="0" fontId="1" numFmtId="0">
      <alignment horizontal="right" vertical="center"/>
    </xf>
    <xf xfId="0" borderId="8" fillId="0" fontId="0" numFmtId="0">
      <alignment vertical="center"/>
    </xf>
    <xf xfId="0" borderId="9" fillId="0" fontId="0" numFmtId="0">
      <alignment vertical="center"/>
    </xf>
    <xf xfId="0" borderId="10" fillId="6" fontId="0" numFmtId="45">
      <alignment vertical="center"/>
    </xf>
    <xf xfId="0" borderId="10" fillId="0" fontId="0" numFmtId="45">
      <alignment vertical="center"/>
    </xf>
    <xf xfId="0" borderId="10" fillId="3" fontId="0" numFmtId="45">
      <alignment vertical="center"/>
    </xf>
    <xf xfId="0" borderId="10" fillId="0" fontId="0" numFmtId="10">
      <alignment vertical="center"/>
    </xf>
    <xf xfId="0" borderId="11" fillId="0" fontId="0" numFmtId="45">
      <alignment vertical="center"/>
    </xf>
    <xf xfId="0" borderId="10" fillId="4" fontId="0" numFmtId="45">
      <alignment vertical="center"/>
    </xf>
    <xf xfId="0" borderId="12" fillId="0" fontId="0" numFmtId="0">
      <alignment vertical="center"/>
    </xf>
    <xf xfId="0" borderId="13" fillId="0" fontId="1" numFmtId="0">
      <alignment vertical="center"/>
    </xf>
    <xf xfId="0" borderId="14" fillId="6" fontId="1" numFmtId="45">
      <alignment vertical="center"/>
    </xf>
    <xf xfId="0" borderId="14" fillId="0" fontId="1" numFmtId="45">
      <alignment vertical="center"/>
    </xf>
    <xf xfId="0" borderId="14" fillId="3" fontId="1" numFmtId="45">
      <alignment vertical="center"/>
    </xf>
    <xf xfId="0" borderId="14" fillId="0" fontId="0" numFmtId="0">
      <alignment vertical="center"/>
    </xf>
    <xf xfId="0" borderId="15" fillId="0" fontId="1" numFmtId="45">
      <alignment vertical="center"/>
    </xf>
    <xf xfId="0" borderId="10" fillId="5" fontId="0" numFmtId="46">
      <alignment horizontal="right" vertical="center"/>
    </xf>
    <xf xfId="0" borderId="10" fillId="5" fontId="0" numFmtId="47">
      <alignment vertical="center"/>
    </xf>
    <xf xfId="0" borderId="10" fillId="5" fontId="0" numFmtId="45">
      <alignment vertical="center"/>
    </xf>
    <xf xfId="0" borderId="14" fillId="5" fontId="1" numFmtId="45">
      <alignment vertical="center"/>
    </xf>
    <xf xfId="0" borderId="0" fillId="0" fontId="1" numFmtId="46">
      <alignment vertical="center"/>
    </xf>
    <xf xfId="0" borderId="0" fillId="0" fontId="1" numFmtId="0">
      <alignment vertical="center"/>
    </xf>
    <xf xfId="0" borderId="0" fillId="0" fontId="1" numFmtId="0">
      <alignment horizontal="right" vertical="center"/>
    </xf>
    <xf xfId="0" borderId="0" fillId="5" fontId="0" numFmtId="45">
      <alignment vertical="center"/>
    </xf>
    <xf xfId="0" borderId="0" fillId="0" fontId="0" numFmtId="45">
      <alignment vertical="center"/>
    </xf>
    <xf xfId="0" borderId="0" fillId="3" fontId="0" numFmtId="45">
      <alignment vertical="center"/>
    </xf>
    <xf xfId="0" borderId="0" fillId="0" fontId="0" numFmtId="10">
      <alignment vertical="center"/>
    </xf>
    <xf xfId="0" borderId="0" fillId="4" fontId="0" numFmtId="45">
      <alignment vertical="center"/>
    </xf>
    <xf xfId="0" borderId="0" fillId="5" fontId="1" numFmtId="45">
      <alignment vertical="center"/>
    </xf>
    <xf xfId="0" borderId="0" fillId="0" fontId="1" numFmtId="45">
      <alignment vertical="center"/>
    </xf>
    <xf xfId="0" borderId="0" fillId="3" fontId="1" numFmtId="45">
      <alignment vertical="center"/>
    </xf>
    <xf xfId="0" borderId="4" fillId="0" fontId="1" numFmtId="46">
      <alignment vertical="center"/>
    </xf>
    <xf xfId="0" borderId="4" fillId="0" fontId="1" numFmtId="0">
      <alignment vertical="center"/>
    </xf>
    <xf xfId="0" borderId="4" fillId="0" fontId="1" numFmtId="0">
      <alignment horizontal="right" vertical="center"/>
    </xf>
    <xf xfId="0" borderId="8" fillId="5" fontId="0" numFmtId="45">
      <alignment vertical="center"/>
    </xf>
    <xf xfId="0" borderId="8" fillId="0" fontId="0" numFmtId="45">
      <alignment vertical="center"/>
    </xf>
    <xf xfId="0" borderId="8" fillId="3" fontId="0" numFmtId="45">
      <alignment vertical="center"/>
    </xf>
    <xf xfId="0" borderId="8" fillId="0" fontId="0" numFmtId="10">
      <alignment vertical="center"/>
    </xf>
    <xf xfId="0" borderId="8" fillId="4" fontId="0" numFmtId="45">
      <alignment vertical="center"/>
    </xf>
    <xf xfId="0" borderId="12" fillId="0" fontId="1" numFmtId="0">
      <alignment vertical="center"/>
    </xf>
    <xf xfId="0" borderId="12" fillId="5" fontId="1" numFmtId="45">
      <alignment vertical="center"/>
    </xf>
    <xf xfId="0" borderId="12" fillId="0" fontId="1" numFmtId="45">
      <alignment vertical="center"/>
    </xf>
    <xf xfId="0" borderId="12" fillId="3" fontId="1" numFmtId="45">
      <alignment vertical="center"/>
    </xf>
    <xf xfId="0" borderId="0" fillId="2" fontId="0" numFmtId="49"/>
    <xf xfId="0" borderId="0" fillId="2" fontId="0" numFmtId="45"/>
    <xf xfId="0" borderId="0" fillId="2" fontId="0" numFmtId="0">
      <alignment horizontal="right"/>
    </xf>
    <xf xfId="0" borderId="0" fillId="7" fontId="0" numFmtId="0"/>
    <xf xfId="0" borderId="0" fillId="7" fontId="0" numFmtId="48"/>
    <xf xfId="0" borderId="0" fillId="7" fontId="0" numFmtId="45"/>
    <xf xfId="0" borderId="0" fillId="7" fontId="0" numFmtId="0">
      <alignment horizontal="right"/>
    </xf>
    <xf xfId="0" borderId="0" fillId="8" fontId="0" numFmtId="0"/>
    <xf xfId="0" borderId="0" fillId="8" fontId="0" numFmtId="48"/>
    <xf xfId="0" borderId="0" fillId="8" fontId="0" numFmtId="45"/>
    <xf xfId="0" borderId="0" fillId="8" fontId="0" numFmtId="0">
      <alignment horizontal="right"/>
    </xf>
    <xf xfId="0" borderId="0" fillId="9" fontId="0" numFmtId="45"/>
    <xf xfId="0" borderId="0" fillId="9" fontId="0" numFmtId="0"/>
    <xf xfId="0" borderId="0" fillId="9" fontId="0" numFmtId="48"/>
    <xf xfId="0" borderId="0" fillId="9" fontId="0" numFmtId="0">
      <alignment horizontal="right"/>
    </xf>
    <xf xfId="0" borderId="0" fillId="2" fontId="3" numFmtId="0"/>
    <xf xfId="0" borderId="0" fillId="2" fontId="3" numFmtId="49"/>
    <xf xfId="0" borderId="0" fillId="2" fontId="3" numFmtId="45"/>
    <xf xfId="0" borderId="0" fillId="2" fontId="3" numFmtId="0">
      <alignment horizontal="right"/>
    </xf>
    <xf xfId="0" borderId="0" fillId="9" fontId="3" numFmtId="0"/>
    <xf xfId="0" borderId="0" fillId="9" fontId="3" numFmtId="48"/>
    <xf xfId="0" borderId="0" fillId="9" fontId="3" numFmtId="45"/>
    <xf xfId="0" borderId="0" fillId="9" fontId="3" numFmtId="0">
      <alignment horizontal="right"/>
    </xf>
    <xf xfId="0" borderId="1" fillId="0" fontId="3" numFmtId="0"/>
    <xf xfId="0" borderId="10" fillId="0" fontId="4" numFmtId="0">
      <alignment vertical="center"/>
    </xf>
    <xf xfId="0" borderId="10" fillId="5" fontId="3" numFmtId="46">
      <alignment horizontal="right" vertical="center"/>
    </xf>
    <xf xfId="0" borderId="3" fillId="0" fontId="3" numFmtId="0">
      <alignment vertical="center"/>
    </xf>
    <xf xfId="0" borderId="0" fillId="0" fontId="3" numFmtId="0">
      <alignment vertical="center"/>
    </xf>
    <xf xfId="0" borderId="10" fillId="5" fontId="3" numFmtId="47">
      <alignment vertical="center"/>
    </xf>
    <xf xfId="0" borderId="0" fillId="0" fontId="3" numFmtId="0"/>
    <xf xfId="0" borderId="12" fillId="0" fontId="3" numFmtId="0"/>
    <xf xfId="0" borderId="12" fillId="0" fontId="3" numFmtId="46"/>
    <xf xfId="0" borderId="4" fillId="0" fontId="3" numFmtId="0">
      <alignment vertical="center"/>
    </xf>
    <xf xfId="0" borderId="4" fillId="0" fontId="4" numFmtId="46">
      <alignment vertical="center"/>
    </xf>
    <xf xfId="0" borderId="4" fillId="0" fontId="4" numFmtId="0">
      <alignment vertical="center"/>
    </xf>
    <xf xfId="0" borderId="4" fillId="0" fontId="4" numFmtId="0">
      <alignment horizontal="right" vertical="center"/>
    </xf>
    <xf xfId="0" borderId="8" fillId="0" fontId="3" numFmtId="0">
      <alignment vertical="center"/>
    </xf>
    <xf xfId="0" borderId="8" fillId="5" fontId="3" numFmtId="45">
      <alignment vertical="center"/>
    </xf>
    <xf xfId="0" borderId="8" fillId="0" fontId="3" numFmtId="45">
      <alignment vertical="center"/>
    </xf>
    <xf xfId="0" borderId="8" fillId="3" fontId="3" numFmtId="45">
      <alignment vertical="center"/>
    </xf>
    <xf xfId="0" borderId="8" fillId="0" fontId="3" numFmtId="10">
      <alignment vertical="center"/>
    </xf>
    <xf xfId="0" borderId="8" fillId="4" fontId="3" numFmtId="45">
      <alignment vertical="center"/>
    </xf>
    <xf xfId="0" borderId="12" fillId="0" fontId="3" numFmtId="0">
      <alignment vertical="center"/>
    </xf>
    <xf xfId="0" borderId="12" fillId="0" fontId="4" numFmtId="0">
      <alignment vertical="center"/>
    </xf>
    <xf xfId="0" borderId="12" fillId="5" fontId="4" numFmtId="45">
      <alignment vertical="center"/>
    </xf>
    <xf xfId="0" borderId="12" fillId="0" fontId="4" numFmtId="45">
      <alignment vertical="center"/>
    </xf>
    <xf xfId="0" borderId="12" fillId="3" fontId="4" numFmtId="45">
      <alignment vertical="center"/>
    </xf>
    <xf xfId="0" borderId="0" fillId="0" fontId="4" numFmtId="0"/>
    <xf xfId="0" borderId="0" fillId="10" fontId="3" numFmtId="0">
      <alignment vertical="center"/>
    </xf>
    <xf xfId="0" borderId="0" fillId="2" fontId="1" numFmtId="0">
      <alignment horizontal="left" vertical="center"/>
    </xf>
    <xf xfId="0" borderId="0" fillId="2" fontId="2" numFmtId="0">
      <alignment horizontal="left" vertical="center"/>
    </xf>
    <xf xfId="0" borderId="0" fillId="0" fontId="1" numFmtId="0">
      <alignment horizontal="left"/>
    </xf>
    <xf xfId="0" borderId="0" fillId="2" fontId="1" numFmtId="0">
      <alignment horizontal="left"/>
    </xf>
    <xf xfId="0" borderId="12" fillId="2" fontId="3" numFmtId="0"/>
    <xf xfId="0" borderId="12" fillId="2" fontId="3" numFmtId="49"/>
    <xf xfId="0" borderId="12" fillId="2" fontId="3" numFmtId="45"/>
    <xf xfId="0" borderId="12" fillId="2" fontId="3" numFmtId="0">
      <alignment horizontal="right"/>
    </xf>
    <xf xfId="0" borderId="8" fillId="2" fontId="3" numFmtId="0"/>
    <xf xfId="0" borderId="8" fillId="2" fontId="3" numFmtId="49"/>
    <xf xfId="0" borderId="8" fillId="2" fontId="3" numFmtId="45"/>
    <xf xfId="0" borderId="8" fillId="2" fontId="3" numFmtId="0">
      <alignment horizontal="right"/>
    </xf>
    <xf xfId="0" borderId="8" fillId="9" fontId="3" numFmtId="0"/>
    <xf xfId="0" borderId="8" fillId="9" fontId="3" numFmtId="48"/>
    <xf xfId="0" borderId="8" fillId="9" fontId="3" numFmtId="45"/>
    <xf xfId="0" borderId="8" fillId="9" fontId="3" numFmtId="0">
      <alignment horizontal="right"/>
    </xf>
    <xf xfId="0" borderId="12" fillId="9" fontId="3" numFmtId="0"/>
    <xf xfId="0" borderId="12" fillId="9" fontId="3" numFmtId="48"/>
    <xf xfId="0" borderId="12" fillId="9" fontId="3" numFmtId="45"/>
    <xf xfId="0" borderId="12" fillId="9" fontId="3" numFmtId="0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GridLines="0" tabSelected="1">
      <selection activeCell="J15" sqref="J15"/>
    </sheetView>
  </sheetViews>
  <cols>
    <col min="1" max="1" width="2.554804484049479" customWidth="1"/>
    <col min="2" max="2" width="2.0397135416666665" customWidth="1"/>
    <col min="3" max="3" width="16.63888931274414" customWidth="1"/>
    <col min="4" max="4" width="9.194445292154947" customWidth="1"/>
    <col min="7" max="6" width="2.554804484049479" customWidth="1"/>
  </cols>
  <sheetData>
    <row r="1">
      <c r="B1" t="s">
        <v>3</v>
      </c>
      <c r="C1" t="s">
        <v>3</v>
      </c>
      <c r="D1" t="s" s="6">
        <v>3</v>
      </c>
      <c r="I1" t="s" s="165">
        <v>3</v>
      </c>
    </row>
    <row r="2" s="0" ht="13.833343505859375" customHeight="1" customFormat="0">
      <c r="B2" t="s">
        <v>3</v>
      </c>
      <c r="C2" t="s" s="187">
        <v>82</v>
      </c>
      <c r="D2" t="s" s="79">
        <v>3</v>
      </c>
      <c r="E2" s="80"/>
      <c r="F2" t="s" s="81">
        <v>3</v>
      </c>
      <c r="G2" t="s" s="81">
        <v>3</v>
      </c>
      <c r="H2" t="s" s="81">
        <v>3</v>
      </c>
      <c r="I2" t="s" s="165">
        <v>3</v>
      </c>
    </row>
    <row r="3" s="0" ht="9.5" customHeight="1" customFormat="0">
      <c r="B3" t="s">
        <v>3</v>
      </c>
      <c r="C3" t="s" s="188">
        <v>84</v>
      </c>
      <c r="D3" t="s" s="83">
        <v>3</v>
      </c>
      <c r="E3" t="s" s="81">
        <v>3</v>
      </c>
      <c r="F3" t="s" s="81">
        <v>3</v>
      </c>
      <c r="G3" t="s" s="81">
        <v>3</v>
      </c>
      <c r="H3" t="s" s="81">
        <v>3</v>
      </c>
      <c r="I3" t="s" s="165">
        <v>3</v>
      </c>
    </row>
    <row r="4">
      <c r="B4" t="s">
        <v>3</v>
      </c>
      <c r="C4" t="s" s="84">
        <v>3</v>
      </c>
      <c r="D4" t="s" s="85">
        <v>3</v>
      </c>
      <c r="E4" s="86"/>
      <c r="F4" s="86"/>
      <c r="H4" t="s" s="86">
        <v>3</v>
      </c>
      <c r="I4" t="s" s="165">
        <v>3</v>
      </c>
    </row>
    <row r="5">
      <c r="B5" t="s" s="161">
        <v>3</v>
      </c>
      <c r="C5" t="s" s="162">
        <v>8</v>
      </c>
      <c r="D5" t="s" s="163">
        <v>9</v>
      </c>
      <c r="E5" s="164"/>
      <c r="F5" s="165"/>
      <c r="H5" t="s" s="165">
        <v>3</v>
      </c>
      <c r="I5" t="s" s="165">
        <v>3</v>
      </c>
    </row>
    <row r="6">
      <c r="B6" t="s" s="161">
        <v>3</v>
      </c>
      <c r="C6" t="s" s="162">
        <v>14</v>
      </c>
      <c r="D6" s="166">
        <v>7</v>
      </c>
      <c r="E6" s="164"/>
      <c r="F6" s="165"/>
      <c r="H6" t="s" s="165">
        <v>3</v>
      </c>
      <c r="I6" t="s" s="165">
        <v>3</v>
      </c>
    </row>
    <row r="7">
      <c r="A7"/>
      <c r="B7" t="s" s="167">
        <v>3</v>
      </c>
      <c r="C7" t="s" s="168">
        <v>3</v>
      </c>
      <c r="D7" t="s" s="169">
        <v>3</v>
      </c>
      <c r="E7" s="167"/>
      <c r="F7" s="167"/>
      <c r="H7" t="s" s="167">
        <v>3</v>
      </c>
      <c r="I7" t="s" s="167">
        <v>3</v>
      </c>
    </row>
    <row r="8">
      <c r="B8" t="s" s="165">
        <v>3</v>
      </c>
      <c r="C8" t="s" s="171">
        <v>81</v>
      </c>
      <c r="D8" t="s" s="171">
        <v>5</v>
      </c>
      <c r="E8" t="s" s="172">
        <v>23</v>
      </c>
      <c r="F8" t="s" s="172">
        <v>20</v>
      </c>
      <c r="G8" t="s" s="173">
        <v>21</v>
      </c>
      <c r="H8" t="s" s="173">
        <v>22</v>
      </c>
      <c r="I8" t="s" s="167">
        <v>3</v>
      </c>
    </row>
    <row r="9">
      <c r="B9" t="s" s="165">
        <v>10</v>
      </c>
      <c r="C9" t="s" s="174">
        <v>11</v>
      </c>
      <c r="D9" s="175">
        <v>50</v>
      </c>
      <c r="E9" s="176">
        <f>SUMIF(ExpenseType,'📈 Overview'!$C9,ExpenseAmount)</f>
        <v>79.8</v>
      </c>
      <c r="F9" s="177">
        <f>D9-E9</f>
        <v>-29.799999999999997</v>
      </c>
      <c r="G9" s="176">
        <f>E9/$D$6</f>
        <v>11.4</v>
      </c>
      <c r="H9" s="178">
        <f>D9/$D$15</f>
        <v>0.03125</v>
      </c>
      <c r="I9" t="s" s="167">
        <v>3</v>
      </c>
    </row>
    <row r="10">
      <c r="B10" t="s" s="165">
        <v>16</v>
      </c>
      <c r="C10" t="s" s="174">
        <v>15</v>
      </c>
      <c r="D10" s="175">
        <v>700</v>
      </c>
      <c r="E10" s="176">
        <f>SUMIF(ExpenseType,'📈 Overview'!$C10,ExpenseAmount)</f>
        <v>720</v>
      </c>
      <c r="F10" s="177">
        <f>D10-E10</f>
        <v>-20</v>
      </c>
      <c r="G10" s="176">
        <f>E10/$D$6</f>
        <v>102.85714285714286</v>
      </c>
      <c r="H10" s="178">
        <f>D10/$D$15</f>
        <v>0.4375</v>
      </c>
      <c r="I10" t="s" s="167">
        <v>3</v>
      </c>
    </row>
    <row r="11">
      <c r="B11" t="s" s="165">
        <v>0</v>
      </c>
      <c r="C11" t="s" s="174">
        <v>1</v>
      </c>
      <c r="D11" s="175">
        <v>500</v>
      </c>
      <c r="E11" s="176">
        <f>SUMIF(ExpenseType,'📈 Overview'!$C11,ExpenseAmount)</f>
        <v>480</v>
      </c>
      <c r="F11" s="179">
        <f>D11-E11</f>
        <v>20</v>
      </c>
      <c r="G11" s="176">
        <f>E11/$D$6</f>
        <v>68.57142857142857</v>
      </c>
      <c r="H11" s="178">
        <f>D11/$D$15</f>
        <v>0.3125</v>
      </c>
      <c r="I11" t="s" s="167">
        <v>3</v>
      </c>
    </row>
    <row r="12">
      <c r="B12" t="s" s="165">
        <v>18</v>
      </c>
      <c r="C12" t="s" s="174">
        <v>17</v>
      </c>
      <c r="D12" s="175">
        <v>150</v>
      </c>
      <c r="E12" s="176">
        <f>SUMIF(ExpenseType,'📈 Overview'!$C12,ExpenseAmount)</f>
        <v>193.5</v>
      </c>
      <c r="F12" s="177">
        <f>D12-E12</f>
        <v>-43.5</v>
      </c>
      <c r="G12" s="176">
        <f>E12/$D$6</f>
        <v>27.642857142857142</v>
      </c>
      <c r="H12" s="178">
        <f>D12/$D$15</f>
        <v>0.09375</v>
      </c>
      <c r="I12" t="s" s="167">
        <v>3</v>
      </c>
    </row>
    <row r="13">
      <c r="B13" t="s" s="165">
        <v>7</v>
      </c>
      <c r="C13" t="s" s="174">
        <v>6</v>
      </c>
      <c r="D13" s="175">
        <v>100</v>
      </c>
      <c r="E13" s="176">
        <f>SUMIF(ExpenseType,'📈 Overview'!$C13,ExpenseAmount)</f>
        <v>83</v>
      </c>
      <c r="F13" s="179">
        <f>D13-E13</f>
        <v>17</v>
      </c>
      <c r="G13" s="176">
        <f>E13/$D$6</f>
        <v>11.857142857142858</v>
      </c>
      <c r="H13" s="178">
        <f>D13/$D$15</f>
        <v>0.0625</v>
      </c>
      <c r="I13" t="s" s="167">
        <v>3</v>
      </c>
    </row>
    <row r="14">
      <c r="B14" t="s" s="165">
        <v>12</v>
      </c>
      <c r="C14" t="s" s="174">
        <v>13</v>
      </c>
      <c r="D14" s="175">
        <v>100</v>
      </c>
      <c r="E14" s="176">
        <f>SUMIF(ExpenseType,'📈 Overview'!$C14,ExpenseAmount)</f>
        <v>59</v>
      </c>
      <c r="F14" s="179">
        <f>D14-E14</f>
        <v>41</v>
      </c>
      <c r="G14" s="176">
        <f>E14/$D$6</f>
        <v>8.428571428571429</v>
      </c>
      <c r="H14" s="178">
        <f>D14/$D$15</f>
        <v>0.0625</v>
      </c>
      <c r="I14" t="s" s="167">
        <v>3</v>
      </c>
    </row>
    <row r="15">
      <c r="B15" t="s" s="165">
        <v>3</v>
      </c>
      <c r="C15" t="s" s="181">
        <v>19</v>
      </c>
      <c r="D15" s="182">
        <f>SUM(D9:D14)</f>
        <v>1600</v>
      </c>
      <c r="E15" s="183">
        <f>SUM(E9:E14)</f>
        <v>1615.3</v>
      </c>
      <c r="F15" s="184">
        <f>D15-E15</f>
        <v>-15.299999999999955</v>
      </c>
      <c r="G15" s="183">
        <f>E15/$D$6</f>
        <v>230.75714285714284</v>
      </c>
      <c r="H15" t="s" s="180">
        <v>3</v>
      </c>
      <c r="I15" t="s" s="167">
        <v>3</v>
      </c>
    </row>
    <row r="19"/>
    <row r="20">
      <c r="D20" t="s">
        <v>3</v>
      </c>
      <c r="F20" t="s">
        <v>3</v>
      </c>
    </row>
    <row r="21">
      <c r="D21" t="s">
        <v>3</v>
      </c>
    </row>
    <row r="22">
      <c r="C22" t="s">
        <v>3</v>
      </c>
      <c r="D22" t="s">
        <v>3</v>
      </c>
      <c r="E22" t="s">
        <v>3</v>
      </c>
      <c r="F22" t="s">
        <v>3</v>
      </c>
      <c r="H22" t="s">
        <v>3</v>
      </c>
      <c r="I22" t="s">
        <v>3</v>
      </c>
    </row>
    <row r="23">
      <c r="C23" t="s">
        <v>3</v>
      </c>
      <c r="D23" t="s">
        <v>3</v>
      </c>
      <c r="E23" t="s">
        <v>3</v>
      </c>
      <c r="F23" t="s">
        <v>3</v>
      </c>
      <c r="H23" t="s">
        <v>3</v>
      </c>
      <c r="I23" t="s">
        <v>3</v>
      </c>
    </row>
    <row r="24">
      <c r="C24" t="s">
        <v>3</v>
      </c>
      <c r="D24" t="s">
        <v>3</v>
      </c>
      <c r="E24" t="s">
        <v>3</v>
      </c>
      <c r="F24" t="s">
        <v>3</v>
      </c>
      <c r="H24" t="s">
        <v>3</v>
      </c>
      <c r="I24" t="s">
        <v>3</v>
      </c>
    </row>
    <row r="25">
      <c r="C25" t="s">
        <v>3</v>
      </c>
      <c r="D25" t="s">
        <v>3</v>
      </c>
      <c r="E25" t="s">
        <v>3</v>
      </c>
      <c r="F25" t="s">
        <v>3</v>
      </c>
      <c r="H25" t="s">
        <v>3</v>
      </c>
      <c r="I25" t="s">
        <v>3</v>
      </c>
    </row>
    <row r="26">
      <c r="C26" t="s">
        <v>3</v>
      </c>
      <c r="D26" t="s">
        <v>3</v>
      </c>
      <c r="E26" t="s">
        <v>3</v>
      </c>
      <c r="F26" t="s">
        <v>3</v>
      </c>
      <c r="H26" t="s">
        <v>3</v>
      </c>
      <c r="I26" t="s">
        <v>3</v>
      </c>
    </row>
    <row r="27">
      <c r="C27" t="s">
        <v>3</v>
      </c>
      <c r="D27" t="s">
        <v>3</v>
      </c>
      <c r="E27" t="s">
        <v>3</v>
      </c>
      <c r="F27" t="s">
        <v>3</v>
      </c>
      <c r="H27" t="s">
        <v>3</v>
      </c>
      <c r="I27" t="s">
        <v>3</v>
      </c>
    </row>
    <row r="28">
      <c r="C28" t="s">
        <v>3</v>
      </c>
      <c r="D28" t="s">
        <v>3</v>
      </c>
      <c r="E28" t="s">
        <v>3</v>
      </c>
      <c r="F28" t="s">
        <v>3</v>
      </c>
      <c r="H28" t="s">
        <v>3</v>
      </c>
      <c r="I28" t="s">
        <v>3</v>
      </c>
    </row>
    <row r="29">
      <c r="C29" t="s">
        <v>3</v>
      </c>
      <c r="D29" t="s">
        <v>3</v>
      </c>
      <c r="E29" t="s">
        <v>3</v>
      </c>
      <c r="F29" t="s">
        <v>3</v>
      </c>
      <c r="H29" t="s">
        <v>3</v>
      </c>
      <c r="I29" t="s">
        <v>3</v>
      </c>
    </row>
    <row r="30">
      <c r="C30" t="s">
        <v>3</v>
      </c>
      <c r="D30" t="s">
        <v>3</v>
      </c>
      <c r="E30" t="s">
        <v>3</v>
      </c>
      <c r="F30" t="s">
        <v>3</v>
      </c>
      <c r="H30" t="s">
        <v>3</v>
      </c>
      <c r="I30" t="s">
        <v>3</v>
      </c>
    </row>
    <row r="31">
      <c r="C31" t="s">
        <v>3</v>
      </c>
      <c r="D31" t="s">
        <v>3</v>
      </c>
      <c r="E31" t="s">
        <v>3</v>
      </c>
      <c r="F31" t="s">
        <v>3</v>
      </c>
      <c r="H31" t="s">
        <v>3</v>
      </c>
      <c r="I31" t="s">
        <v>3</v>
      </c>
    </row>
    <row r="32">
      <c r="C32" t="s">
        <v>3</v>
      </c>
      <c r="D32" t="s">
        <v>3</v>
      </c>
      <c r="E32" t="s">
        <v>3</v>
      </c>
      <c r="F32" t="s">
        <v>3</v>
      </c>
      <c r="H32" t="s">
        <v>3</v>
      </c>
      <c r="I32" t="s">
        <v>3</v>
      </c>
    </row>
    <row r="33">
      <c r="C33" t="s">
        <v>3</v>
      </c>
      <c r="D33" t="s">
        <v>3</v>
      </c>
      <c r="E33" t="s">
        <v>3</v>
      </c>
      <c r="F33" t="s">
        <v>3</v>
      </c>
      <c r="H33" t="s">
        <v>3</v>
      </c>
      <c r="I33" t="s">
        <v>3</v>
      </c>
    </row>
    <row r="34">
      <c r="C34" t="s">
        <v>3</v>
      </c>
      <c r="D34" t="s">
        <v>3</v>
      </c>
      <c r="E34" t="s">
        <v>3</v>
      </c>
      <c r="F34" t="s">
        <v>3</v>
      </c>
      <c r="H34" t="s">
        <v>3</v>
      </c>
      <c r="I34" t="s">
        <v>3</v>
      </c>
    </row>
    <row r="35">
      <c r="C35" t="s">
        <v>3</v>
      </c>
      <c r="D35" t="s">
        <v>3</v>
      </c>
      <c r="E35" t="s">
        <v>3</v>
      </c>
      <c r="F35" t="s">
        <v>3</v>
      </c>
      <c r="H35" t="s">
        <v>3</v>
      </c>
      <c r="I35" t="s">
        <v>3</v>
      </c>
    </row>
    <row r="36">
      <c r="C36" t="s">
        <v>3</v>
      </c>
      <c r="D36" t="s">
        <v>3</v>
      </c>
      <c r="E36" t="s">
        <v>3</v>
      </c>
      <c r="F36" t="s">
        <v>3</v>
      </c>
      <c r="H36" t="s">
        <v>3</v>
      </c>
      <c r="I36" t="s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55"/>
  <sheetViews>
    <sheetView workbookViewId="0" showGridLines="0">
      <selection activeCell="I6" sqref="I6"/>
    </sheetView>
  </sheetViews>
  <cols>
    <col min="1" max="1" width="2.554804484049479" customWidth="1"/>
    <col min="2" max="2" width="2.0397135416666665" customWidth="1"/>
    <col min="3" max="3" width="15.61111068725586" customWidth="1"/>
    <col min="7" max="7" width="15.68097178141276" customWidth="1"/>
  </cols>
  <sheetData>
    <row r="1">
      <c r="A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>
      <c r="A2" t="s">
        <v>3</v>
      </c>
      <c r="B2" t="s" s="165">
        <v>3</v>
      </c>
      <c r="C2" t="s" s="187">
        <v>26</v>
      </c>
      <c r="D2" t="s" s="65">
        <v>3</v>
      </c>
      <c r="E2" t="s" s="66">
        <v>3</v>
      </c>
      <c r="F2" t="s" s="139">
        <v>3</v>
      </c>
      <c r="G2" t="s" s="66">
        <v>3</v>
      </c>
    </row>
    <row r="3" s="0" ht="10.5" customHeight="1" customFormat="0">
      <c r="C3" t="s" s="188">
        <v>3</v>
      </c>
      <c r="D3" t="s" s="188">
        <v>3</v>
      </c>
      <c r="E3" t="s" s="188">
        <v>3</v>
      </c>
      <c r="F3" t="s" s="188">
        <v>3</v>
      </c>
      <c r="G3" t="s" s="188">
        <v>3</v>
      </c>
    </row>
    <row r="4">
      <c r="A4" t="s">
        <v>3</v>
      </c>
      <c r="B4" t="s" s="165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>
      <c r="A5" t="s">
        <v>3</v>
      </c>
      <c r="C5" t="s" s="185">
        <v>30</v>
      </c>
      <c r="D5" t="s" s="185">
        <v>27</v>
      </c>
      <c r="E5" t="s" s="185">
        <v>31</v>
      </c>
      <c r="F5" t="s" s="185">
        <v>28</v>
      </c>
      <c r="G5" t="s" s="185">
        <v>29</v>
      </c>
    </row>
    <row r="6">
      <c r="C6" t="s" s="195">
        <v>53</v>
      </c>
      <c r="D6" t="s" s="195">
        <v>32</v>
      </c>
      <c r="E6" s="196">
        <v>45839</v>
      </c>
      <c r="F6" s="197">
        <v>500</v>
      </c>
      <c r="G6" t="s" s="198">
        <v>15</v>
      </c>
    </row>
    <row r="7">
      <c r="C7" t="s" s="199">
        <v>40</v>
      </c>
      <c r="D7" t="s" s="199">
        <v>32</v>
      </c>
      <c r="E7" s="200">
        <v>45839</v>
      </c>
      <c r="F7" s="201">
        <v>200</v>
      </c>
      <c r="G7" t="s" s="202">
        <v>1</v>
      </c>
    </row>
    <row r="8">
      <c r="C8" t="s" s="195">
        <v>41</v>
      </c>
      <c r="D8" t="s" s="195">
        <v>32</v>
      </c>
      <c r="E8" s="196">
        <v>45839</v>
      </c>
      <c r="F8" s="197">
        <v>15</v>
      </c>
      <c r="G8" t="s" s="198">
        <v>11</v>
      </c>
    </row>
    <row r="9">
      <c r="C9" t="s" s="199">
        <v>33</v>
      </c>
      <c r="D9" t="s" s="199">
        <v>32</v>
      </c>
      <c r="E9" s="200">
        <v>45839</v>
      </c>
      <c r="F9" s="201">
        <v>10</v>
      </c>
      <c r="G9" t="s" s="202">
        <v>17</v>
      </c>
    </row>
    <row r="10">
      <c r="C10" t="s" s="195">
        <v>54</v>
      </c>
      <c r="D10" t="s" s="195">
        <v>32</v>
      </c>
      <c r="E10" s="196">
        <v>45839</v>
      </c>
      <c r="F10" s="197">
        <v>25</v>
      </c>
      <c r="G10" t="s" s="198">
        <v>6</v>
      </c>
    </row>
    <row r="11">
      <c r="C11" t="s" s="199">
        <v>49</v>
      </c>
      <c r="D11" t="s" s="199">
        <v>32</v>
      </c>
      <c r="E11" s="200">
        <v>45839</v>
      </c>
      <c r="F11" s="201">
        <v>5</v>
      </c>
      <c r="G11" t="s" s="202">
        <v>17</v>
      </c>
    </row>
    <row r="12">
      <c r="C12" t="s" s="195">
        <v>38</v>
      </c>
      <c r="D12" t="s" s="195">
        <v>32</v>
      </c>
      <c r="E12" s="196">
        <v>45839</v>
      </c>
      <c r="F12" s="197">
        <v>15</v>
      </c>
      <c r="G12" t="s" s="198">
        <v>17</v>
      </c>
      <c r="J12" t="s">
        <v>3</v>
      </c>
    </row>
    <row r="13">
      <c r="C13" t="s" s="199">
        <v>39</v>
      </c>
      <c r="D13" t="s" s="199">
        <v>32</v>
      </c>
      <c r="E13" s="200">
        <v>45840</v>
      </c>
      <c r="F13" s="201">
        <v>5</v>
      </c>
      <c r="G13" t="s" s="202">
        <v>17</v>
      </c>
      <c r="J13" t="s">
        <v>3</v>
      </c>
    </row>
    <row r="14">
      <c r="C14" t="s" s="195">
        <v>34</v>
      </c>
      <c r="D14" t="s" s="195">
        <v>32</v>
      </c>
      <c r="E14" s="196">
        <v>45840</v>
      </c>
      <c r="F14" s="197">
        <v>1</v>
      </c>
      <c r="G14" t="s" s="198">
        <v>11</v>
      </c>
    </row>
    <row r="15">
      <c r="C15" t="s" s="199">
        <v>51</v>
      </c>
      <c r="D15" t="s" s="199">
        <v>32</v>
      </c>
      <c r="E15" s="200">
        <v>45840</v>
      </c>
      <c r="F15" s="201">
        <v>8</v>
      </c>
      <c r="G15" t="s" s="202">
        <v>13</v>
      </c>
    </row>
    <row r="16">
      <c r="C16" t="s" s="195">
        <v>33</v>
      </c>
      <c r="D16" t="s" s="195">
        <v>32</v>
      </c>
      <c r="E16" s="196">
        <v>45840</v>
      </c>
      <c r="F16" s="197">
        <v>12</v>
      </c>
      <c r="G16" t="s" s="198">
        <v>17</v>
      </c>
    </row>
    <row r="17">
      <c r="C17" t="s" s="199">
        <v>34</v>
      </c>
      <c r="D17" t="s" s="199">
        <v>32</v>
      </c>
      <c r="E17" s="200">
        <v>45840</v>
      </c>
      <c r="F17" s="201">
        <v>1</v>
      </c>
      <c r="G17" t="s" s="202">
        <v>11</v>
      </c>
    </row>
    <row r="18">
      <c r="C18" t="s" s="195">
        <v>45</v>
      </c>
      <c r="D18" t="s" s="195">
        <v>32</v>
      </c>
      <c r="E18" s="196">
        <v>45840</v>
      </c>
      <c r="F18" s="197">
        <v>14</v>
      </c>
      <c r="G18" t="s" s="198">
        <v>6</v>
      </c>
    </row>
    <row r="19">
      <c r="C19" t="s" s="199">
        <v>38</v>
      </c>
      <c r="D19" t="s" s="199">
        <v>32</v>
      </c>
      <c r="E19" s="200">
        <v>45840</v>
      </c>
      <c r="F19" s="201">
        <v>28</v>
      </c>
      <c r="G19" t="s" s="202">
        <v>17</v>
      </c>
    </row>
    <row r="20">
      <c r="C20" t="s" s="195">
        <v>39</v>
      </c>
      <c r="D20" t="s" s="195">
        <v>32</v>
      </c>
      <c r="E20" s="196">
        <v>45841</v>
      </c>
      <c r="F20" s="197">
        <v>3</v>
      </c>
      <c r="G20" t="s" s="198">
        <v>17</v>
      </c>
    </row>
    <row r="21">
      <c r="C21" t="s" s="199">
        <v>34</v>
      </c>
      <c r="D21" t="s" s="199">
        <v>32</v>
      </c>
      <c r="E21" s="200">
        <v>45841</v>
      </c>
      <c r="F21" s="201">
        <v>1</v>
      </c>
      <c r="G21" t="s" s="202">
        <v>11</v>
      </c>
    </row>
    <row r="22">
      <c r="C22" t="s" s="195">
        <v>63</v>
      </c>
      <c r="D22" t="s" s="195">
        <v>35</v>
      </c>
      <c r="E22" s="196">
        <v>45841</v>
      </c>
      <c r="F22" s="197">
        <v>70</v>
      </c>
      <c r="G22" t="s" s="198">
        <v>15</v>
      </c>
    </row>
    <row r="23">
      <c r="C23" t="s" s="199">
        <v>34</v>
      </c>
      <c r="D23" t="s" s="199">
        <v>35</v>
      </c>
      <c r="E23" s="200">
        <v>45841</v>
      </c>
      <c r="F23" s="201">
        <v>2</v>
      </c>
      <c r="G23" t="s" s="202">
        <v>11</v>
      </c>
    </row>
    <row r="24">
      <c r="C24" t="s" s="195">
        <v>43</v>
      </c>
      <c r="D24" t="s" s="195">
        <v>35</v>
      </c>
      <c r="E24" s="196">
        <v>45841</v>
      </c>
      <c r="F24" s="197">
        <v>120</v>
      </c>
      <c r="G24" t="s" s="198">
        <v>1</v>
      </c>
    </row>
    <row r="25">
      <c r="C25" t="s" s="199">
        <v>42</v>
      </c>
      <c r="D25" t="s" s="199">
        <v>35</v>
      </c>
      <c r="E25" s="200">
        <v>45841</v>
      </c>
      <c r="F25" s="201">
        <v>5</v>
      </c>
      <c r="G25" t="s" s="202">
        <v>13</v>
      </c>
    </row>
    <row r="26">
      <c r="C26" t="s" s="195">
        <v>58</v>
      </c>
      <c r="D26" t="s" s="195">
        <v>35</v>
      </c>
      <c r="E26" s="196">
        <v>45841</v>
      </c>
      <c r="F26" s="197">
        <v>2</v>
      </c>
      <c r="G26" t="s" s="198">
        <v>17</v>
      </c>
    </row>
    <row r="27">
      <c r="C27" t="s" s="199">
        <v>49</v>
      </c>
      <c r="D27" t="s" s="199">
        <v>35</v>
      </c>
      <c r="E27" s="200">
        <v>45841</v>
      </c>
      <c r="F27" s="201">
        <v>3</v>
      </c>
      <c r="G27" t="s" s="202">
        <v>17</v>
      </c>
    </row>
    <row r="28">
      <c r="C28" t="s" s="195">
        <v>46</v>
      </c>
      <c r="D28" t="s" s="195">
        <v>35</v>
      </c>
      <c r="E28" s="196">
        <v>45841</v>
      </c>
      <c r="F28" s="197">
        <v>35</v>
      </c>
      <c r="G28" t="s" s="198">
        <v>6</v>
      </c>
    </row>
    <row r="29">
      <c r="C29" t="s" s="199">
        <v>38</v>
      </c>
      <c r="D29" t="s" s="199">
        <v>35</v>
      </c>
      <c r="E29" s="200">
        <v>45841</v>
      </c>
      <c r="F29" s="201">
        <v>28</v>
      </c>
      <c r="G29" t="s" s="202">
        <v>17</v>
      </c>
    </row>
    <row r="30">
      <c r="C30" t="s" s="195">
        <v>49</v>
      </c>
      <c r="D30" t="s" s="195">
        <v>35</v>
      </c>
      <c r="E30" s="196">
        <v>45842</v>
      </c>
      <c r="F30" s="197">
        <v>2</v>
      </c>
      <c r="G30" t="s" s="198">
        <v>17</v>
      </c>
    </row>
    <row r="31">
      <c r="C31" t="s" s="199">
        <v>34</v>
      </c>
      <c r="D31" t="s" s="199">
        <v>35</v>
      </c>
      <c r="E31" s="200">
        <v>45842</v>
      </c>
      <c r="F31" s="201">
        <v>1</v>
      </c>
      <c r="G31" t="s" s="202">
        <v>11</v>
      </c>
    </row>
    <row r="32">
      <c r="C32" t="s" s="195">
        <v>59</v>
      </c>
      <c r="D32" t="s" s="195">
        <v>35</v>
      </c>
      <c r="E32" s="196">
        <v>45842</v>
      </c>
      <c r="F32" s="197">
        <v>0.8</v>
      </c>
      <c r="G32" t="s" s="198">
        <v>11</v>
      </c>
    </row>
    <row r="33">
      <c r="C33" t="s" s="199">
        <v>44</v>
      </c>
      <c r="D33" t="s" s="199">
        <v>35</v>
      </c>
      <c r="E33" s="200">
        <v>45842</v>
      </c>
      <c r="F33" s="201">
        <v>12</v>
      </c>
      <c r="G33" t="s" s="202">
        <v>13</v>
      </c>
    </row>
    <row r="34">
      <c r="C34" t="s" s="195">
        <v>48</v>
      </c>
      <c r="D34" t="s" s="195">
        <v>35</v>
      </c>
      <c r="E34" s="196">
        <v>45842</v>
      </c>
      <c r="F34" s="197">
        <v>16</v>
      </c>
      <c r="G34" t="s" s="198">
        <v>11</v>
      </c>
    </row>
    <row r="35">
      <c r="C35" t="s" s="199">
        <v>45</v>
      </c>
      <c r="D35" t="s" s="199">
        <v>35</v>
      </c>
      <c r="E35" s="200">
        <v>45842</v>
      </c>
      <c r="F35" s="201">
        <v>6</v>
      </c>
      <c r="G35" t="s" s="202">
        <v>6</v>
      </c>
    </row>
    <row r="36">
      <c r="C36" t="s" s="195">
        <v>38</v>
      </c>
      <c r="D36" t="s" s="195">
        <v>35</v>
      </c>
      <c r="E36" s="196">
        <v>45842</v>
      </c>
      <c r="F36" s="197">
        <v>15</v>
      </c>
      <c r="G36" t="s" s="198">
        <v>17</v>
      </c>
    </row>
    <row r="37">
      <c r="C37" t="s" s="199">
        <v>41</v>
      </c>
      <c r="D37" t="s" s="199">
        <v>35</v>
      </c>
      <c r="E37" s="200">
        <v>45843</v>
      </c>
      <c r="F37" s="201">
        <v>9</v>
      </c>
      <c r="G37" t="s" s="202">
        <v>11</v>
      </c>
    </row>
    <row r="38">
      <c r="C38" t="s" s="195">
        <v>55</v>
      </c>
      <c r="D38" t="s" s="195">
        <v>35</v>
      </c>
      <c r="E38" s="196">
        <v>45843</v>
      </c>
      <c r="F38" s="197">
        <v>4</v>
      </c>
      <c r="G38" t="s" s="198">
        <v>17</v>
      </c>
    </row>
    <row r="39">
      <c r="C39" t="s" s="199">
        <v>50</v>
      </c>
      <c r="D39" t="s" s="199">
        <v>36</v>
      </c>
      <c r="E39" s="200">
        <v>45843</v>
      </c>
      <c r="F39" s="201">
        <v>150</v>
      </c>
      <c r="G39" t="s" s="202">
        <v>15</v>
      </c>
    </row>
    <row r="40">
      <c r="C40" t="s" s="195">
        <v>41</v>
      </c>
      <c r="D40" t="s" s="195">
        <v>36</v>
      </c>
      <c r="E40" s="196">
        <v>45843</v>
      </c>
      <c r="F40" s="197">
        <v>19</v>
      </c>
      <c r="G40" t="s" s="198">
        <v>11</v>
      </c>
    </row>
    <row r="41">
      <c r="C41" t="s" s="199">
        <v>47</v>
      </c>
      <c r="D41" t="s" s="199">
        <v>36</v>
      </c>
      <c r="E41" s="200">
        <v>45843</v>
      </c>
      <c r="F41" s="201">
        <v>160</v>
      </c>
      <c r="G41" t="s" s="202">
        <v>1</v>
      </c>
    </row>
    <row r="42">
      <c r="C42" t="s" s="195">
        <v>62</v>
      </c>
      <c r="D42" t="s" s="195">
        <v>36</v>
      </c>
      <c r="E42" s="196">
        <v>45843</v>
      </c>
      <c r="F42" s="197">
        <v>3</v>
      </c>
      <c r="G42" t="s" s="198">
        <v>11</v>
      </c>
    </row>
    <row r="43">
      <c r="C43" t="s" s="199">
        <v>33</v>
      </c>
      <c r="D43" t="s" s="199">
        <v>36</v>
      </c>
      <c r="E43" s="200">
        <v>45843</v>
      </c>
      <c r="F43" s="201">
        <v>6</v>
      </c>
      <c r="G43" t="s" s="202">
        <v>17</v>
      </c>
    </row>
    <row r="44">
      <c r="C44" t="s" s="195">
        <v>60</v>
      </c>
      <c r="D44" t="s" s="195">
        <v>36</v>
      </c>
      <c r="E44" s="196">
        <v>45843</v>
      </c>
      <c r="F44" s="197">
        <v>4</v>
      </c>
      <c r="G44" t="s" s="198">
        <v>13</v>
      </c>
    </row>
    <row r="45">
      <c r="C45" t="s" s="199">
        <v>61</v>
      </c>
      <c r="D45" t="s" s="199">
        <v>36</v>
      </c>
      <c r="E45" s="200">
        <v>45843</v>
      </c>
      <c r="F45" s="201">
        <v>3</v>
      </c>
      <c r="G45" t="s" s="202">
        <v>6</v>
      </c>
    </row>
    <row r="46">
      <c r="C46" t="s" s="195">
        <v>52</v>
      </c>
      <c r="D46" t="s" s="195">
        <v>36</v>
      </c>
      <c r="E46" s="196">
        <v>45843</v>
      </c>
      <c r="F46" s="197">
        <v>4</v>
      </c>
      <c r="G46" t="s" s="198">
        <v>17</v>
      </c>
    </row>
    <row r="47">
      <c r="C47" t="s" s="199">
        <v>38</v>
      </c>
      <c r="D47" t="s" s="199">
        <v>36</v>
      </c>
      <c r="E47" s="200">
        <v>45843</v>
      </c>
      <c r="F47" s="201">
        <v>25</v>
      </c>
      <c r="G47" t="s" s="202">
        <v>17</v>
      </c>
    </row>
    <row r="48">
      <c r="C48" t="s" s="195">
        <v>49</v>
      </c>
      <c r="D48" t="s" s="195">
        <v>36</v>
      </c>
      <c r="E48" s="196">
        <v>45844</v>
      </c>
      <c r="F48" s="197">
        <v>3.5</v>
      </c>
      <c r="G48" t="s" s="198">
        <v>17</v>
      </c>
    </row>
    <row r="49">
      <c r="C49" t="s" s="199">
        <v>34</v>
      </c>
      <c r="D49" t="s" s="199">
        <v>36</v>
      </c>
      <c r="E49" s="200">
        <v>45844</v>
      </c>
      <c r="F49" s="201">
        <v>1</v>
      </c>
      <c r="G49" t="s" s="202">
        <v>11</v>
      </c>
    </row>
    <row r="50">
      <c r="C50" t="s" s="195">
        <v>37</v>
      </c>
      <c r="D50" t="s" s="195">
        <v>36</v>
      </c>
      <c r="E50" s="196">
        <v>45844</v>
      </c>
      <c r="F50" s="197">
        <v>5</v>
      </c>
      <c r="G50" t="s" s="198">
        <v>17</v>
      </c>
    </row>
    <row r="51">
      <c r="C51" t="s" s="199">
        <v>57</v>
      </c>
      <c r="D51" t="s" s="199">
        <v>36</v>
      </c>
      <c r="E51" s="200">
        <v>45844</v>
      </c>
      <c r="F51" s="201">
        <v>22</v>
      </c>
      <c r="G51" t="s" s="202">
        <v>13</v>
      </c>
    </row>
    <row r="52">
      <c r="C52" t="s" s="195">
        <v>38</v>
      </c>
      <c r="D52" t="s" s="195">
        <v>36</v>
      </c>
      <c r="E52" s="196">
        <v>45844</v>
      </c>
      <c r="F52" s="197">
        <v>12</v>
      </c>
      <c r="G52" t="s" s="198">
        <v>17</v>
      </c>
    </row>
    <row r="53">
      <c r="C53" t="s" s="199">
        <v>39</v>
      </c>
      <c r="D53" t="s" s="199">
        <v>36</v>
      </c>
      <c r="E53" s="200">
        <v>45845</v>
      </c>
      <c r="F53" s="201">
        <v>6</v>
      </c>
      <c r="G53" t="s" s="202">
        <v>17</v>
      </c>
    </row>
    <row r="54">
      <c r="C54" t="s" s="195">
        <v>56</v>
      </c>
      <c r="D54" t="s" s="195">
        <v>36</v>
      </c>
      <c r="E54" s="196">
        <v>45845</v>
      </c>
      <c r="F54" s="197">
        <v>8</v>
      </c>
      <c r="G54" t="s" s="198">
        <v>13</v>
      </c>
    </row>
    <row r="55">
      <c r="C55" t="s" s="199">
        <v>41</v>
      </c>
      <c r="D55" t="s" s="199">
        <v>36</v>
      </c>
      <c r="E55" s="200">
        <v>45845</v>
      </c>
      <c r="F55" s="201">
        <v>10</v>
      </c>
      <c r="G55" t="s" s="202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2025-07-01T14:44:46Z</dcterms:created>
  <dcterms:modified xsi:type="dcterms:W3CDTF">2025-09-24T18:55:52Z</dcterms:modified>
  <cp:category/>
  <cp:contentStatus/>
</cp:coreProperties>
</file>