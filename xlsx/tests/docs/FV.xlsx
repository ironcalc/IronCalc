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1EE4CD36-EF3E-4944-831E-B19245FA1B27}" xr6:coauthVersionLast="47" xr6:coauthVersionMax="47" xr10:uidLastSave="{00000000-0000-0000-0000-000000000000}"/>
  <bookViews>
    <workbookView xWindow="0" yWindow="740" windowWidth="29040" windowHeight="15720" xr2:uid="{485CA009-6F4A-460D-891C-D7B8869F48AE}"/>
  </bookViews>
  <sheets>
    <sheet name="F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2" i="1"/>
  <c r="A11" i="1"/>
  <c r="A10" i="1"/>
  <c r="A9" i="1"/>
  <c r="F6" i="1"/>
  <c r="F5" i="1"/>
  <c r="F4" i="1"/>
  <c r="F3" i="1"/>
  <c r="F2" i="1"/>
  <c r="B12" i="1"/>
  <c r="G3" i="1"/>
  <c r="B9" i="1"/>
  <c r="G5" i="1"/>
  <c r="B10" i="1"/>
  <c r="B11" i="1"/>
  <c r="B13" i="1"/>
  <c r="G4" i="1"/>
  <c r="G6" i="1"/>
  <c r="G2" i="1"/>
</calcChain>
</file>

<file path=xl/sharedStrings.xml><?xml version="1.0" encoding="utf-8"?>
<sst xmlns="http://schemas.openxmlformats.org/spreadsheetml/2006/main" count="15" uniqueCount="14">
  <si>
    <t>rate</t>
  </si>
  <si>
    <t>nper</t>
  </si>
  <si>
    <t>pv</t>
  </si>
  <si>
    <t>pmt</t>
  </si>
  <si>
    <t>period_start</t>
  </si>
  <si>
    <t>Future Value</t>
  </si>
  <si>
    <t>Formula Text</t>
  </si>
  <si>
    <t>Formula</t>
  </si>
  <si>
    <t>Comments</t>
  </si>
  <si>
    <t>Example of error propagation.</t>
  </si>
  <si>
    <t>Combination of valid inputs cause a #DIV/0! error. In this case, the formula for FV includes 1 divided by 0.</t>
  </si>
  <si>
    <t>Combination of valid inputs cause a #NUM! error. In this case, the formula for FV includes the square root of -2.</t>
  </si>
  <si>
    <r>
      <t xml:space="preserve">Unable to convert </t>
    </r>
    <r>
      <rPr>
        <i/>
        <sz val="11"/>
        <rFont val="Aptos Narrow"/>
        <family val="2"/>
        <scheme val="minor"/>
      </rPr>
      <t>rate</t>
    </r>
    <r>
      <rPr>
        <sz val="11"/>
        <rFont val="Aptos Narrow"/>
        <family val="2"/>
        <scheme val="minor"/>
      </rPr>
      <t xml:space="preserve"> argument to a number.</t>
    </r>
  </si>
  <si>
    <r>
      <t xml:space="preserve">Unable to convert </t>
    </r>
    <r>
      <rPr>
        <i/>
        <sz val="11"/>
        <rFont val="Aptos Narrow"/>
        <family val="2"/>
        <scheme val="minor"/>
      </rPr>
      <t>type</t>
    </r>
    <r>
      <rPr>
        <sz val="11"/>
        <rFont val="Aptos Narrow"/>
        <family val="2"/>
        <scheme val="minor"/>
      </rPr>
      <t xml:space="preserve"> argument to a Boolean.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</si>
</sst>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;[Red]\-&quot;£&quot;#,##0.00"/>
    <numFmt numFmtId="165" formatCode="0.0%"/>
    <numFmt numFmtId="166" formatCode="[$€-2]\ #,##0.00;\-[$€-2]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right"/>
    </xf>
    <xf numFmtId="0" fontId="3" fillId="3" borderId="0" xfId="0" applyFont="1" applyFill="1"/>
    <xf numFmtId="166" fontId="3" fillId="3" borderId="0" xfId="0" applyNumberFormat="1" applyFont="1" applyFill="1" applyAlignment="1">
      <alignment horizontal="lef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441E-9203-46F3-91E3-D681B30E39C3}">
  <dimension ref="A1:J13"/>
  <sheetViews>
    <sheetView tabSelected="1" zoomScaleNormal="100" workbookViewId="0"/>
  </sheetViews>
  <sheetFormatPr baseColWidth="10" defaultColWidth="8.83203125" defaultRowHeight="15" x14ac:dyDescent="0.2"/>
  <cols>
    <col min="1" max="1" width="13.6640625" customWidth="1"/>
    <col min="2" max="2" width="17.33203125" bestFit="1" customWidth="1"/>
    <col min="3" max="5" width="13.6640625" customWidth="1"/>
    <col min="6" max="6" width="13.6640625" style="2" customWidth="1"/>
    <col min="7" max="7" width="29.6640625" bestFit="1" customWidth="1"/>
    <col min="8" max="8" width="32.33203125" customWidth="1"/>
  </cols>
  <sheetData>
    <row r="1" spans="1:10" s="1" customFormat="1" x14ac:dyDescent="0.2">
      <c r="A1" s="4" t="s">
        <v>0</v>
      </c>
      <c r="B1" s="4" t="s">
        <v>1</v>
      </c>
      <c r="C1" s="4" t="s">
        <v>3</v>
      </c>
      <c r="D1" s="4" t="s">
        <v>2</v>
      </c>
      <c r="E1" s="4" t="s">
        <v>4</v>
      </c>
      <c r="F1" s="5" t="s">
        <v>5</v>
      </c>
      <c r="G1" s="6" t="s">
        <v>6</v>
      </c>
    </row>
    <row r="2" spans="1:10" x14ac:dyDescent="0.2">
      <c r="A2" s="7">
        <v>0.05</v>
      </c>
      <c r="B2" s="8">
        <v>5</v>
      </c>
      <c r="C2" s="9"/>
      <c r="D2" s="7">
        <v>-1000</v>
      </c>
      <c r="E2" s="9"/>
      <c r="F2" s="10">
        <f>FV(A2,B2,,D2)</f>
        <v>1276.2815625000001</v>
      </c>
      <c r="G2" s="11" t="str">
        <f ca="1">_xlfn.FORMULATEXT(F2)</f>
        <v>=FV(A2,B2,,D2)</v>
      </c>
    </row>
    <row r="3" spans="1:10" x14ac:dyDescent="0.2">
      <c r="A3" s="12">
        <v>0.1</v>
      </c>
      <c r="B3" s="8">
        <v>36</v>
      </c>
      <c r="C3" s="7">
        <v>-10</v>
      </c>
      <c r="D3" s="13"/>
      <c r="E3" s="9"/>
      <c r="F3" s="10">
        <f>FV(A3/12,B3,C3)</f>
        <v>417.81821090259211</v>
      </c>
      <c r="G3" s="11" t="str">
        <f ca="1">_xlfn.FORMULATEXT(F3)</f>
        <v>=FV(A3/12,B3,C3)</v>
      </c>
    </row>
    <row r="4" spans="1:10" x14ac:dyDescent="0.2">
      <c r="A4" s="12">
        <v>0.1</v>
      </c>
      <c r="B4" s="8">
        <v>36</v>
      </c>
      <c r="C4" s="7">
        <v>-10</v>
      </c>
      <c r="D4" s="13"/>
      <c r="E4" s="8">
        <v>0</v>
      </c>
      <c r="F4" s="10">
        <f>FV(A4/12,B4,C4,,E4)</f>
        <v>417.81821090259211</v>
      </c>
      <c r="G4" s="11" t="str">
        <f ca="1">_xlfn.FORMULATEXT(F4)</f>
        <v>=FV(A4/12,B4,C4,,E4)</v>
      </c>
    </row>
    <row r="5" spans="1:10" x14ac:dyDescent="0.2">
      <c r="A5" s="12">
        <v>0.1</v>
      </c>
      <c r="B5" s="8">
        <v>36</v>
      </c>
      <c r="C5" s="7">
        <v>-10</v>
      </c>
      <c r="D5" s="13"/>
      <c r="E5" s="8">
        <v>1</v>
      </c>
      <c r="F5" s="10">
        <f>FV(A5/12,B5,C5,,E5)</f>
        <v>421.30002932678042</v>
      </c>
      <c r="G5" s="11" t="str">
        <f ca="1">_xlfn.FORMULATEXT(F5)</f>
        <v>=FV(A5/12,B5,C5,,E5)</v>
      </c>
    </row>
    <row r="6" spans="1:10" x14ac:dyDescent="0.2">
      <c r="A6" s="12"/>
      <c r="B6" s="8"/>
      <c r="C6" s="8"/>
      <c r="D6" s="14"/>
      <c r="E6" s="8"/>
      <c r="F6" s="10">
        <f>FV(0.0042,12,-1000,-10000,FALSE)</f>
        <v>22796.92466550941</v>
      </c>
      <c r="G6" s="11" t="str">
        <f ca="1">_xlfn.FORMULATEXT(F6)</f>
        <v>=FV(0.0042,12,-1000,-10000,FALSE)</v>
      </c>
    </row>
    <row r="7" spans="1:10" x14ac:dyDescent="0.2">
      <c r="A7" s="12"/>
      <c r="B7" s="8"/>
      <c r="C7" s="8"/>
      <c r="D7" s="14"/>
      <c r="E7" s="8"/>
      <c r="F7" s="15"/>
      <c r="G7" s="11"/>
    </row>
    <row r="8" spans="1:10" x14ac:dyDescent="0.2">
      <c r="A8" s="4" t="s">
        <v>7</v>
      </c>
      <c r="B8" s="4" t="s">
        <v>6</v>
      </c>
      <c r="C8" s="6" t="s">
        <v>8</v>
      </c>
      <c r="D8" s="16"/>
      <c r="E8" s="4"/>
      <c r="F8" s="17"/>
      <c r="G8" s="16"/>
    </row>
    <row r="9" spans="1:10" ht="15" customHeight="1" x14ac:dyDescent="0.2">
      <c r="A9" s="18" t="e">
        <f>FV(SQRT(-1),2,3)</f>
        <v>#NUM!</v>
      </c>
      <c r="B9" s="19" t="str">
        <f ca="1">_xlfn.FORMULATEXT(A9)</f>
        <v>=FV(SQRT(-1),2,3)</v>
      </c>
      <c r="C9" s="11" t="s">
        <v>9</v>
      </c>
      <c r="D9" s="11"/>
      <c r="E9" s="20"/>
      <c r="F9" s="20"/>
      <c r="G9" s="20"/>
      <c r="H9" s="3"/>
      <c r="I9" s="3"/>
      <c r="J9" s="3"/>
    </row>
    <row r="10" spans="1:10" ht="15" customHeight="1" x14ac:dyDescent="0.2">
      <c r="A10" s="18" t="e">
        <f>FV("str",2,3,4,TRUE)</f>
        <v>#VALUE!</v>
      </c>
      <c r="B10" s="19" t="str">
        <f ca="1">_xlfn.FORMULATEXT(A10)</f>
        <v>=FV("str",2,3,4,TRUE)</v>
      </c>
      <c r="C10" s="11" t="s">
        <v>12</v>
      </c>
      <c r="D10" s="11"/>
      <c r="E10" s="20"/>
      <c r="F10" s="20"/>
      <c r="G10" s="20"/>
      <c r="H10" s="3"/>
      <c r="I10" s="3"/>
      <c r="J10" s="3"/>
    </row>
    <row r="11" spans="1:10" ht="15" customHeight="1" x14ac:dyDescent="0.2">
      <c r="A11" s="18" t="e">
        <f>FV(1,2,3,4,"false")</f>
        <v>#VALUE!</v>
      </c>
      <c r="B11" s="19" t="str">
        <f t="shared" ref="B11:B13" ca="1" si="0">_xlfn.FORMULATEXT(A11)</f>
        <v>=FV(1,2,3,4,"false")</v>
      </c>
      <c r="C11" s="11" t="s">
        <v>13</v>
      </c>
      <c r="D11" s="11"/>
      <c r="E11" s="20"/>
      <c r="F11" s="20"/>
      <c r="G11" s="20"/>
      <c r="H11" s="3"/>
      <c r="I11" s="3"/>
      <c r="J11" s="3"/>
    </row>
    <row r="12" spans="1:10" ht="15" customHeight="1" x14ac:dyDescent="0.2">
      <c r="A12" s="18" t="e">
        <f>FV(-3,0.5,1)</f>
        <v>#NUM!</v>
      </c>
      <c r="B12" s="19" t="str">
        <f t="shared" ca="1" si="0"/>
        <v>=FV(-3,0.5,1)</v>
      </c>
      <c r="C12" s="11" t="s">
        <v>11</v>
      </c>
      <c r="D12" s="11"/>
      <c r="E12" s="20"/>
      <c r="F12" s="20"/>
      <c r="G12" s="20"/>
      <c r="H12" s="3"/>
      <c r="I12" s="3"/>
      <c r="J12" s="3"/>
    </row>
    <row r="13" spans="1:10" ht="15" customHeight="1" x14ac:dyDescent="0.2">
      <c r="A13" s="18" t="e">
        <f>FV(-1,-1,1)</f>
        <v>#DIV/0!</v>
      </c>
      <c r="B13" s="19" t="str">
        <f t="shared" ca="1" si="0"/>
        <v>=FV(-1,-1,1)</v>
      </c>
      <c r="C13" s="11" t="s">
        <v>10</v>
      </c>
      <c r="D13" s="11"/>
      <c r="E13" s="20"/>
      <c r="F13" s="20"/>
      <c r="G13" s="20"/>
      <c r="H13" s="3"/>
      <c r="I13" s="3"/>
      <c r="J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2024-11-06T23:10:27Z</dcterms:created>
  <dcterms:modified xsi:type="dcterms:W3CDTF">2026-10-17T11:38:35Z</dcterms:modified>
</cp:coreProperties>
</file>