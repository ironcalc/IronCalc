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g-ac/Desktop/tests/"/>
    </mc:Choice>
  </mc:AlternateContent>
  <xr:revisionPtr revIDLastSave="0" documentId="13_ncr:1_{B6537860-ADB7-2542-9AFF-36692D954720}" xr6:coauthVersionLast="47" xr6:coauthVersionMax="47" xr10:uidLastSave="{00000000-0000-0000-0000-000000000000}"/>
  <bookViews>
    <workbookView xWindow="5500" yWindow="-19840" windowWidth="28040" windowHeight="17260" xr2:uid="{13B30335-E48E-F94D-92CA-E0F3E302163F}"/>
  </bookViews>
  <sheets>
    <sheet name="NO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5" i="2" l="1" a="1"/>
  <c r="E85" i="2" s="1" a="1"/>
  <c r="E84" i="2" a="1"/>
  <c r="E83" i="2" a="1"/>
  <c r="E82" i="2" a="1"/>
  <c r="E81" i="2" a="1"/>
  <c r="E80" i="2" a="1"/>
  <c r="E75" i="2" a="1"/>
  <c r="E73" i="2" a="1"/>
  <c r="E70" i="2" a="1"/>
  <c r="E69" i="2" a="1"/>
  <c r="B68" i="2" a="1"/>
  <c r="B67" i="2" a="1"/>
  <c r="B66" i="2" a="1"/>
  <c r="B65" i="2" a="1"/>
  <c r="B64" i="2" a="1"/>
  <c r="B63" i="2" a="1"/>
  <c r="B62" i="2" a="1"/>
  <c r="B61" i="2" a="1"/>
  <c r="B60" i="2" a="1"/>
  <c r="B59" i="2" a="1"/>
  <c r="B58" i="2" a="1"/>
  <c r="B57" i="2" a="1"/>
  <c r="B56" i="2" a="1"/>
  <c r="B55" i="2" a="1"/>
  <c r="B54" i="2" a="1"/>
  <c r="B53" i="2" a="1"/>
  <c r="B52" i="2"/>
  <c r="B51" i="2"/>
  <c r="A50" i="2"/>
  <c r="B50" i="2" s="1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A34" i="2"/>
  <c r="B34" i="2" s="1"/>
  <c r="B33" i="2"/>
  <c r="B32" i="2"/>
  <c r="B31" i="2"/>
  <c r="B30" i="2"/>
  <c r="B29" i="2"/>
  <c r="B28" i="2"/>
  <c r="B27" i="2"/>
  <c r="B26" i="2"/>
  <c r="B25" i="2"/>
  <c r="A24" i="2"/>
  <c r="B24" i="2" s="1"/>
  <c r="A23" i="2"/>
  <c r="B23" i="2" s="1"/>
  <c r="A22" i="2"/>
  <c r="B22" i="2" s="1"/>
  <c r="B21" i="2"/>
  <c r="B20" i="2"/>
  <c r="A19" i="2"/>
  <c r="B19" i="2" s="1"/>
  <c r="B18" i="2"/>
  <c r="A17" i="2"/>
  <c r="B17" i="2" s="1"/>
  <c r="A16" i="2"/>
  <c r="B16" i="2" s="1"/>
  <c r="B15" i="2"/>
  <c r="A14" i="2"/>
  <c r="B14" i="2" s="1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<sst xmlns="http://schemas.openxmlformats.org/spreadsheetml/2006/main" count="90" uniqueCount="90">
  <si>
    <t>logical</t>
  </si>
  <si>
    <t>NOT</t>
  </si>
  <si>
    <t>NOTES</t>
  </si>
  <si>
    <t>helper</t>
  </si>
  <si>
    <t>Doc example: NOT(FALSE) → TRUE</t>
  </si>
  <si>
    <t>Doc example: NOT(1+1=2) → FALSE</t>
  </si>
  <si>
    <t>Doc example: IF(NOT(A&gt;100),...) with 50 → VALID</t>
  </si>
  <si>
    <t>Logical TRUE in cell</t>
  </si>
  <si>
    <t>Logical FALSE in cell</t>
  </si>
  <si>
    <t>Number 1 (non-zero = TRUE)</t>
  </si>
  <si>
    <t>Number 0 (zero = FALSE)</t>
  </si>
  <si>
    <t>Negative number</t>
  </si>
  <si>
    <t>Fraction 0.5</t>
  </si>
  <si>
    <t>Comparison expression result</t>
  </si>
  <si>
    <t>Tiny positive number</t>
  </si>
  <si>
    <t>Tiny negative number</t>
  </si>
  <si>
    <t>1E-15 (below display precision)</t>
  </si>
  <si>
    <t>abc</t>
  </si>
  <si>
    <t>Non-numeric text in cell</t>
  </si>
  <si>
    <t>Unicode text é in cell</t>
  </si>
  <si>
    <t>Line-feed character in cell</t>
  </si>
  <si>
    <t>Empty cell (blank treated as 0)</t>
  </si>
  <si>
    <t>Empty string ="" in cell</t>
  </si>
  <si>
    <t>Empty string typed directly</t>
  </si>
  <si>
    <t>Blank cell joined to "" (becomes text)</t>
  </si>
  <si>
    <t>#DIV/0! passed in</t>
  </si>
  <si>
    <t>#N/A passed in</t>
  </si>
  <si>
    <t>#NUM! passed in</t>
  </si>
  <si>
    <t>Error expression typed directly</t>
  </si>
  <si>
    <t>#VALUE! literal typed directly</t>
  </si>
  <si>
    <t>1</t>
  </si>
  <si>
    <t>Numeric text "1" in cell</t>
  </si>
  <si>
    <t>0</t>
  </si>
  <si>
    <t>Numeric text "0" in cell</t>
  </si>
  <si>
    <t>TRUE</t>
  </si>
  <si>
    <t>Text "TRUE" in cell</t>
  </si>
  <si>
    <t>FALSE</t>
  </si>
  <si>
    <t>Text "FALSE" in cell</t>
  </si>
  <si>
    <t xml:space="preserve"> TRUE </t>
  </si>
  <si>
    <t>Text "TRUE" with spaces in cell</t>
  </si>
  <si>
    <t>1E3</t>
  </si>
  <si>
    <t>Scientific-notation text in cell</t>
  </si>
  <si>
    <t>50%</t>
  </si>
  <si>
    <t>Percent text in cell</t>
  </si>
  <si>
    <t>Date in cell (serial number)</t>
  </si>
  <si>
    <t>Percentage-formatted 25%</t>
  </si>
  <si>
    <t>Percentage-formatted 0%</t>
  </si>
  <si>
    <t>Quoted number typed directly</t>
  </si>
  <si>
    <t>Quoted zero typed directly</t>
  </si>
  <si>
    <t>Quoted "TRUE" typed directly</t>
  </si>
  <si>
    <t>Quoted lowercase "false" typed directly</t>
  </si>
  <si>
    <t>Quoted "TRUE" with spaces typed directly</t>
  </si>
  <si>
    <t>Non-numeric text typed directly</t>
  </si>
  <si>
    <t>Date text typed directly</t>
  </si>
  <si>
    <t>Double-unary coerced text</t>
  </si>
  <si>
    <t>Boolean typed directly</t>
  </si>
  <si>
    <t>Number 0 typed directly</t>
  </si>
  <si>
    <t>Number 42 typed directly</t>
  </si>
  <si>
    <t>Joined expression "TR"&amp;"UE"</t>
  </si>
  <si>
    <t>Double NOT (converts number to boolean)</t>
  </si>
  <si>
    <t>32,767-character text</t>
  </si>
  <si>
    <t>Largest number</t>
  </si>
  <si>
    <t>Smallest positive normal number</t>
  </si>
  <si>
    <t>Array: INDEX into horizontal array result</t>
  </si>
  <si>
    <t>Array: INDEX into vertical array result</t>
  </si>
  <si>
    <t>Array: INDEX into 2-D array result</t>
  </si>
  <si>
    <t>Array: result keeps row count (3)</t>
  </si>
  <si>
    <t>Array: result keeps column count (2)</t>
  </si>
  <si>
    <t>Array: range input keeps shape (5 rows)</t>
  </si>
  <si>
    <t>Array: INDEX into range result (A8 = 0)</t>
  </si>
  <si>
    <t>Array: count TRUEs over range result</t>
  </si>
  <si>
    <t>Array: count TRUEs over SEQUENCE 0..4</t>
  </si>
  <si>
    <t>Array: AND over NOT result (all TRUE)</t>
  </si>
  <si>
    <t>Array: OR over NOT result (all FALSE)</t>
  </si>
  <si>
    <t>Array: text element gives #VALUE!</t>
  </si>
  <si>
    <t>Array: text in another element does not affect this one</t>
  </si>
  <si>
    <t>Array: error element passes through</t>
  </si>
  <si>
    <t>Array: text "TRUE" element coerces</t>
  </si>
  <si>
    <t>Array: 1x1 array constant (no spill)</t>
  </si>
  <si>
    <t>Spill: horizontal array constant (E:I)</t>
  </si>
  <si>
    <t>Spill: vertical array constant (3 rows)</t>
  </si>
  <si>
    <t>Spill: 2-D array constant (2x2)</t>
  </si>
  <si>
    <t>Spill: range input TRUE,FALSE,1,0,-1 (5 rows)</t>
  </si>
  <si>
    <t>Spill: mixed array with text elements</t>
  </si>
  <si>
    <t>Spill: array with an error element</t>
  </si>
  <si>
    <t>Spill: array of numeric text</t>
  </si>
  <si>
    <t>Spill: SEQUENCE -1..2</t>
  </si>
  <si>
    <t>Spill: double NOT on array</t>
  </si>
  <si>
    <t>Spill: spill-range reference (helper SEQUENCE -1..1)</t>
  </si>
  <si>
    <t>NOT (spill)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</si>
</sst>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5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2" borderId="2" xfId="0" applyFont="1" applyFill="1" applyBorder="1"/>
    <xf numFmtId="0" fontId="3" fillId="2" borderId="3" xfId="0" applyFont="1" applyFill="1" applyBorder="1"/>
    <xf numFmtId="0" fontId="2" fillId="0" borderId="4" xfId="0" applyFont="1" applyBorder="1"/>
    <xf numFmtId="0" fontId="1" fillId="0" borderId="4" xfId="0" applyFont="1" applyBorder="1"/>
    <xf numFmtId="11" fontId="1" fillId="0" borderId="4" xfId="0" applyNumberFormat="1" applyFont="1" applyBorder="1"/>
    <xf numFmtId="49" fontId="1" fillId="0" borderId="4" xfId="0" applyNumberFormat="1" applyFont="1" applyBorder="1"/>
    <xf numFmtId="164" fontId="1" fillId="0" borderId="4" xfId="0" applyNumberFormat="1" applyFont="1" applyBorder="1"/>
    <xf numFmtId="9" fontId="1" fillId="0" borderId="4" xfId="0" applyNumberFormat="1" applyFont="1" applyBorder="1"/>
    <xf numFmtId="0" fontId="1" fillId="0" borderId="0" xfId="0" applyFont="1" applyFill="1" applyBorder="1"/>
    <xf numFmtId="0" fontId="4" fillId="0" borderId="0" xfId="0" applyFont="1"/>
    <xf numFmtId="0" fontId="3" fillId="2" borderId="5" xfId="0" applyFont="1" applyFill="1" applyBorder="1"/>
    <xf numFmtId="0" fontId="3" fillId="2" borderId="7" xfId="0" applyFont="1" applyFill="1" applyBorder="1"/>
    <xf numFmtId="0" fontId="3" fillId="2" borderId="6" xfId="0" applyFont="1" applyFill="1" applyBorder="1"/>
    <xf numFmtId="0" fontId="4" fillId="0" borderId="4" xfId="0" applyFont="1" applyBorder="1"/>
    <xf numFmtId="0" fontId="2" fillId="0" borderId="1" xfId="0" applyFont="1" applyFill="1" applyBorder="1"/>
    <xf numFmtId="0" fontId="4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DCD93A8-E3FD-E84B-B0A5-6E65E811997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e2dcc0f-1bac-40e5-8a83-94292abe95e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5B3F0-E0F0-B142-8A93-E3F11EB34679}">
  <dimension ref="A1:I87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RowHeight="16" x14ac:dyDescent="0.2"/>
  <cols>
    <col min="1" max="1" width="18.33203125" customWidth="1"/>
    <col min="2" max="2" width="20" customWidth="1"/>
    <col min="3" max="3" width="55" customWidth="1"/>
    <col min="4" max="9" width="11.6640625" customWidth="1"/>
  </cols>
  <sheetData>
    <row r="1" spans="1:5" x14ac:dyDescent="0.2">
      <c r="A1" s="6" t="s">
        <v>0</v>
      </c>
      <c r="B1" s="3" t="s">
        <v>1</v>
      </c>
      <c r="C1" s="2" t="s">
        <v>2</v>
      </c>
      <c r="D1" s="2" t="s">
        <v>3</v>
      </c>
      <c r="E1" s="18" t="s">
        <v>89</v>
      </c>
    </row>
    <row r="2" spans="1:5" x14ac:dyDescent="0.2">
      <c r="A2" s="7" t="b">
        <v>0</v>
      </c>
      <c r="B2" s="4" t="b">
        <f>NOT(A2)</f>
        <v>1</v>
      </c>
      <c r="C2" s="1" t="s">
        <v>4</v>
      </c>
      <c r="D2" s="1"/>
    </row>
    <row r="3" spans="1:5" x14ac:dyDescent="0.2">
      <c r="A3" s="7"/>
      <c r="B3" s="5" t="b">
        <f>NOT(1+1=2)</f>
        <v>0</v>
      </c>
      <c r="C3" s="1" t="s">
        <v>5</v>
      </c>
      <c r="D3" s="1"/>
    </row>
    <row r="4" spans="1:5" x14ac:dyDescent="0.2">
      <c r="A4" s="7">
        <v>50</v>
      </c>
      <c r="B4" s="5" t="str">
        <f>IF(NOT(A4&gt;100),"VALID","INVALID")</f>
        <v>VALID</v>
      </c>
      <c r="C4" s="1" t="s">
        <v>6</v>
      </c>
      <c r="D4" s="1"/>
    </row>
    <row r="5" spans="1:5" x14ac:dyDescent="0.2">
      <c r="A5" s="7" t="b">
        <v>1</v>
      </c>
      <c r="B5" s="5" t="b">
        <f t="shared" ref="B5:B10" si="0">NOT(A5)</f>
        <v>0</v>
      </c>
      <c r="C5" s="1" t="s">
        <v>7</v>
      </c>
      <c r="D5" s="1"/>
    </row>
    <row r="6" spans="1:5" x14ac:dyDescent="0.2">
      <c r="A6" s="7" t="b">
        <v>0</v>
      </c>
      <c r="B6" s="5" t="b">
        <f t="shared" si="0"/>
        <v>1</v>
      </c>
      <c r="C6" s="1" t="s">
        <v>8</v>
      </c>
      <c r="D6" s="1"/>
    </row>
    <row r="7" spans="1:5" x14ac:dyDescent="0.2">
      <c r="A7" s="7">
        <v>1</v>
      </c>
      <c r="B7" s="5" t="b">
        <f t="shared" si="0"/>
        <v>0</v>
      </c>
      <c r="C7" s="1" t="s">
        <v>9</v>
      </c>
      <c r="D7" s="1"/>
    </row>
    <row r="8" spans="1:5" x14ac:dyDescent="0.2">
      <c r="A8" s="7">
        <v>0</v>
      </c>
      <c r="B8" s="5" t="b">
        <f t="shared" si="0"/>
        <v>1</v>
      </c>
      <c r="C8" s="1" t="s">
        <v>10</v>
      </c>
      <c r="D8" s="1"/>
    </row>
    <row r="9" spans="1:5" x14ac:dyDescent="0.2">
      <c r="A9" s="7">
        <v>-1</v>
      </c>
      <c r="B9" s="5" t="b">
        <f t="shared" si="0"/>
        <v>0</v>
      </c>
      <c r="C9" s="1" t="s">
        <v>11</v>
      </c>
      <c r="D9" s="1"/>
    </row>
    <row r="10" spans="1:5" x14ac:dyDescent="0.2">
      <c r="A10" s="7">
        <v>0.5</v>
      </c>
      <c r="B10" s="5" t="b">
        <f t="shared" si="0"/>
        <v>0</v>
      </c>
      <c r="C10" s="1" t="s">
        <v>12</v>
      </c>
      <c r="D10" s="1"/>
    </row>
    <row r="11" spans="1:5" x14ac:dyDescent="0.2">
      <c r="A11" s="7"/>
      <c r="B11" s="5" t="b">
        <f>NOT(A11=A11)</f>
        <v>0</v>
      </c>
      <c r="C11" s="1" t="s">
        <v>13</v>
      </c>
      <c r="D11" s="1"/>
    </row>
    <row r="12" spans="1:5" x14ac:dyDescent="0.2">
      <c r="A12" s="8">
        <v>1E-300</v>
      </c>
      <c r="B12" s="5" t="b">
        <f t="shared" ref="B12:B19" si="1">NOT(A12)</f>
        <v>0</v>
      </c>
      <c r="C12" s="1" t="s">
        <v>14</v>
      </c>
      <c r="D12" s="1"/>
    </row>
    <row r="13" spans="1:5" x14ac:dyDescent="0.2">
      <c r="A13" s="8">
        <v>-1E-300</v>
      </c>
      <c r="B13" s="5" t="b">
        <f t="shared" si="1"/>
        <v>0</v>
      </c>
      <c r="C13" s="1" t="s">
        <v>15</v>
      </c>
      <c r="D13" s="1"/>
    </row>
    <row r="14" spans="1:5" x14ac:dyDescent="0.2">
      <c r="A14" s="8">
        <f>0.000000000000001</f>
        <v>1.0000000000000001E-15</v>
      </c>
      <c r="B14" s="5" t="b">
        <f t="shared" si="1"/>
        <v>0</v>
      </c>
      <c r="C14" s="1" t="s">
        <v>16</v>
      </c>
      <c r="D14" s="1"/>
    </row>
    <row r="15" spans="1:5" x14ac:dyDescent="0.2">
      <c r="A15" s="7" t="s">
        <v>17</v>
      </c>
      <c r="B15" s="5" t="e">
        <f t="shared" si="1"/>
        <v>#VALUE!</v>
      </c>
      <c r="C15" s="1" t="s">
        <v>18</v>
      </c>
      <c r="D15" s="1"/>
    </row>
    <row r="16" spans="1:5" x14ac:dyDescent="0.2">
      <c r="A16" s="7" t="str">
        <f>_xlfn.UNICHAR(233)</f>
        <v>é</v>
      </c>
      <c r="B16" s="5" t="e">
        <f t="shared" si="1"/>
        <v>#VALUE!</v>
      </c>
      <c r="C16" s="1" t="s">
        <v>19</v>
      </c>
      <c r="D16" s="1"/>
    </row>
    <row r="17" spans="1:4" x14ac:dyDescent="0.2">
      <c r="A17" s="7" t="str">
        <f>CHAR(10)</f>
        <v xml:space="preserve">
</v>
      </c>
      <c r="B17" s="5" t="e">
        <f t="shared" si="1"/>
        <v>#VALUE!</v>
      </c>
      <c r="C17" s="1" t="s">
        <v>20</v>
      </c>
      <c r="D17" s="1"/>
    </row>
    <row r="18" spans="1:4" x14ac:dyDescent="0.2">
      <c r="A18" s="7"/>
      <c r="B18" s="5" t="b">
        <f t="shared" si="1"/>
        <v>1</v>
      </c>
      <c r="C18" s="1" t="s">
        <v>21</v>
      </c>
      <c r="D18" s="1"/>
    </row>
    <row r="19" spans="1:4" x14ac:dyDescent="0.2">
      <c r="A19" s="7" t="str">
        <f>""</f>
        <v/>
      </c>
      <c r="B19" s="5" t="e">
        <f t="shared" si="1"/>
        <v>#VALUE!</v>
      </c>
      <c r="C19" s="1" t="s">
        <v>22</v>
      </c>
      <c r="D19" s="1"/>
    </row>
    <row r="20" spans="1:4" x14ac:dyDescent="0.2">
      <c r="A20" s="7"/>
      <c r="B20" s="5" t="e">
        <f>NOT("")</f>
        <v>#VALUE!</v>
      </c>
      <c r="C20" s="1" t="s">
        <v>23</v>
      </c>
      <c r="D20" s="1"/>
    </row>
    <row r="21" spans="1:4" x14ac:dyDescent="0.2">
      <c r="A21" s="7"/>
      <c r="B21" s="5" t="e">
        <f>NOT(A21&amp;"")</f>
        <v>#VALUE!</v>
      </c>
      <c r="C21" s="1" t="s">
        <v>24</v>
      </c>
      <c r="D21" s="1"/>
    </row>
    <row r="22" spans="1:4" x14ac:dyDescent="0.2">
      <c r="A22" s="7" t="e">
        <f>1/0</f>
        <v>#DIV/0!</v>
      </c>
      <c r="B22" s="5" t="e">
        <f>NOT(A22)</f>
        <v>#DIV/0!</v>
      </c>
      <c r="C22" s="1" t="s">
        <v>25</v>
      </c>
      <c r="D22" s="1"/>
    </row>
    <row r="23" spans="1:4" x14ac:dyDescent="0.2">
      <c r="A23" s="7" t="e">
        <f>NA()</f>
        <v>#N/A</v>
      </c>
      <c r="B23" s="5" t="e">
        <f>NOT(A23)</f>
        <v>#N/A</v>
      </c>
      <c r="C23" s="1" t="s">
        <v>26</v>
      </c>
      <c r="D23" s="1"/>
    </row>
    <row r="24" spans="1:4" x14ac:dyDescent="0.2">
      <c r="A24" s="7" t="e">
        <f>SQRT(-1)</f>
        <v>#NUM!</v>
      </c>
      <c r="B24" s="5" t="e">
        <f>NOT(A24)</f>
        <v>#NUM!</v>
      </c>
      <c r="C24" s="1" t="s">
        <v>27</v>
      </c>
      <c r="D24" s="1"/>
    </row>
    <row r="25" spans="1:4" x14ac:dyDescent="0.2">
      <c r="A25" s="7"/>
      <c r="B25" s="5" t="e">
        <f>NOT(1/0)</f>
        <v>#DIV/0!</v>
      </c>
      <c r="C25" s="1" t="s">
        <v>28</v>
      </c>
      <c r="D25" s="1"/>
    </row>
    <row r="26" spans="1:4" x14ac:dyDescent="0.2">
      <c r="A26" s="7"/>
      <c r="B26" s="5" t="e">
        <f>NOT(#VALUE!)</f>
        <v>#VALUE!</v>
      </c>
      <c r="C26" s="1" t="s">
        <v>29</v>
      </c>
      <c r="D26" s="1"/>
    </row>
    <row r="27" spans="1:4" x14ac:dyDescent="0.2">
      <c r="A27" s="9" t="s">
        <v>30</v>
      </c>
      <c r="B27" s="5" t="e">
        <f t="shared" ref="B27:B36" si="2">NOT(A27)</f>
        <v>#VALUE!</v>
      </c>
      <c r="C27" s="1" t="s">
        <v>31</v>
      </c>
      <c r="D27" s="1"/>
    </row>
    <row r="28" spans="1:4" x14ac:dyDescent="0.2">
      <c r="A28" s="9" t="s">
        <v>32</v>
      </c>
      <c r="B28" s="5" t="e">
        <f t="shared" si="2"/>
        <v>#VALUE!</v>
      </c>
      <c r="C28" s="1" t="s">
        <v>33</v>
      </c>
      <c r="D28" s="1"/>
    </row>
    <row r="29" spans="1:4" x14ac:dyDescent="0.2">
      <c r="A29" s="9" t="s">
        <v>34</v>
      </c>
      <c r="B29" s="5" t="b">
        <f t="shared" si="2"/>
        <v>0</v>
      </c>
      <c r="C29" s="1" t="s">
        <v>35</v>
      </c>
      <c r="D29" s="1"/>
    </row>
    <row r="30" spans="1:4" x14ac:dyDescent="0.2">
      <c r="A30" s="9" t="s">
        <v>36</v>
      </c>
      <c r="B30" s="5" t="b">
        <f t="shared" si="2"/>
        <v>1</v>
      </c>
      <c r="C30" s="1" t="s">
        <v>37</v>
      </c>
      <c r="D30" s="1"/>
    </row>
    <row r="31" spans="1:4" x14ac:dyDescent="0.2">
      <c r="A31" s="9" t="s">
        <v>38</v>
      </c>
      <c r="B31" s="5" t="e">
        <f t="shared" si="2"/>
        <v>#VALUE!</v>
      </c>
      <c r="C31" s="1" t="s">
        <v>39</v>
      </c>
      <c r="D31" s="1"/>
    </row>
    <row r="32" spans="1:4" x14ac:dyDescent="0.2">
      <c r="A32" s="9" t="s">
        <v>40</v>
      </c>
      <c r="B32" s="5" t="e">
        <f t="shared" si="2"/>
        <v>#VALUE!</v>
      </c>
      <c r="C32" s="1" t="s">
        <v>41</v>
      </c>
      <c r="D32" s="1"/>
    </row>
    <row r="33" spans="1:4" x14ac:dyDescent="0.2">
      <c r="A33" s="9" t="s">
        <v>42</v>
      </c>
      <c r="B33" s="5" t="e">
        <f t="shared" si="2"/>
        <v>#VALUE!</v>
      </c>
      <c r="C33" s="1" t="s">
        <v>43</v>
      </c>
      <c r="D33" s="1"/>
    </row>
    <row r="34" spans="1:4" x14ac:dyDescent="0.2">
      <c r="A34" s="10">
        <f>DATE(2024,1,1)</f>
        <v>45292</v>
      </c>
      <c r="B34" s="5" t="b">
        <f t="shared" si="2"/>
        <v>0</v>
      </c>
      <c r="C34" s="1" t="s">
        <v>44</v>
      </c>
      <c r="D34" s="1"/>
    </row>
    <row r="35" spans="1:4" x14ac:dyDescent="0.2">
      <c r="A35" s="11">
        <v>0.25</v>
      </c>
      <c r="B35" s="5" t="b">
        <f t="shared" si="2"/>
        <v>0</v>
      </c>
      <c r="C35" s="1" t="s">
        <v>45</v>
      </c>
      <c r="D35" s="1"/>
    </row>
    <row r="36" spans="1:4" x14ac:dyDescent="0.2">
      <c r="A36" s="11">
        <v>0</v>
      </c>
      <c r="B36" s="5" t="b">
        <f t="shared" si="2"/>
        <v>1</v>
      </c>
      <c r="C36" s="1" t="s">
        <v>46</v>
      </c>
      <c r="D36" s="1"/>
    </row>
    <row r="37" spans="1:4" x14ac:dyDescent="0.2">
      <c r="A37" s="7"/>
      <c r="B37" s="5" t="e">
        <f>NOT("1")</f>
        <v>#VALUE!</v>
      </c>
      <c r="C37" s="1" t="s">
        <v>47</v>
      </c>
      <c r="D37" s="1"/>
    </row>
    <row r="38" spans="1:4" x14ac:dyDescent="0.2">
      <c r="A38" s="7"/>
      <c r="B38" s="5" t="e">
        <f>NOT("0")</f>
        <v>#VALUE!</v>
      </c>
      <c r="C38" s="1" t="s">
        <v>48</v>
      </c>
      <c r="D38" s="1"/>
    </row>
    <row r="39" spans="1:4" x14ac:dyDescent="0.2">
      <c r="A39" s="7"/>
      <c r="B39" s="5" t="b">
        <f>NOT("TRUE")</f>
        <v>0</v>
      </c>
      <c r="C39" s="1" t="s">
        <v>49</v>
      </c>
      <c r="D39" s="1"/>
    </row>
    <row r="40" spans="1:4" x14ac:dyDescent="0.2">
      <c r="A40" s="7"/>
      <c r="B40" s="5" t="b">
        <f>NOT("false")</f>
        <v>1</v>
      </c>
      <c r="C40" s="1" t="s">
        <v>50</v>
      </c>
      <c r="D40" s="1"/>
    </row>
    <row r="41" spans="1:4" x14ac:dyDescent="0.2">
      <c r="A41" s="7"/>
      <c r="B41" s="5" t="e">
        <f>NOT(" TRUE ")</f>
        <v>#VALUE!</v>
      </c>
      <c r="C41" s="1" t="s">
        <v>51</v>
      </c>
      <c r="D41" s="1"/>
    </row>
    <row r="42" spans="1:4" x14ac:dyDescent="0.2">
      <c r="A42" s="7"/>
      <c r="B42" s="5" t="e">
        <f>NOT("abc")</f>
        <v>#VALUE!</v>
      </c>
      <c r="C42" s="1" t="s">
        <v>52</v>
      </c>
      <c r="D42" s="1"/>
    </row>
    <row r="43" spans="1:4" x14ac:dyDescent="0.2">
      <c r="A43" s="7"/>
      <c r="B43" s="5" t="e">
        <f>NOT("1/1/2024")</f>
        <v>#VALUE!</v>
      </c>
      <c r="C43" s="1" t="s">
        <v>53</v>
      </c>
      <c r="D43" s="1"/>
    </row>
    <row r="44" spans="1:4" x14ac:dyDescent="0.2">
      <c r="A44" s="7"/>
      <c r="B44" s="5" t="b">
        <f>NOT(--"0")</f>
        <v>1</v>
      </c>
      <c r="C44" s="1" t="s">
        <v>54</v>
      </c>
      <c r="D44" s="1"/>
    </row>
    <row r="45" spans="1:4" x14ac:dyDescent="0.2">
      <c r="A45" s="7"/>
      <c r="B45" s="5" t="b">
        <f>NOT(TRUE)</f>
        <v>0</v>
      </c>
      <c r="C45" s="1" t="s">
        <v>55</v>
      </c>
      <c r="D45" s="1"/>
    </row>
    <row r="46" spans="1:4" x14ac:dyDescent="0.2">
      <c r="A46" s="7"/>
      <c r="B46" s="5" t="b">
        <f>NOT(0)</f>
        <v>1</v>
      </c>
      <c r="C46" s="1" t="s">
        <v>56</v>
      </c>
      <c r="D46" s="1"/>
    </row>
    <row r="47" spans="1:4" x14ac:dyDescent="0.2">
      <c r="A47" s="7"/>
      <c r="B47" s="5" t="b">
        <f>NOT(42)</f>
        <v>0</v>
      </c>
      <c r="C47" s="1" t="s">
        <v>57</v>
      </c>
      <c r="D47" s="1"/>
    </row>
    <row r="48" spans="1:4" x14ac:dyDescent="0.2">
      <c r="A48" s="7"/>
      <c r="B48" s="5" t="b">
        <f>NOT("TR"&amp;"UE")</f>
        <v>0</v>
      </c>
      <c r="C48" s="1" t="s">
        <v>58</v>
      </c>
      <c r="D48" s="1"/>
    </row>
    <row r="49" spans="1:4" x14ac:dyDescent="0.2">
      <c r="A49" s="7"/>
      <c r="B49" s="5" t="b">
        <f>NOT(NOT(5))</f>
        <v>1</v>
      </c>
      <c r="C49" s="1" t="s">
        <v>59</v>
      </c>
      <c r="D49" s="1"/>
    </row>
    <row r="50" spans="1:4" x14ac:dyDescent="0.2">
      <c r="A50" s="7" t="str">
        <f>REPT("a",32767)</f>
        <v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v>
      </c>
      <c r="B50" s="5" t="e">
        <f>NOT(A50)</f>
        <v>#VALUE!</v>
      </c>
      <c r="C50" s="1" t="s">
        <v>60</v>
      </c>
      <c r="D50" s="1"/>
    </row>
    <row r="51" spans="1:4" x14ac:dyDescent="0.2">
      <c r="A51" s="8">
        <v>9.9999999999999901E+307</v>
      </c>
      <c r="B51" s="5" t="b">
        <f>NOT(A51)</f>
        <v>0</v>
      </c>
      <c r="C51" s="1" t="s">
        <v>61</v>
      </c>
      <c r="D51" s="1"/>
    </row>
    <row r="52" spans="1:4" x14ac:dyDescent="0.2">
      <c r="A52" s="8">
        <v>2.2251000000000002E-308</v>
      </c>
      <c r="B52" s="14" t="b">
        <f>NOT(A52)</f>
        <v>0</v>
      </c>
      <c r="C52" s="1" t="s">
        <v>62</v>
      </c>
      <c r="D52" s="1"/>
    </row>
    <row r="53" spans="1:4" x14ac:dyDescent="0.2">
      <c r="A53" s="17"/>
      <c r="B53" s="5" t="b" cm="1">
        <f t="array" ref="B53">INDEX(NOT({0,1,2}),2)</f>
        <v>0</v>
      </c>
      <c r="C53" s="1" t="s">
        <v>63</v>
      </c>
      <c r="D53" s="13"/>
    </row>
    <row r="54" spans="1:4" x14ac:dyDescent="0.2">
      <c r="A54" s="17"/>
      <c r="B54" s="5" t="b" cm="1">
        <f t="array" ref="B54">INDEX(NOT({0;1;2}),1)</f>
        <v>1</v>
      </c>
      <c r="C54" s="12" t="s">
        <v>64</v>
      </c>
      <c r="D54" s="13"/>
    </row>
    <row r="55" spans="1:4" x14ac:dyDescent="0.2">
      <c r="A55" s="17"/>
      <c r="B55" s="5" t="b" cm="1">
        <f t="array" ref="B55">INDEX(NOT({1,0;0,1}),2,2)</f>
        <v>0</v>
      </c>
      <c r="C55" s="12" t="s">
        <v>65</v>
      </c>
      <c r="D55" s="13"/>
    </row>
    <row r="56" spans="1:4" x14ac:dyDescent="0.2">
      <c r="A56" s="17"/>
      <c r="B56" s="5" cm="1">
        <f t="array" ref="B56">ROWS(NOT({1,0;0,1;1,1}))</f>
        <v>3</v>
      </c>
      <c r="C56" s="12" t="s">
        <v>66</v>
      </c>
      <c r="D56" s="13"/>
    </row>
    <row r="57" spans="1:4" x14ac:dyDescent="0.2">
      <c r="A57" s="17"/>
      <c r="B57" s="5" cm="1">
        <f t="array" ref="B57">COLUMNS(NOT({1,0;0,1;1,1}))</f>
        <v>2</v>
      </c>
      <c r="C57" s="12" t="s">
        <v>67</v>
      </c>
      <c r="D57" s="13"/>
    </row>
    <row r="58" spans="1:4" x14ac:dyDescent="0.2">
      <c r="A58" s="17"/>
      <c r="B58" s="5" cm="1">
        <f t="array" ref="B58">ROWS(NOT(A5:A9))</f>
        <v>5</v>
      </c>
      <c r="C58" s="12" t="s">
        <v>68</v>
      </c>
      <c r="D58" s="13"/>
    </row>
    <row r="59" spans="1:4" x14ac:dyDescent="0.2">
      <c r="A59" s="17"/>
      <c r="B59" s="5" t="b" cm="1">
        <f t="array" ref="B59">INDEX(NOT(A5:A9),4)</f>
        <v>1</v>
      </c>
      <c r="C59" s="12" t="s">
        <v>69</v>
      </c>
      <c r="D59" s="13"/>
    </row>
    <row r="60" spans="1:4" x14ac:dyDescent="0.2">
      <c r="A60" s="17"/>
      <c r="B60" s="5" cm="1">
        <f t="array" ref="B60">SUM(--NOT(A5:A9))</f>
        <v>2</v>
      </c>
      <c r="C60" s="12" t="s">
        <v>70</v>
      </c>
      <c r="D60" s="13"/>
    </row>
    <row r="61" spans="1:4" x14ac:dyDescent="0.2">
      <c r="A61" s="17"/>
      <c r="B61" s="5" cm="1">
        <f t="array" ref="B61">SUM(--NOT(_xlfn.SEQUENCE(5,1,0)))</f>
        <v>1</v>
      </c>
      <c r="C61" s="12" t="s">
        <v>71</v>
      </c>
      <c r="D61" s="13"/>
    </row>
    <row r="62" spans="1:4" x14ac:dyDescent="0.2">
      <c r="A62" s="17"/>
      <c r="B62" s="5" t="b" cm="1">
        <f t="array" ref="B62">AND(NOT({FALSE,FALSE,0}))</f>
        <v>1</v>
      </c>
      <c r="C62" s="12" t="s">
        <v>72</v>
      </c>
      <c r="D62" s="13"/>
    </row>
    <row r="63" spans="1:4" x14ac:dyDescent="0.2">
      <c r="A63" s="17"/>
      <c r="B63" s="5" t="b" cm="1">
        <f t="array" ref="B63">OR(NOT({1,2,3}))</f>
        <v>0</v>
      </c>
      <c r="C63" s="12" t="s">
        <v>73</v>
      </c>
      <c r="D63" s="13"/>
    </row>
    <row r="64" spans="1:4" x14ac:dyDescent="0.2">
      <c r="A64" s="17"/>
      <c r="B64" s="5" t="e" cm="1">
        <f t="array" ref="B64">INDEX(NOT({1,"a",0}),2)</f>
        <v>#VALUE!</v>
      </c>
      <c r="C64" s="12" t="s">
        <v>74</v>
      </c>
      <c r="D64" s="13"/>
    </row>
    <row r="65" spans="1:9" x14ac:dyDescent="0.2">
      <c r="A65" s="17"/>
      <c r="B65" s="5" t="b" cm="1">
        <f t="array" ref="B65">INDEX(NOT({1,"a",0}),3)</f>
        <v>1</v>
      </c>
      <c r="C65" s="12" t="s">
        <v>75</v>
      </c>
      <c r="D65" s="13"/>
    </row>
    <row r="66" spans="1:9" x14ac:dyDescent="0.2">
      <c r="A66" s="17"/>
      <c r="B66" s="5" t="e" cm="1">
        <f t="array" ref="B66">INDEX(NOT({1,#N/A,0}),2)</f>
        <v>#N/A</v>
      </c>
      <c r="C66" s="12" t="s">
        <v>76</v>
      </c>
      <c r="D66" s="13"/>
    </row>
    <row r="67" spans="1:9" x14ac:dyDescent="0.2">
      <c r="A67" s="17"/>
      <c r="B67" s="5" t="b" cm="1">
        <f t="array" ref="B67">INDEX(NOT({"TRUE","x"}),1)</f>
        <v>0</v>
      </c>
      <c r="C67" s="12" t="s">
        <v>77</v>
      </c>
      <c r="D67" s="13"/>
    </row>
    <row r="68" spans="1:9" x14ac:dyDescent="0.2">
      <c r="A68" s="17"/>
      <c r="B68" s="5" t="b" cm="1">
        <f t="array" ref="B68">NOT({5})</f>
        <v>0</v>
      </c>
      <c r="C68" s="12" t="s">
        <v>78</v>
      </c>
      <c r="D68" s="13"/>
    </row>
    <row r="69" spans="1:9" x14ac:dyDescent="0.2">
      <c r="A69" s="19"/>
      <c r="B69" s="13"/>
      <c r="C69" s="12" t="s">
        <v>79</v>
      </c>
      <c r="D69" s="13"/>
      <c r="E69" s="15" t="b" cm="1">
        <f t="array" ref="E69:I69">NOT({TRUE,FALSE,0,1,-2})</f>
        <v>0</v>
      </c>
      <c r="F69" s="16" t="b">
        <v>1</v>
      </c>
      <c r="G69" s="16" t="b">
        <v>1</v>
      </c>
      <c r="H69" s="16" t="b">
        <v>0</v>
      </c>
      <c r="I69" s="16" t="b">
        <v>0</v>
      </c>
    </row>
    <row r="70" spans="1:9" x14ac:dyDescent="0.2">
      <c r="A70" s="19"/>
      <c r="B70" s="13"/>
      <c r="C70" s="12" t="s">
        <v>80</v>
      </c>
      <c r="D70" s="13"/>
      <c r="E70" s="16" t="b" cm="1">
        <f t="array" ref="E70:E72">NOT({TRUE;FALSE;0})</f>
        <v>0</v>
      </c>
      <c r="F70" s="13"/>
      <c r="G70" s="13"/>
      <c r="H70" s="13"/>
      <c r="I70" s="13"/>
    </row>
    <row r="71" spans="1:9" x14ac:dyDescent="0.2">
      <c r="A71" s="19"/>
      <c r="B71" s="13"/>
      <c r="C71" s="13"/>
      <c r="D71" s="13"/>
      <c r="E71" s="16" t="b">
        <v>1</v>
      </c>
      <c r="F71" s="13"/>
      <c r="G71" s="13"/>
      <c r="H71" s="13"/>
      <c r="I71" s="13"/>
    </row>
    <row r="72" spans="1:9" x14ac:dyDescent="0.2">
      <c r="A72" s="19"/>
      <c r="B72" s="13"/>
      <c r="C72" s="13"/>
      <c r="D72" s="13"/>
      <c r="E72" s="15" t="b">
        <v>1</v>
      </c>
      <c r="F72" s="13"/>
      <c r="G72" s="13"/>
      <c r="H72" s="13"/>
      <c r="I72" s="13"/>
    </row>
    <row r="73" spans="1:9" x14ac:dyDescent="0.2">
      <c r="A73" s="19"/>
      <c r="B73" s="13"/>
      <c r="C73" s="12" t="s">
        <v>81</v>
      </c>
      <c r="D73" s="13"/>
      <c r="E73" s="16" t="b" cm="1">
        <f t="array" ref="E73:F74">NOT({1,0;0,1})</f>
        <v>0</v>
      </c>
      <c r="F73" s="16" t="b">
        <v>1</v>
      </c>
      <c r="G73" s="13"/>
      <c r="H73" s="13"/>
      <c r="I73" s="13"/>
    </row>
    <row r="74" spans="1:9" x14ac:dyDescent="0.2">
      <c r="A74" s="19"/>
      <c r="B74" s="13"/>
      <c r="C74" s="13"/>
      <c r="D74" s="13"/>
      <c r="E74" s="15" t="b">
        <v>1</v>
      </c>
      <c r="F74" s="16" t="b">
        <v>0</v>
      </c>
      <c r="G74" s="13"/>
      <c r="H74" s="13"/>
      <c r="I74" s="13"/>
    </row>
    <row r="75" spans="1:9" x14ac:dyDescent="0.2">
      <c r="A75" s="19"/>
      <c r="B75" s="13"/>
      <c r="C75" s="13" t="s">
        <v>82</v>
      </c>
      <c r="D75" s="13"/>
      <c r="E75" s="16" t="b" cm="1">
        <f t="array" ref="E75:E79">NOT(A5:A9)</f>
        <v>0</v>
      </c>
      <c r="F75" s="13"/>
      <c r="G75" s="13"/>
      <c r="H75" s="13"/>
      <c r="I75" s="13"/>
    </row>
    <row r="76" spans="1:9" x14ac:dyDescent="0.2">
      <c r="A76" s="19"/>
      <c r="B76" s="13"/>
      <c r="C76" s="13"/>
      <c r="D76" s="13"/>
      <c r="E76" s="16" t="b">
        <v>1</v>
      </c>
      <c r="F76" s="13"/>
      <c r="G76" s="13"/>
      <c r="H76" s="13"/>
      <c r="I76" s="13"/>
    </row>
    <row r="77" spans="1:9" x14ac:dyDescent="0.2">
      <c r="A77" s="19"/>
      <c r="B77" s="13"/>
      <c r="C77" s="13"/>
      <c r="D77" s="13"/>
      <c r="E77" s="16" t="b">
        <v>0</v>
      </c>
      <c r="F77" s="13"/>
      <c r="G77" s="13"/>
      <c r="H77" s="13"/>
      <c r="I77" s="13"/>
    </row>
    <row r="78" spans="1:9" x14ac:dyDescent="0.2">
      <c r="A78" s="19"/>
      <c r="B78" s="13"/>
      <c r="C78" s="13"/>
      <c r="D78" s="13"/>
      <c r="E78" s="16" t="b">
        <v>1</v>
      </c>
      <c r="F78" s="13"/>
      <c r="G78" s="13"/>
      <c r="H78" s="13"/>
      <c r="I78" s="13"/>
    </row>
    <row r="79" spans="1:9" x14ac:dyDescent="0.2">
      <c r="A79" s="19"/>
      <c r="B79" s="13"/>
      <c r="C79" s="13"/>
      <c r="D79" s="13"/>
      <c r="E79" s="15" t="b">
        <v>0</v>
      </c>
      <c r="F79" s="13"/>
      <c r="G79" s="13"/>
      <c r="H79" s="13"/>
      <c r="I79" s="13"/>
    </row>
    <row r="80" spans="1:9" x14ac:dyDescent="0.2">
      <c r="A80" s="19"/>
      <c r="B80" s="13"/>
      <c r="C80" s="13" t="s">
        <v>83</v>
      </c>
      <c r="D80" s="13"/>
      <c r="E80" s="15" t="b" cm="1">
        <f t="array" ref="E80:H80">NOT({1,"a",0,"TRUE"})</f>
        <v>0</v>
      </c>
      <c r="F80" s="15" t="e">
        <v>#VALUE!</v>
      </c>
      <c r="G80" s="15" t="b">
        <v>1</v>
      </c>
      <c r="H80" s="16" t="b">
        <v>0</v>
      </c>
      <c r="I80" s="13"/>
    </row>
    <row r="81" spans="1:9" x14ac:dyDescent="0.2">
      <c r="A81" s="19"/>
      <c r="B81" s="13"/>
      <c r="C81" s="13" t="s">
        <v>84</v>
      </c>
      <c r="D81" s="13"/>
      <c r="E81" s="15" t="b" cm="1">
        <f t="array" ref="E81:G81">NOT({1,#N/A,0})</f>
        <v>0</v>
      </c>
      <c r="F81" s="15" t="e">
        <v>#N/A</v>
      </c>
      <c r="G81" s="16" t="b">
        <v>1</v>
      </c>
      <c r="H81" s="13"/>
      <c r="I81" s="13"/>
    </row>
    <row r="82" spans="1:9" x14ac:dyDescent="0.2">
      <c r="A82" s="19"/>
      <c r="B82" s="13"/>
      <c r="C82" s="13" t="s">
        <v>85</v>
      </c>
      <c r="D82" s="13"/>
      <c r="E82" s="15" t="e" cm="1">
        <f t="array" ref="E82:F82">NOT({"1","0"})</f>
        <v>#VALUE!</v>
      </c>
      <c r="F82" s="15" t="e">
        <v>#VALUE!</v>
      </c>
      <c r="G82" s="13"/>
      <c r="H82" s="13"/>
      <c r="I82" s="13"/>
    </row>
    <row r="83" spans="1:9" x14ac:dyDescent="0.2">
      <c r="A83" s="19"/>
      <c r="B83" s="13"/>
      <c r="C83" s="13" t="s">
        <v>86</v>
      </c>
      <c r="D83" s="13"/>
      <c r="E83" s="15" t="b" cm="1">
        <f t="array" ref="E83:H83">NOT(_xlfn.SEQUENCE(1,4,-1))</f>
        <v>0</v>
      </c>
      <c r="F83" s="15" t="b">
        <v>1</v>
      </c>
      <c r="G83" s="15" t="b">
        <v>0</v>
      </c>
      <c r="H83" s="16" t="b">
        <v>0</v>
      </c>
      <c r="I83" s="13"/>
    </row>
    <row r="84" spans="1:9" x14ac:dyDescent="0.2">
      <c r="A84" s="19"/>
      <c r="B84" s="13"/>
      <c r="C84" s="13" t="s">
        <v>87</v>
      </c>
      <c r="D84" s="13"/>
      <c r="E84" s="15" t="b" cm="1">
        <f t="array" ref="E84:G84">NOT(NOT({0,3,-1}))</f>
        <v>0</v>
      </c>
      <c r="F84" s="16" t="b">
        <v>1</v>
      </c>
      <c r="G84" s="16" t="b">
        <v>1</v>
      </c>
      <c r="H84" s="13"/>
      <c r="I84" s="13"/>
    </row>
    <row r="85" spans="1:9" x14ac:dyDescent="0.2">
      <c r="A85" s="19"/>
      <c r="B85" s="13"/>
      <c r="C85" s="13" t="s">
        <v>88</v>
      </c>
      <c r="D85" s="13" cm="1">
        <f t="array" ref="D85:D87">_xlfn.SEQUENCE(3,1,-1)</f>
        <v>-1</v>
      </c>
      <c r="E85" s="16" t="b" cm="1">
        <f t="array" ref="E85:E87">NOT(_xlfn.ANCHORARRAY(D85))</f>
        <v>0</v>
      </c>
      <c r="F85" s="13"/>
      <c r="G85" s="13"/>
      <c r="H85" s="13"/>
      <c r="I85" s="13"/>
    </row>
    <row r="86" spans="1:9" x14ac:dyDescent="0.2">
      <c r="A86" s="19"/>
      <c r="B86" s="13"/>
      <c r="C86" s="13"/>
      <c r="D86" s="13">
        <v>0</v>
      </c>
      <c r="E86" s="16" t="b">
        <v>1</v>
      </c>
      <c r="F86" s="13"/>
      <c r="G86" s="13"/>
      <c r="H86" s="13"/>
      <c r="I86" s="13"/>
    </row>
    <row r="87" spans="1:9" x14ac:dyDescent="0.2">
      <c r="A87" s="19"/>
      <c r="B87" s="13"/>
      <c r="C87" s="13"/>
      <c r="D87" s="13">
        <v>1</v>
      </c>
      <c r="E87" s="16" t="b">
        <v>0</v>
      </c>
      <c r="F87" s="13"/>
      <c r="G87" s="13"/>
      <c r="H87" s="13"/>
      <c r="I87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González-Albo Campillo</dc:creator>
  <cp:lastModifiedBy>Daniel González-Albo Campillo</cp:lastModifiedBy>
  <dcterms:created xsi:type="dcterms:W3CDTF">2026-10-26T14:04:50Z</dcterms:created>
  <dcterms:modified xsi:type="dcterms:W3CDTF">2026-10-26T16:11:16Z</dcterms:modified>
</cp:coreProperties>
</file>