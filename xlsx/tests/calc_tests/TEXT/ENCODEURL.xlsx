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\\wsl$\Ubuntu\home\elsa\IronCalc\xlsx\tests\calc_tests\TEXT\"/>
    </mc:Choice>
  </mc:AlternateContent>
  <xr:revisionPtr revIDLastSave="0" documentId="13_ncr:1_{9167B78E-42AA-4554-BA78-27D469009D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NCODEUR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2" l="1"/>
  <c r="B47" i="2"/>
  <c r="B50" i="2"/>
  <c r="B52" i="2"/>
  <c r="B51" i="2" a="1"/>
  <c r="B49" i="2"/>
  <c r="B46" i="2"/>
  <c r="B45" i="2"/>
  <c r="B44" i="2"/>
  <c r="B43" i="2"/>
  <c r="B42" i="2"/>
  <c r="B41" i="2"/>
  <c r="B40" i="2"/>
  <c r="B39" i="2"/>
  <c r="B3" i="2"/>
  <c r="B4" i="2"/>
  <c r="B5" i="2"/>
  <c r="B6" i="2"/>
  <c r="B7" i="2"/>
  <c r="B8" i="2"/>
  <c r="B9" i="2"/>
  <c r="B10" i="2"/>
  <c r="B11" i="2"/>
  <c r="B12" i="2"/>
  <c r="B18" i="2"/>
  <c r="B19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  <c r="A41" i="2"/>
  <c r="A40" i="2"/>
  <c r="A34" i="2"/>
  <c r="A26" i="2"/>
  <c r="A24" i="2"/>
  <c r="B24" i="2" s="1"/>
  <c r="A23" i="2"/>
  <c r="B23" i="2" s="1"/>
  <c r="A22" i="2"/>
  <c r="B22" i="2" s="1"/>
  <c r="A21" i="2"/>
  <c r="B21" i="2" s="1"/>
  <c r="A20" i="2"/>
  <c r="B20" i="2" s="1"/>
  <c r="A17" i="2"/>
  <c r="B17" i="2" s="1"/>
  <c r="A16" i="2"/>
  <c r="B16" i="2" s="1"/>
  <c r="A15" i="2"/>
  <c r="B15" i="2" s="1"/>
  <c r="A14" i="2"/>
  <c r="B14" i="2" s="1"/>
  <c r="A13" i="2"/>
  <c r="B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<sst xmlns="http://schemas.openxmlformats.org/spreadsheetml/2006/main" count="72" uniqueCount="72">
  <si>
    <t>NOTES</t>
  </si>
  <si>
    <t>100</t>
  </si>
  <si>
    <t>helper</t>
  </si>
  <si>
    <t>Empty string from formula</t>
  </si>
  <si>
    <t>Empty string literal (direct)</t>
  </si>
  <si>
    <t>text</t>
  </si>
  <si>
    <t>ENCODEURL</t>
  </si>
  <si>
    <t>http://contoso.sharepoint.com/Finance/Profit and Loss Statement.xlsx</t>
  </si>
  <si>
    <t>Doc example: URL with spaces</t>
  </si>
  <si>
    <t>hello world</t>
  </si>
  <si>
    <t>Single space -&gt; %20</t>
  </si>
  <si>
    <t>abcxyz</t>
  </si>
  <si>
    <t>Lowercase letters (unreserved, unchanged)</t>
  </si>
  <si>
    <t>ABCXYZ0123456789</t>
  </si>
  <si>
    <t>Uppercase letters and digits (unreserved)</t>
  </si>
  <si>
    <t>!*'()</t>
  </si>
  <si>
    <t>Sub-delimiters sometimes left unescaped</t>
  </si>
  <si>
    <t>;:@&amp;=+$,/?#[]</t>
  </si>
  <si>
    <t>Reserved / gen-delimiters</t>
  </si>
  <si>
    <t>%</t>
  </si>
  <si>
    <t>Percent sign</t>
  </si>
  <si>
    <t>a%20b</t>
  </si>
  <si>
    <t>Already-encoded text (double encoding)</t>
  </si>
  <si>
    <t>a+b</t>
  </si>
  <si>
    <t>Plus sign (not treated as space)</t>
  </si>
  <si>
    <t>a  b</t>
  </si>
  <si>
    <t>Consecutive spaces</t>
  </si>
  <si>
    <t xml:space="preserve"> x </t>
  </si>
  <si>
    <t>Leading/trailing spaces</t>
  </si>
  <si>
    <t>Tab character</t>
  </si>
  <si>
    <t>Line feed</t>
  </si>
  <si>
    <t>CR+LF</t>
  </si>
  <si>
    <t>Control character</t>
  </si>
  <si>
    <t>Double quote</t>
  </si>
  <si>
    <t>&lt;&gt;</t>
  </si>
  <si>
    <t>Angle brackets</t>
  </si>
  <si>
    <t>\|^`{}</t>
  </si>
  <si>
    <t>Unsafe ASCII characters</t>
  </si>
  <si>
    <t>Accented Latin (é) - 2-byte UTF-8</t>
  </si>
  <si>
    <t>Mixed ASCII and non-ASCII (über)</t>
  </si>
  <si>
    <t>Euro sign - 3-byte UTF-8</t>
  </si>
  <si>
    <t>CJK characters (日本)</t>
  </si>
  <si>
    <t>Emoji - 4-byte UTF-8 (surrogate pair)</t>
  </si>
  <si>
    <t>https://example.com/search?q=a b&amp;lang=en</t>
  </si>
  <si>
    <t>Full URL with query string</t>
  </si>
  <si>
    <t>Empty cell (cell ref)</t>
  </si>
  <si>
    <t>Integer number</t>
  </si>
  <si>
    <t>Decimal number</t>
  </si>
  <si>
    <t>Negative number</t>
  </si>
  <si>
    <t>Zero</t>
  </si>
  <si>
    <t>Large number (scientific text conversion)</t>
  </si>
  <si>
    <t>Small number (scientific text conversion)</t>
  </si>
  <si>
    <t>Repeating decimal (15-digit precision)</t>
  </si>
  <si>
    <t>Boolean TRUE (cell ref)</t>
  </si>
  <si>
    <t>Boolean FALSE (cell ref)</t>
  </si>
  <si>
    <t>Date (uses serial, not display)</t>
  </si>
  <si>
    <t>Percentage-formatted number (uses value)</t>
  </si>
  <si>
    <t>Numeric text string</t>
  </si>
  <si>
    <t>Error propagation (#DIV/0!)</t>
  </si>
  <si>
    <t>Error propagation (#N/A)</t>
  </si>
  <si>
    <t>Text literal (direct)</t>
  </si>
  <si>
    <t>Number literal (direct)</t>
  </si>
  <si>
    <t>Boolean literal (direct)</t>
  </si>
  <si>
    <t>Concatenated expression (direct)</t>
  </si>
  <si>
    <t>Nested ENCODEURL (double encoding)</t>
  </si>
  <si>
    <t>Max-length input, no expansion</t>
  </si>
  <si>
    <t>Output just under 32,767 chars (32,766)</t>
  </si>
  <si>
    <t>Output exceeds 32,767 chars</t>
  </si>
  <si>
    <t>Range input (array evaluation)</t>
  </si>
  <si>
    <t>Implicit intersection</t>
  </si>
  <si>
    <t>a b/c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</si>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</sst>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4" xfId="0" applyFont="1" applyBorder="1"/>
    <xf numFmtId="11" fontId="1" fillId="0" borderId="4" xfId="0" applyNumberFormat="1" applyFont="1" applyBorder="1"/>
    <xf numFmtId="164" fontId="1" fillId="0" borderId="4" xfId="0" applyNumberFormat="1" applyFont="1" applyBorder="1"/>
    <xf numFmtId="9" fontId="1" fillId="0" borderId="4" xfId="0" applyNumberFormat="1" applyFont="1" applyBorder="1"/>
    <xf numFmtId="49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6CBA50-DD66-45A9-B3AF-EC40E55D40F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0fdb50-7e1d-498e-af3c-0d138bb820b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50EF-5E2D-EF45-9F06-93CFDF3000CF}">
  <dimension ref="A1:D52"/>
  <sheetViews>
    <sheetView tabSelected="1" workbookViewId="0">
      <pane ySplit="1" topLeftCell="A2" activePane="bottomLeft" state="frozen"/>
      <selection pane="bottomLeft" activeCell="A6" sqref="A6"/>
    </sheetView>
  </sheetViews>
  <sheetFormatPr defaultColWidth="10.6640625" defaultRowHeight="14.25" x14ac:dyDescent="0.45"/>
  <cols>
    <col min="1" max="3" width="43.33203125" customWidth="1"/>
  </cols>
  <sheetData>
    <row r="1" spans="1:4" ht="15.75" x14ac:dyDescent="0.5">
      <c r="A1" s="2" t="s">
        <v>5</v>
      </c>
      <c r="B1" s="3" t="s">
        <v>6</v>
      </c>
      <c r="C1" s="2" t="s">
        <v>0</v>
      </c>
      <c r="D1" s="2" t="s">
        <v>2</v>
      </c>
    </row>
    <row r="2" spans="1:4" x14ac:dyDescent="0.45">
      <c r="A2" s="6" t="s">
        <v>7</v>
      </c>
      <c r="B2" s="4" t="str">
        <f>_xlfn.ENCODEURL(A2)</f>
        <v>http%3A%2F%2Fcontoso.sharepoint.com%2FFinance%2FProfit%20and%20Loss%20Statement.xlsx</v>
      </c>
      <c r="C2" s="1" t="s">
        <v>8</v>
      </c>
      <c r="D2" s="1"/>
    </row>
    <row r="3" spans="1:4" x14ac:dyDescent="0.45">
      <c r="A3" s="6" t="s">
        <v>9</v>
      </c>
      <c r="B3" s="4" t="str">
        <f t="shared" ref="B3:B41" si="0">_xlfn.ENCODEURL(A3)</f>
        <v>hello%20world</v>
      </c>
      <c r="C3" s="1" t="s">
        <v>10</v>
      </c>
      <c r="D3" s="1"/>
    </row>
    <row r="4" spans="1:4" x14ac:dyDescent="0.45">
      <c r="A4" s="6" t="s">
        <v>11</v>
      </c>
      <c r="B4" s="4" t="str">
        <f t="shared" si="0"/>
        <v>abcxyz</v>
      </c>
      <c r="C4" s="1" t="s">
        <v>12</v>
      </c>
      <c r="D4" s="1"/>
    </row>
    <row r="5" spans="1:4" x14ac:dyDescent="0.45">
      <c r="A5" s="6" t="s">
        <v>13</v>
      </c>
      <c r="B5" s="4" t="str">
        <f t="shared" si="0"/>
        <v>ABCXYZ0123456789</v>
      </c>
      <c r="C5" s="1" t="s">
        <v>14</v>
      </c>
      <c r="D5" s="1"/>
    </row>
    <row r="6" spans="1:4" x14ac:dyDescent="0.45">
      <c r="A6" s="6" t="s">
        <v>15</v>
      </c>
      <c r="B6" s="4" t="str">
        <f t="shared" si="0"/>
        <v>%21%2A%27%28%29</v>
      </c>
      <c r="C6" s="1" t="s">
        <v>16</v>
      </c>
      <c r="D6" s="1" t="s">
        <v>71</v>
      </c>
    </row>
    <row r="7" spans="1:4" x14ac:dyDescent="0.45">
      <c r="A7" s="6" t="s">
        <v>17</v>
      </c>
      <c r="B7" s="4" t="str">
        <f t="shared" si="0"/>
        <v>%3B%3A%40%26%3D%2B%24%2C%2F%3F%23%5B%5D</v>
      </c>
      <c r="C7" s="1" t="s">
        <v>18</v>
      </c>
      <c r="D7" s="1"/>
    </row>
    <row r="8" spans="1:4" x14ac:dyDescent="0.45">
      <c r="A8" s="6" t="s">
        <v>19</v>
      </c>
      <c r="B8" s="4" t="str">
        <f t="shared" si="0"/>
        <v>%25</v>
      </c>
      <c r="C8" s="1" t="s">
        <v>20</v>
      </c>
      <c r="D8" s="1"/>
    </row>
    <row r="9" spans="1:4" x14ac:dyDescent="0.45">
      <c r="A9" s="6" t="s">
        <v>21</v>
      </c>
      <c r="B9" s="4" t="str">
        <f t="shared" si="0"/>
        <v>a%2520b</v>
      </c>
      <c r="C9" s="1" t="s">
        <v>22</v>
      </c>
      <c r="D9" s="1"/>
    </row>
    <row r="10" spans="1:4" x14ac:dyDescent="0.45">
      <c r="A10" s="6" t="s">
        <v>23</v>
      </c>
      <c r="B10" s="4" t="str">
        <f t="shared" si="0"/>
        <v>a%2Bb</v>
      </c>
      <c r="C10" s="1" t="s">
        <v>24</v>
      </c>
      <c r="D10" s="1"/>
    </row>
    <row r="11" spans="1:4" x14ac:dyDescent="0.45">
      <c r="A11" s="6" t="s">
        <v>25</v>
      </c>
      <c r="B11" s="4" t="str">
        <f t="shared" si="0"/>
        <v>a%20%20b</v>
      </c>
      <c r="C11" s="1" t="s">
        <v>26</v>
      </c>
      <c r="D11" s="1"/>
    </row>
    <row r="12" spans="1:4" x14ac:dyDescent="0.45">
      <c r="A12" s="6" t="s">
        <v>27</v>
      </c>
      <c r="B12" s="4" t="str">
        <f t="shared" si="0"/>
        <v>%20x%20</v>
      </c>
      <c r="C12" s="1" t="s">
        <v>28</v>
      </c>
      <c r="D12" s="1"/>
    </row>
    <row r="13" spans="1:4" x14ac:dyDescent="0.45">
      <c r="A13" s="6" t="str">
        <f>"a"&amp;CHAR(9)&amp;"b"</f>
        <v>a	b</v>
      </c>
      <c r="B13" s="4" t="str">
        <f t="shared" si="0"/>
        <v>a%09b</v>
      </c>
      <c r="C13" s="1" t="s">
        <v>29</v>
      </c>
      <c r="D13" s="1"/>
    </row>
    <row r="14" spans="1:4" x14ac:dyDescent="0.45">
      <c r="A14" s="6" t="str">
        <f>"a"&amp;CHAR(10)&amp;"b"</f>
        <v>a
b</v>
      </c>
      <c r="B14" s="4" t="str">
        <f t="shared" si="0"/>
        <v>a%0Ab</v>
      </c>
      <c r="C14" s="1" t="s">
        <v>30</v>
      </c>
      <c r="D14" s="1"/>
    </row>
    <row r="15" spans="1:4" x14ac:dyDescent="0.45">
      <c r="A15" s="6" t="str">
        <f>"a"&amp;CHAR(13)&amp;CHAR(10)&amp;"b"</f>
        <v>a_x000D_
b</v>
      </c>
      <c r="B15" s="4" t="str">
        <f t="shared" si="0"/>
        <v>a%0D%0Ab</v>
      </c>
      <c r="C15" s="1" t="s">
        <v>31</v>
      </c>
      <c r="D15" s="1"/>
    </row>
    <row r="16" spans="1:4" x14ac:dyDescent="0.45">
      <c r="A16" s="6" t="str">
        <f>CHAR(1)</f>
        <v>_x0001_</v>
      </c>
      <c r="B16" s="4" t="str">
        <f t="shared" si="0"/>
        <v>%01</v>
      </c>
      <c r="C16" s="1" t="s">
        <v>32</v>
      </c>
      <c r="D16" s="1"/>
    </row>
    <row r="17" spans="1:4" x14ac:dyDescent="0.45">
      <c r="A17" s="6" t="str">
        <f>CHAR(34)</f>
        <v>"</v>
      </c>
      <c r="B17" s="4" t="str">
        <f t="shared" si="0"/>
        <v>%22</v>
      </c>
      <c r="C17" s="1" t="s">
        <v>33</v>
      </c>
      <c r="D17" s="1"/>
    </row>
    <row r="18" spans="1:4" x14ac:dyDescent="0.45">
      <c r="A18" s="6" t="s">
        <v>34</v>
      </c>
      <c r="B18" s="4" t="str">
        <f t="shared" si="0"/>
        <v>%3C%3E</v>
      </c>
      <c r="C18" s="1" t="s">
        <v>35</v>
      </c>
      <c r="D18" s="1"/>
    </row>
    <row r="19" spans="1:4" x14ac:dyDescent="0.45">
      <c r="A19" s="6" t="s">
        <v>36</v>
      </c>
      <c r="B19" s="4" t="str">
        <f t="shared" si="0"/>
        <v>%5C%7C%5E%60%7B%7D</v>
      </c>
      <c r="C19" s="1" t="s">
        <v>37</v>
      </c>
      <c r="D19" s="1"/>
    </row>
    <row r="20" spans="1:4" x14ac:dyDescent="0.45">
      <c r="A20" s="6" t="str">
        <f>_xlfn.UNICHAR(233)</f>
        <v>é</v>
      </c>
      <c r="B20" s="4" t="str">
        <f t="shared" si="0"/>
        <v>%C3%A9</v>
      </c>
      <c r="C20" s="1" t="s">
        <v>38</v>
      </c>
      <c r="D20" s="1"/>
    </row>
    <row r="21" spans="1:4" x14ac:dyDescent="0.45">
      <c r="A21" s="6" t="str">
        <f>_xlfn.UNICHAR(252)&amp;"ber"</f>
        <v>über</v>
      </c>
      <c r="B21" s="4" t="str">
        <f t="shared" si="0"/>
        <v>%C3%BCber</v>
      </c>
      <c r="C21" s="1" t="s">
        <v>39</v>
      </c>
      <c r="D21" s="1"/>
    </row>
    <row r="22" spans="1:4" x14ac:dyDescent="0.45">
      <c r="A22" s="6" t="str">
        <f>_xlfn.UNICHAR(8364)</f>
        <v>€</v>
      </c>
      <c r="B22" s="4" t="str">
        <f t="shared" si="0"/>
        <v>%E2%82%AC</v>
      </c>
      <c r="C22" s="1" t="s">
        <v>40</v>
      </c>
      <c r="D22" s="1"/>
    </row>
    <row r="23" spans="1:4" x14ac:dyDescent="0.45">
      <c r="A23" s="6" t="str">
        <f>_xlfn.UNICHAR(26085)&amp;_xlfn.UNICHAR(26412)</f>
        <v>日本</v>
      </c>
      <c r="B23" s="4" t="str">
        <f t="shared" si="0"/>
        <v>%E6%97%A5%E6%9C%AC</v>
      </c>
      <c r="C23" s="1" t="s">
        <v>41</v>
      </c>
      <c r="D23" s="1"/>
    </row>
    <row r="24" spans="1:4" x14ac:dyDescent="0.45">
      <c r="A24" s="6" t="str">
        <f>_xlfn.UNICHAR(128512)</f>
        <v>😀</v>
      </c>
      <c r="B24" s="4" t="str">
        <f t="shared" si="0"/>
        <v>%F0%9F%98%80</v>
      </c>
      <c r="C24" s="1" t="s">
        <v>42</v>
      </c>
      <c r="D24" s="1"/>
    </row>
    <row r="25" spans="1:4" x14ac:dyDescent="0.45">
      <c r="A25" s="6" t="s">
        <v>43</v>
      </c>
      <c r="B25" s="4" t="str">
        <f t="shared" si="0"/>
        <v>https%3A%2F%2Fexample.com%2Fsearch%3Fq%3Da%20b%26lang%3Den</v>
      </c>
      <c r="C25" s="1" t="s">
        <v>44</v>
      </c>
      <c r="D25" s="1"/>
    </row>
    <row r="26" spans="1:4" x14ac:dyDescent="0.45">
      <c r="A26" s="6" t="str">
        <f>""</f>
        <v/>
      </c>
      <c r="B26" s="4" t="str">
        <f t="shared" si="0"/>
        <v/>
      </c>
      <c r="C26" s="1" t="s">
        <v>3</v>
      </c>
      <c r="D26" s="1"/>
    </row>
    <row r="27" spans="1:4" x14ac:dyDescent="0.45">
      <c r="A27" s="6"/>
      <c r="B27" s="4" t="str">
        <f t="shared" si="0"/>
        <v/>
      </c>
      <c r="C27" s="1" t="s">
        <v>45</v>
      </c>
      <c r="D27" s="1"/>
    </row>
    <row r="28" spans="1:4" x14ac:dyDescent="0.45">
      <c r="A28" s="6">
        <v>123</v>
      </c>
      <c r="B28" s="4" t="str">
        <f t="shared" si="0"/>
        <v>123</v>
      </c>
      <c r="C28" s="1" t="s">
        <v>46</v>
      </c>
      <c r="D28" s="1"/>
    </row>
    <row r="29" spans="1:4" x14ac:dyDescent="0.45">
      <c r="A29" s="6">
        <v>3.14</v>
      </c>
      <c r="B29" s="4" t="str">
        <f t="shared" si="0"/>
        <v>3.14</v>
      </c>
      <c r="C29" s="1" t="s">
        <v>47</v>
      </c>
      <c r="D29" s="1"/>
    </row>
    <row r="30" spans="1:4" x14ac:dyDescent="0.45">
      <c r="A30" s="6">
        <v>-5</v>
      </c>
      <c r="B30" s="4" t="str">
        <f t="shared" si="0"/>
        <v>-5</v>
      </c>
      <c r="C30" s="1" t="s">
        <v>48</v>
      </c>
      <c r="D30" s="1"/>
    </row>
    <row r="31" spans="1:4" x14ac:dyDescent="0.45">
      <c r="A31" s="6">
        <v>0</v>
      </c>
      <c r="B31" s="4" t="str">
        <f t="shared" si="0"/>
        <v>0</v>
      </c>
      <c r="C31" s="1" t="s">
        <v>49</v>
      </c>
      <c r="D31" s="1"/>
    </row>
    <row r="32" spans="1:4" x14ac:dyDescent="0.45">
      <c r="A32" s="7">
        <v>1E+20</v>
      </c>
      <c r="B32" s="4" t="str">
        <f t="shared" si="0"/>
        <v>1E%2B20</v>
      </c>
      <c r="C32" s="1" t="s">
        <v>50</v>
      </c>
      <c r="D32" s="1"/>
    </row>
    <row r="33" spans="1:4" x14ac:dyDescent="0.45">
      <c r="A33" s="7">
        <v>9.9999999999999995E-8</v>
      </c>
      <c r="B33" s="4" t="str">
        <f t="shared" si="0"/>
        <v>0.0000001</v>
      </c>
      <c r="C33" s="1" t="s">
        <v>51</v>
      </c>
      <c r="D33" s="1"/>
    </row>
    <row r="34" spans="1:4" x14ac:dyDescent="0.45">
      <c r="A34" s="6">
        <f>1/3</f>
        <v>0.33333333333333331</v>
      </c>
      <c r="B34" s="4" t="str">
        <f t="shared" si="0"/>
        <v>0.333333333333333</v>
      </c>
      <c r="C34" s="1" t="s">
        <v>52</v>
      </c>
      <c r="D34" s="1"/>
    </row>
    <row r="35" spans="1:4" x14ac:dyDescent="0.45">
      <c r="A35" s="6" t="b">
        <v>1</v>
      </c>
      <c r="B35" s="4" t="str">
        <f t="shared" si="0"/>
        <v>TRUE</v>
      </c>
      <c r="C35" s="1" t="s">
        <v>53</v>
      </c>
      <c r="D35" s="1"/>
    </row>
    <row r="36" spans="1:4" x14ac:dyDescent="0.45">
      <c r="A36" s="6" t="b">
        <v>0</v>
      </c>
      <c r="B36" s="4" t="str">
        <f t="shared" si="0"/>
        <v>FALSE</v>
      </c>
      <c r="C36" s="1" t="s">
        <v>54</v>
      </c>
      <c r="D36" s="1"/>
    </row>
    <row r="37" spans="1:4" x14ac:dyDescent="0.45">
      <c r="A37" s="8">
        <v>46040</v>
      </c>
      <c r="B37" s="4" t="str">
        <f t="shared" si="0"/>
        <v>46040</v>
      </c>
      <c r="C37" s="1" t="s">
        <v>55</v>
      </c>
      <c r="D37" s="1"/>
    </row>
    <row r="38" spans="1:4" x14ac:dyDescent="0.45">
      <c r="A38" s="9">
        <v>0.5</v>
      </c>
      <c r="B38" s="4" t="str">
        <f t="shared" si="0"/>
        <v>0.5</v>
      </c>
      <c r="C38" s="1" t="s">
        <v>56</v>
      </c>
      <c r="D38" s="1"/>
    </row>
    <row r="39" spans="1:4" x14ac:dyDescent="0.45">
      <c r="A39" s="10" t="s">
        <v>1</v>
      </c>
      <c r="B39" s="4" t="str">
        <f t="shared" si="0"/>
        <v>100</v>
      </c>
      <c r="C39" s="1" t="s">
        <v>57</v>
      </c>
      <c r="D39" s="1"/>
    </row>
    <row r="40" spans="1:4" x14ac:dyDescent="0.45">
      <c r="A40" s="6" t="e">
        <f>1/0</f>
        <v>#DIV/0!</v>
      </c>
      <c r="B40" s="4" t="e">
        <f t="shared" si="0"/>
        <v>#DIV/0!</v>
      </c>
      <c r="C40" s="1" t="s">
        <v>58</v>
      </c>
      <c r="D40" s="1"/>
    </row>
    <row r="41" spans="1:4" x14ac:dyDescent="0.45">
      <c r="A41" s="6" t="e">
        <f>NA()</f>
        <v>#N/A</v>
      </c>
      <c r="B41" s="4" t="e">
        <f t="shared" si="0"/>
        <v>#N/A</v>
      </c>
      <c r="C41" s="1" t="s">
        <v>59</v>
      </c>
      <c r="D41" s="1"/>
    </row>
    <row r="42" spans="1:4" x14ac:dyDescent="0.45">
      <c r="A42" s="6"/>
      <c r="B42" s="5" t="str">
        <f>_xlfn.ENCODEURL("a b")</f>
        <v>a%20b</v>
      </c>
      <c r="C42" s="1" t="s">
        <v>60</v>
      </c>
      <c r="D42" s="1"/>
    </row>
    <row r="43" spans="1:4" x14ac:dyDescent="0.45">
      <c r="A43" s="6"/>
      <c r="B43" s="5" t="str">
        <f>_xlfn.ENCODEURL(1.5)</f>
        <v>1.5</v>
      </c>
      <c r="C43" s="1" t="s">
        <v>61</v>
      </c>
      <c r="D43" s="1"/>
    </row>
    <row r="44" spans="1:4" x14ac:dyDescent="0.45">
      <c r="A44" s="6"/>
      <c r="B44" s="5" t="str">
        <f>_xlfn.ENCODEURL(TRUE)</f>
        <v>TRUE</v>
      </c>
      <c r="C44" s="1" t="s">
        <v>62</v>
      </c>
      <c r="D44" s="1"/>
    </row>
    <row r="45" spans="1:4" x14ac:dyDescent="0.45">
      <c r="A45" s="6"/>
      <c r="B45" s="5" t="str">
        <f>_xlfn.ENCODEURL("")</f>
        <v/>
      </c>
      <c r="C45" s="1" t="s">
        <v>4</v>
      </c>
      <c r="D45" s="1"/>
    </row>
    <row r="46" spans="1:4" x14ac:dyDescent="0.45">
      <c r="A46" s="6"/>
      <c r="B46" s="5" t="str">
        <f>_xlfn.ENCODEURL("x"&amp;"y z")</f>
        <v>xy%20z</v>
      </c>
      <c r="C46" s="1" t="s">
        <v>63</v>
      </c>
      <c r="D46" s="1"/>
    </row>
    <row r="47" spans="1:4" x14ac:dyDescent="0.45">
      <c r="A47" s="6"/>
      <c r="B47" s="5" t="str">
        <f>_xlfn.ENCODEURL(_xlfn.ENCODEURL("a b"))</f>
        <v>a%2520b</v>
      </c>
      <c r="C47" s="1" t="s">
        <v>64</v>
      </c>
      <c r="D47" s="1"/>
    </row>
    <row r="48" spans="1:4" x14ac:dyDescent="0.45">
      <c r="A48" s="6"/>
      <c r="B48" s="5" t="e">
        <f>LEN(_xlfn.ENCODEURL(REPT("a",32767)))</f>
        <v>#VALUE!</v>
      </c>
      <c r="C48" s="1" t="s">
        <v>65</v>
      </c>
      <c r="D48" s="1"/>
    </row>
    <row r="49" spans="1:4" x14ac:dyDescent="0.45">
      <c r="A49" s="6"/>
      <c r="B49" s="5">
        <f>LEN(_xlfn.ENCODEURL(REPT(" ",10922)))</f>
        <v>32766</v>
      </c>
      <c r="C49" s="1" t="s">
        <v>66</v>
      </c>
      <c r="D49" s="1"/>
    </row>
    <row r="50" spans="1:4" x14ac:dyDescent="0.45">
      <c r="A50" s="6"/>
      <c r="B50" s="5" t="e">
        <f>_xlfn.ENCODEURL(REPT(" ",10923))</f>
        <v>#VALUE!</v>
      </c>
      <c r="C50" s="1" t="s">
        <v>67</v>
      </c>
      <c r="D50" s="1"/>
    </row>
    <row r="51" spans="1:4" x14ac:dyDescent="0.45">
      <c r="A51" s="6"/>
      <c r="B51" s="5" t="str" cm="1">
        <f t="array" ref="B51">INDEX(_xlfn.ENCODEURL(A2:A4),2)</f>
        <v>hello%20world</v>
      </c>
      <c r="C51" s="1" t="s">
        <v>68</v>
      </c>
      <c r="D51" s="1"/>
    </row>
    <row r="52" spans="1:4" x14ac:dyDescent="0.45">
      <c r="A52" s="6"/>
      <c r="B52" s="5" t="str">
        <f>_xlfn.ENCODEURL(D:D)</f>
        <v>a%20b%2Fc</v>
      </c>
      <c r="C52" s="1" t="s">
        <v>69</v>
      </c>
      <c r="D52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ENCODEURL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Minsut</cp:lastModifiedBy>
  <dcterms:created xsi:type="dcterms:W3CDTF">2026-05-19T13:08:35Z</dcterms:created>
  <dcterms:modified xsi:type="dcterms:W3CDTF">2026-10-29T18:57:53Z</dcterms:modified>
</cp:coreProperties>
</file>