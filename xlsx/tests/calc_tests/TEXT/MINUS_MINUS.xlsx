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IronCalc/IronCalc/xlsx/tests/calc_tests/TEXT/"/>
    </mc:Choice>
  </mc:AlternateContent>
  <xr:revisionPtr revIDLastSave="0" documentId="8_{6943D3BE-6CF4-E84C-90CC-00644094111D}" xr6:coauthVersionLast="47" xr6:coauthVersionMax="47" xr10:uidLastSave="{00000000-0000-0000-0000-000000000000}"/>
  <bookViews>
    <workbookView xWindow="14260" yWindow="-20980" windowWidth="19220" windowHeight="20980" xr2:uid="{0D4B0430-A223-9F43-B634-144A05BCA9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8" i="1" l="1"/>
  <c r="A57" i="1"/>
  <c r="A56" i="1"/>
  <c r="A55" i="1"/>
  <c r="A54" i="1"/>
  <c r="A53" i="1"/>
  <c r="A52" i="1"/>
  <c r="A51" i="1"/>
  <c r="A50" i="1"/>
  <c r="C44" i="1" a="1"/>
  <c r="C44" i="1" s="1"/>
  <c r="A44" i="1" a="1"/>
  <c r="A44" i="1" s="1"/>
  <c r="C39" i="1" a="1"/>
  <c r="C39" i="1" s="1"/>
  <c r="C37" i="1" a="1"/>
  <c r="C37" i="1" s="1"/>
  <c r="C35" i="1" a="1"/>
  <c r="C35" i="1" s="1"/>
  <c r="C33" i="1" a="1"/>
  <c r="C33" i="1" s="1"/>
  <c r="A33" i="1" a="1"/>
  <c r="A33" i="1" s="1"/>
  <c r="J27" i="1" a="1"/>
  <c r="J27" i="1" s="1"/>
  <c r="H27" i="1" a="1"/>
  <c r="H27" i="1" s="1"/>
  <c r="F27" i="1" a="1"/>
  <c r="F27" i="1" s="1"/>
  <c r="D27" i="1" a="1"/>
  <c r="D27" i="1" s="1"/>
  <c r="A27" i="1" a="1"/>
  <c r="A27" i="1" s="1"/>
  <c r="A26" i="1" a="1"/>
  <c r="A26" i="1" s="1"/>
  <c r="A25" i="1" a="1"/>
  <c r="A25" i="1" s="1"/>
  <c r="A24" i="1" a="1"/>
  <c r="A24" i="1" s="1"/>
  <c r="C19" i="1" a="1"/>
  <c r="C19" i="1" s="1"/>
  <c r="A19" i="1" a="1"/>
  <c r="A19" i="1" s="1"/>
  <c r="C14" i="1"/>
  <c r="C13" i="1"/>
  <c r="C12" i="1"/>
  <c r="C11" i="1"/>
  <c r="C10" i="1"/>
  <c r="C9" i="1"/>
  <c r="E4" i="1"/>
  <c r="E3" i="1"/>
  <c r="E2" i="1"/>
  <c r="E1" i="1"/>
  <c r="A15" i="1"/>
  <c r="A14" i="1"/>
  <c r="A13" i="1"/>
  <c r="A12" i="1"/>
  <c r="A11" i="1"/>
  <c r="A10" i="1"/>
  <c r="A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<sst xmlns="http://schemas.openxmlformats.org/spreadsheetml/2006/main" count="6" uniqueCount="5">
  <si>
    <t>h</t>
  </si>
  <si>
    <t>e</t>
  </si>
  <si>
    <t>l</t>
  </si>
  <si>
    <t>abc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</si>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</sst>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6126-6593-E041-B449-C931062E10BB}">
  <dimension ref="A1:J58"/>
  <sheetViews>
    <sheetView tabSelected="1" topLeftCell="A11" workbookViewId="0">
      <selection activeCell="A59" sqref="A59"/>
    </sheetView>
  </sheetViews>
  <sheetFormatPr baseColWidth="10" defaultRowHeight="16" x14ac:dyDescent="0.2"/>
  <sheetData>
    <row r="1" spans="1:5" x14ac:dyDescent="0.2">
      <c r="A1" t="s">
        <v>0</v>
      </c>
      <c r="B1">
        <v>1</v>
      </c>
      <c r="C1" s="1" t="s">
        <v>4</v>
      </c>
      <c r="E1">
        <f>--C1</f>
        <v>3</v>
      </c>
    </row>
    <row r="2" spans="1:5" x14ac:dyDescent="0.2">
      <c r="A2" t="s">
        <v>1</v>
      </c>
      <c r="B2">
        <v>2</v>
      </c>
      <c r="C2" t="b">
        <v>1</v>
      </c>
      <c r="E2">
        <f>--C2</f>
        <v>1</v>
      </c>
    </row>
    <row r="3" spans="1:5" x14ac:dyDescent="0.2">
      <c r="A3" t="s">
        <v>0</v>
      </c>
      <c r="B3">
        <v>3</v>
      </c>
      <c r="E3">
        <f>--C3</f>
        <v>0</v>
      </c>
    </row>
    <row r="4" spans="1:5" x14ac:dyDescent="0.2">
      <c r="A4" t="s">
        <v>2</v>
      </c>
      <c r="B4">
        <v>4</v>
      </c>
      <c r="C4" t="s">
        <v>3</v>
      </c>
      <c r="E4" t="e">
        <f>--C4</f>
        <v>#VALUE!</v>
      </c>
    </row>
    <row r="9" spans="1:5" x14ac:dyDescent="0.2">
      <c r="A9">
        <f>--TRUE</f>
        <v>1</v>
      </c>
      <c r="C9">
        <f>--"50%"</f>
        <v>0.5</v>
      </c>
    </row>
    <row r="10" spans="1:5" x14ac:dyDescent="0.2">
      <c r="A10">
        <f>--FALSE</f>
        <v>0</v>
      </c>
      <c r="C10">
        <f>--"$5"</f>
        <v>5</v>
      </c>
    </row>
    <row r="11" spans="1:5" x14ac:dyDescent="0.2">
      <c r="A11">
        <f>--"3"</f>
        <v>3</v>
      </c>
      <c r="C11">
        <f>--"1e3"</f>
        <v>1000</v>
      </c>
    </row>
    <row r="12" spans="1:5" x14ac:dyDescent="0.2">
      <c r="A12" t="b">
        <f>ISNUMBER(--"3")</f>
        <v>1</v>
      </c>
      <c r="C12">
        <f>--"12:00"</f>
        <v>0.5</v>
      </c>
    </row>
    <row r="13" spans="1:5" x14ac:dyDescent="0.2">
      <c r="A13">
        <f>TYPE(--TRUE)</f>
        <v>1</v>
      </c>
      <c r="C13">
        <f>--"2020-01-01"</f>
        <v>43831</v>
      </c>
    </row>
    <row r="14" spans="1:5" x14ac:dyDescent="0.2">
      <c r="A14" t="e">
        <f>--"abc"</f>
        <v>#VALUE!</v>
      </c>
      <c r="C14" t="e">
        <f>--NA()</f>
        <v>#N/A</v>
      </c>
    </row>
    <row r="15" spans="1:5" x14ac:dyDescent="0.2">
      <c r="A15" t="e">
        <f>--""</f>
        <v>#VALUE!</v>
      </c>
    </row>
    <row r="19" spans="1:10" x14ac:dyDescent="0.2">
      <c r="A19" cm="1">
        <f t="array" ref="A19:A22">--(A1:A4="h")</f>
        <v>1</v>
      </c>
      <c r="C19" cm="1">
        <f t="array" ref="C19">SUM(--(A1:A4="h"))</f>
        <v>2</v>
      </c>
    </row>
    <row r="20" spans="1:10" x14ac:dyDescent="0.2">
      <c r="A20">
        <v>0</v>
      </c>
    </row>
    <row r="21" spans="1:10" x14ac:dyDescent="0.2">
      <c r="A21">
        <v>1</v>
      </c>
    </row>
    <row r="22" spans="1:10" x14ac:dyDescent="0.2">
      <c r="A22">
        <v>0</v>
      </c>
    </row>
    <row r="24" spans="1:10" x14ac:dyDescent="0.2">
      <c r="A24" cm="1">
        <f t="array" ref="A24">SUMPRODUCT(--(A1:A4="h"), B1:B4)</f>
        <v>4</v>
      </c>
    </row>
    <row r="25" spans="1:10" x14ac:dyDescent="0.2">
      <c r="A25" cm="1">
        <f t="array" ref="A25">SUMPRODUCT(--(A1:A4="h"), --(B1:B4&gt;1))</f>
        <v>1</v>
      </c>
    </row>
    <row r="26" spans="1:10" x14ac:dyDescent="0.2">
      <c r="A26" cm="1">
        <f t="array" ref="A26:B26">--{TRUE,FALSE}</f>
        <v>1</v>
      </c>
      <c r="B26">
        <v>0</v>
      </c>
    </row>
    <row r="27" spans="1:10" x14ac:dyDescent="0.2">
      <c r="A27" cm="1">
        <f t="array" ref="A27:A30">--C1:C4</f>
        <v>3</v>
      </c>
      <c r="D27" cm="1">
        <f t="array" ref="D27:D30">--EXACT(A1:A4, "h")</f>
        <v>1</v>
      </c>
      <c r="F27" cm="1">
        <f t="array" ref="F27:F30">_xlfn.LAMBDA(_xlpm.x, --_xlpm.x)(A1:A4="h")</f>
        <v>1</v>
      </c>
      <c r="H27" cm="1">
        <f t="array" ref="H27:H30">-B1:B4</f>
        <v>-1</v>
      </c>
      <c r="J27" cm="1">
        <f t="array" ref="J27">SUM(-B1:B4)</f>
        <v>-10</v>
      </c>
    </row>
    <row r="28" spans="1:10" x14ac:dyDescent="0.2">
      <c r="A28">
        <v>1</v>
      </c>
      <c r="D28">
        <v>0</v>
      </c>
      <c r="F28">
        <v>0</v>
      </c>
      <c r="H28">
        <v>-2</v>
      </c>
    </row>
    <row r="29" spans="1:10" x14ac:dyDescent="0.2">
      <c r="A29">
        <v>0</v>
      </c>
      <c r="D29">
        <v>1</v>
      </c>
      <c r="F29">
        <v>1</v>
      </c>
      <c r="H29">
        <v>-3</v>
      </c>
    </row>
    <row r="30" spans="1:10" x14ac:dyDescent="0.2">
      <c r="A30" t="e">
        <v>#VALUE!</v>
      </c>
      <c r="D30">
        <v>0</v>
      </c>
      <c r="F30">
        <v>0</v>
      </c>
      <c r="H30">
        <v>-4</v>
      </c>
    </row>
    <row r="33" spans="1:5" x14ac:dyDescent="0.2">
      <c r="A33" cm="1">
        <f t="array" ref="A33:A36">-(B1:B4*2)</f>
        <v>-2</v>
      </c>
      <c r="C33" cm="1">
        <f t="array" ref="C33:E33">-{1,2,3}</f>
        <v>-1</v>
      </c>
      <c r="D33">
        <v>-2</v>
      </c>
      <c r="E33">
        <v>-3</v>
      </c>
    </row>
    <row r="34" spans="1:5" x14ac:dyDescent="0.2">
      <c r="A34">
        <v>-4</v>
      </c>
    </row>
    <row r="35" spans="1:5" x14ac:dyDescent="0.2">
      <c r="A35">
        <v>-6</v>
      </c>
      <c r="C35" cm="1">
        <f t="array" ref="C35:E35">-{1,"a",TRUE}</f>
        <v>-1</v>
      </c>
      <c r="D35" t="e">
        <v>#VALUE!</v>
      </c>
      <c r="E35">
        <v>-1</v>
      </c>
    </row>
    <row r="36" spans="1:5" x14ac:dyDescent="0.2">
      <c r="A36">
        <v>-8</v>
      </c>
    </row>
    <row r="37" spans="1:5" x14ac:dyDescent="0.2">
      <c r="C37" cm="1">
        <f t="array" ref="C37:D37">-{1,#N/A}</f>
        <v>-1</v>
      </c>
      <c r="D37" t="e">
        <v>#N/A</v>
      </c>
    </row>
    <row r="39" spans="1:5" x14ac:dyDescent="0.2">
      <c r="C39" cm="1">
        <f t="array" ref="C39:C41">-_xlfn.SEQUENCE(3)</f>
        <v>-1</v>
      </c>
    </row>
    <row r="40" spans="1:5" x14ac:dyDescent="0.2">
      <c r="C40">
        <v>-2</v>
      </c>
    </row>
    <row r="41" spans="1:5" x14ac:dyDescent="0.2">
      <c r="C41">
        <v>-3</v>
      </c>
    </row>
    <row r="44" spans="1:5" x14ac:dyDescent="0.2">
      <c r="A44" cm="1">
        <f t="array" ref="A44:A47">B1:B4%</f>
        <v>0.01</v>
      </c>
      <c r="C44" cm="1">
        <f t="array" ref="C44:D44">{10,20}%</f>
        <v>0.1</v>
      </c>
      <c r="D44">
        <v>0.2</v>
      </c>
    </row>
    <row r="45" spans="1:5" x14ac:dyDescent="0.2">
      <c r="A45">
        <v>0.02</v>
      </c>
    </row>
    <row r="46" spans="1:5" x14ac:dyDescent="0.2">
      <c r="A46">
        <v>0.03</v>
      </c>
    </row>
    <row r="47" spans="1:5" x14ac:dyDescent="0.2">
      <c r="A47">
        <v>0.04</v>
      </c>
    </row>
    <row r="50" spans="1:1" x14ac:dyDescent="0.2">
      <c r="A50">
        <f>-TRUE</f>
        <v>-1</v>
      </c>
    </row>
    <row r="51" spans="1:1" x14ac:dyDescent="0.2">
      <c r="A51">
        <f>---TRUE</f>
        <v>-1</v>
      </c>
    </row>
    <row r="52" spans="1:1" x14ac:dyDescent="0.2">
      <c r="A52">
        <f>-"3"</f>
        <v>-3</v>
      </c>
    </row>
    <row r="53" spans="1:1" x14ac:dyDescent="0.2">
      <c r="A53">
        <f>2--3</f>
        <v>5</v>
      </c>
    </row>
    <row r="54" spans="1:1" x14ac:dyDescent="0.2">
      <c r="A54">
        <f>2---3</f>
        <v>-1</v>
      </c>
    </row>
    <row r="55" spans="1:1" x14ac:dyDescent="0.2">
      <c r="A55">
        <f>-2^2</f>
        <v>4</v>
      </c>
    </row>
    <row r="56" spans="1:1" x14ac:dyDescent="0.2">
      <c r="A56">
        <f>0-2^2</f>
        <v>-4</v>
      </c>
    </row>
    <row r="57" spans="1:1" x14ac:dyDescent="0.2">
      <c r="A57" t="b">
        <f>+TRUE</f>
        <v>1</v>
      </c>
    </row>
    <row r="58" spans="1:1" x14ac:dyDescent="0.2">
      <c r="A58">
        <f>TYPE(+"3")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Hatcher</dc:creator>
  <cp:lastModifiedBy>Nicolas Hatcher</cp:lastModifiedBy>
  <dcterms:created xsi:type="dcterms:W3CDTF">2026-10-02T17:56:17Z</dcterms:created>
  <dcterms:modified xsi:type="dcterms:W3CDTF">2026-10-02T18:20:47Z</dcterms:modified>
</cp:coreProperties>
</file>