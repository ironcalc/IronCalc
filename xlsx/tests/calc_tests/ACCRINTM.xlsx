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<sst xmlns="http://schemas.openxmlformats.org/spreadsheetml/2006/main" count="25" uniqueCount="24">
  <si>
    <t xml:space="preserve">Case</t>
  </si>
  <si>
    <t xml:space="preserve">Formula</t>
  </si>
  <si>
    <t xml:space="preserve">Notes</t>
  </si>
  <si>
    <t xml:space="preserve">Microsoft example</t>
  </si>
  <si>
    <t xml:space="preserve">Canonical MS docs: serial 39539→39614, basis 3 (Actual/365), 75 days</t>
  </si>
  <si>
    <t xml:space="preserve">Default par and basis</t>
  </si>
  <si>
    <t xml:space="preserve">3-arg form, par→1000, basis→0 (US 30/360)</t>
  </si>
  <si>
    <t xml:space="preserve">All bases - basis 0</t>
  </si>
  <si>
    <t xml:space="preserve">US 30/360, leap year 2024</t>
  </si>
  <si>
    <t xml:space="preserve">All bases - basis 1</t>
  </si>
  <si>
    <t xml:space="preserve">Actual/Actual, leap denominator 366</t>
  </si>
  <si>
    <t xml:space="preserve">All bases - basis 2</t>
  </si>
  <si>
    <t xml:space="preserve">Actual/360</t>
  </si>
  <si>
    <t xml:space="preserve">All bases - basis 3</t>
  </si>
  <si>
    <t xml:space="preserve">Actual/365</t>
  </si>
  <si>
    <t xml:space="preserve">All bases - basis 4</t>
  </si>
  <si>
    <t xml:space="preserve">European 30/360</t>
  </si>
  <si>
    <t xml:space="preserve">Basis 0 vs 4 - US 30/360 </t>
  </si>
  <si>
    <t xml:space="preserve">Mar 31 stays under US convention, 76 days</t>
  </si>
  <si>
    <t xml:space="preserve">Basis 0 Feb 28 non-leap</t>
  </si>
  <si>
    <t xml:space="preserve">Leap Feb 28 to Mar 1</t>
  </si>
  <si>
    <t xml:space="preserve">2 actual days Feb 28→29→Mar 1, /366</t>
  </si>
  <si>
    <t xml:space="preserve">Non-leap Feb 28 to Mar 1</t>
  </si>
  <si>
    <t xml:space="preserve">1 actual day Feb 28→Mar 1, /365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</si>
</sst>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79"/>
    <col collapsed="false" customWidth="true" hidden="false" outlineLevel="0" max="2" min="2" style="1" width="17.76"/>
    <col collapsed="false" customWidth="true" hidden="false" outlineLevel="0" max="3" min="3" style="1" width="64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f aca="false">ACCRINTM(39539, 39614, 0.1, 1000, 3)</f>
        <v>20.5479452054795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f aca="false">ACCRINTM(39539, 39614, 0.1)</f>
        <v>20.5555555555556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f aca="false">ACCRINTM(DATE(2024,1,15), DATE(2024,3,15), 0.1, 1000, 0)</f>
        <v>16.6666666666667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n">
        <f aca="false">ACCRINTM(DATE(2024,1,15), DATE(2024,3,15), 0.1, 1000, 1)</f>
        <v>16.3934426229508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n">
        <f aca="false">ACCRINTM(DATE(2024,1,15), DATE(2024,3,15), 0.1, 1000, 2)</f>
        <v>16.6666666666667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n">
        <f aca="false">ACCRINTM(DATE(2024,1,15), DATE(2024,3,15), 0.1, 1000, 3)</f>
        <v>16.4383561643836</v>
      </c>
      <c r="C7" s="1" t="s">
        <v>14</v>
      </c>
    </row>
    <row r="8" customFormat="false" ht="12.8" hidden="false" customHeight="false" outlineLevel="0" collapsed="false">
      <c r="A8" s="1" t="s">
        <v>15</v>
      </c>
      <c r="B8" s="1" t="n">
        <f aca="false">ACCRINTM(DATE(2024,1,15), DATE(2024,3,15), 0.1, 1000, 4)</f>
        <v>16.6666666666667</v>
      </c>
      <c r="C8" s="1" t="s">
        <v>16</v>
      </c>
    </row>
    <row r="9" customFormat="false" ht="12.8" hidden="false" customHeight="false" outlineLevel="0" collapsed="false">
      <c r="A9" s="1" t="s">
        <v>17</v>
      </c>
      <c r="B9" s="1" t="n">
        <f aca="false">ACCRINTM(DATE(2023,1,15), DATE(2023,3,31), 0.1, 1000, 0)</f>
        <v>21.1111111111111</v>
      </c>
      <c r="C9" s="1" t="s">
        <v>18</v>
      </c>
    </row>
    <row r="10" customFormat="false" ht="12.8" hidden="false" customHeight="false" outlineLevel="0" collapsed="false">
      <c r="A10" s="1" t="s">
        <v>19</v>
      </c>
      <c r="B10" s="1" t="n">
        <f aca="false">ACCRINTM(DATE(2023,2,28), DATE(2023,6,15), 0.1, 1000, 0)</f>
        <v>29.1666666666667</v>
      </c>
      <c r="C10" s="1" t="s">
        <v>18</v>
      </c>
    </row>
    <row r="11" customFormat="false" ht="12.8" hidden="false" customHeight="false" outlineLevel="0" collapsed="false">
      <c r="A11" s="1" t="s">
        <v>20</v>
      </c>
      <c r="B11" s="1" t="n">
        <f aca="false">ACCRINTM(DATE(2024,2,28), DATE(2024,3,1), 0.1, 1000, 1)</f>
        <v>0.546448087431694</v>
      </c>
      <c r="C11" s="1" t="s">
        <v>21</v>
      </c>
    </row>
    <row r="12" customFormat="false" ht="12.8" hidden="false" customHeight="false" outlineLevel="0" collapsed="false">
      <c r="A12" s="1" t="s">
        <v>22</v>
      </c>
      <c r="B12" s="1" t="n">
        <f aca="false">ACCRINTM(DATE(2023,2,28), DATE(2023,3,1), 0.1, 1000, 1)</f>
        <v>0.273972602739726</v>
      </c>
      <c r="C12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2026-04-15T23:31:28Z</dcterms:created>
  <dc:creator/>
  <dc:description/>
  <dc:language>en-US</dc:language>
  <cp:lastModifiedBy/>
  <dcterms:modified xsi:type="dcterms:W3CDTF">2026-04-16T11:22:52Z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