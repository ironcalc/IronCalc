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carney/tmp-ironcalc-fixtures/"/>
    </mc:Choice>
  </mc:AlternateContent>
  <xr:revisionPtr revIDLastSave="0" documentId="8_{2F1781FD-289E-7F49-ACB3-2C867FE8CEEF}" xr6:coauthVersionLast="47" xr6:coauthVersionMax="47" xr10:uidLastSave="{00000000-0000-0000-0000-000000000000}"/>
  <bookViews>
    <workbookView xWindow="3260" yWindow="2260" windowWidth="28040" windowHeight="17180" xr2:uid="{E06FDF12-453C-CE48-97AE-51AA0D8D54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<sst xmlns="http://schemas.openxmlformats.org/spreadsheetml/2006/main" count="22" uniqueCount="20">
  <si>
    <t>Approximate lookups skip blanks and type-mismatched entries</t>
  </si>
  <si>
    <t>a</t>
  </si>
  <si>
    <t>b</t>
  </si>
  <si>
    <t>c</t>
  </si>
  <si>
    <t>alpha</t>
  </si>
  <si>
    <t>beta</t>
  </si>
  <si>
    <t>bravo</t>
  </si>
  <si>
    <t>charlie</t>
  </si>
  <si>
    <t>ascending with trailing blanks</t>
  </si>
  <si>
    <t>ascending, exact extent</t>
  </si>
  <si>
    <t>INDEX over the blank-padded range</t>
  </si>
  <si>
    <t>key above every entry</t>
  </si>
  <si>
    <t>key below every entry</t>
  </si>
  <si>
    <t>VLOOKUP over blank-padded table</t>
  </si>
  <si>
    <t>descending with trailing blanks</t>
  </si>
  <si>
    <t>numeric key over mixed vector, above</t>
  </si>
  <si>
    <t>numeric key over mixed vector, inside</t>
  </si>
  <si>
    <t>text key below every text entry</t>
  </si>
  <si>
    <t>text key over mixed vector</t>
  </si>
  <si>
    <t>numeric key, no comparable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</si>
</sst>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403A-74C7-2748-92B9-34446002FAC5}">
  <dimension ref="A1:K15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E1">
        <v>10</v>
      </c>
      <c r="F1">
        <v>10</v>
      </c>
      <c r="G1" t="s">
        <v>1</v>
      </c>
      <c r="H1">
        <v>50</v>
      </c>
      <c r="I1">
        <v>10</v>
      </c>
      <c r="J1">
        <v>10</v>
      </c>
      <c r="K1" t="s">
        <v>4</v>
      </c>
    </row>
    <row r="2" spans="1:11" x14ac:dyDescent="0.2">
      <c r="E2">
        <v>20</v>
      </c>
      <c r="F2">
        <v>20</v>
      </c>
      <c r="G2" t="s">
        <v>2</v>
      </c>
      <c r="H2">
        <v>40</v>
      </c>
      <c r="I2">
        <v>20</v>
      </c>
      <c r="J2">
        <v>20</v>
      </c>
      <c r="K2" t="s">
        <v>5</v>
      </c>
    </row>
    <row r="3" spans="1:11" x14ac:dyDescent="0.2">
      <c r="E3">
        <v>30</v>
      </c>
      <c r="F3">
        <v>30</v>
      </c>
      <c r="G3" t="s">
        <v>3</v>
      </c>
      <c r="H3">
        <v>30</v>
      </c>
      <c r="I3">
        <v>30</v>
      </c>
      <c r="J3" t="s">
        <v>6</v>
      </c>
    </row>
    <row r="4" spans="1:11" x14ac:dyDescent="0.2">
      <c r="A4" t="s">
        <v>8</v>
      </c>
      <c r="B4">
        <f>MATCH(35,E1:E10,1)</f>
        <v>3</v>
      </c>
      <c r="E4">
        <v>40</v>
      </c>
      <c r="H4">
        <v>20</v>
      </c>
      <c r="I4" t="s">
        <v>4</v>
      </c>
      <c r="J4" t="s">
        <v>7</v>
      </c>
    </row>
    <row r="5" spans="1:11" x14ac:dyDescent="0.2">
      <c r="A5" t="s">
        <v>9</v>
      </c>
      <c r="B5">
        <f>MATCH(35,E1:E5,1)</f>
        <v>3</v>
      </c>
      <c r="E5">
        <v>50</v>
      </c>
      <c r="H5">
        <v>10</v>
      </c>
      <c r="I5" t="s">
        <v>5</v>
      </c>
    </row>
    <row r="6" spans="1:11" x14ac:dyDescent="0.2">
      <c r="A6" t="s">
        <v>10</v>
      </c>
      <c r="B6">
        <f>INDEX(E1:E10,MATCH(35,E1:E10,1))</f>
        <v>30</v>
      </c>
    </row>
    <row r="7" spans="1:11" x14ac:dyDescent="0.2">
      <c r="A7" t="s">
        <v>11</v>
      </c>
      <c r="B7">
        <f>MATCH(999,E1:E10,1)</f>
        <v>5</v>
      </c>
    </row>
    <row r="8" spans="1:11" x14ac:dyDescent="0.2">
      <c r="A8" t="s">
        <v>12</v>
      </c>
      <c r="B8" t="e">
        <f>MATCH(5,E1:E10,1)</f>
        <v>#N/A</v>
      </c>
    </row>
    <row r="9" spans="1:11" x14ac:dyDescent="0.2">
      <c r="A9" t="s">
        <v>13</v>
      </c>
      <c r="B9" t="str">
        <f>VLOOKUP(35,F1:G10,2,TRUE)</f>
        <v>c</v>
      </c>
    </row>
    <row r="10" spans="1:11" x14ac:dyDescent="0.2">
      <c r="A10" t="s">
        <v>14</v>
      </c>
      <c r="B10">
        <f>MATCH(35,H1:H10,-1)</f>
        <v>2</v>
      </c>
    </row>
    <row r="11" spans="1:11" x14ac:dyDescent="0.2">
      <c r="A11" t="s">
        <v>15</v>
      </c>
      <c r="B11">
        <f>MATCH(999,I1:I7,1)</f>
        <v>3</v>
      </c>
    </row>
    <row r="12" spans="1:11" x14ac:dyDescent="0.2">
      <c r="A12" t="s">
        <v>16</v>
      </c>
      <c r="B12">
        <f>MATCH(35,I1:I7,1)</f>
        <v>3</v>
      </c>
    </row>
    <row r="13" spans="1:11" x14ac:dyDescent="0.2">
      <c r="A13" t="s">
        <v>17</v>
      </c>
      <c r="B13" t="e">
        <f>MATCH("alpha",J1:J4,1)</f>
        <v>#N/A</v>
      </c>
    </row>
    <row r="14" spans="1:11" x14ac:dyDescent="0.2">
      <c r="A14" t="s">
        <v>18</v>
      </c>
      <c r="B14">
        <f>MATCH("bravo",J1:J4,1)</f>
        <v>3</v>
      </c>
    </row>
    <row r="15" spans="1:11" x14ac:dyDescent="0.2">
      <c r="A15" t="s">
        <v>19</v>
      </c>
      <c r="B15" t="e">
        <f>MATCH(35,K1:K2,1)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IronCalc</dc:creator>
  <cp:lastModifiedBy>IronCalc</cp:lastModifiedBy>
  <dcterms:created xsi:type="dcterms:W3CDTF">2026-08-11T14:06:21Z</dcterms:created>
  <dcterms:modified xsi:type="dcterms:W3CDTF">2026-08-11T14:06:27Z</dcterms:modified>
</cp:coreProperties>
</file>