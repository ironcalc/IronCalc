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carney/tmp-ironcalc-fixtures/"/>
    </mc:Choice>
  </mc:AlternateContent>
  <xr:revisionPtr revIDLastSave="0" documentId="8_{EE1F550F-2D3B-1E45-9015-5269B259F8F6}" xr6:coauthVersionLast="47" xr6:coauthVersionMax="47" xr10:uidLastSave="{00000000-0000-0000-0000-000000000000}"/>
  <bookViews>
    <workbookView xWindow="3260" yWindow="2260" windowWidth="28040" windowHeight="17180" xr2:uid="{0696C483-CF0A-1842-8014-63A8D2F380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 a="1"/>
  <c r="B14" i="1" s="1"/>
  <c r="B13" i="1" a="1"/>
  <c r="B13" i="1" s="1"/>
  <c r="B12" i="1" a="1"/>
  <c r="B12" i="1" s="1"/>
  <c r="B11" i="1" a="1"/>
  <c r="B11" i="1" s="1"/>
  <c r="B10" i="1" a="1"/>
  <c r="B10" i="1" s="1"/>
  <c r="B9" i="1" a="1"/>
  <c r="B9" i="1" s="1"/>
  <c r="B8" i="1" a="1"/>
  <c r="B8" i="1" s="1"/>
  <c r="B7" i="1" a="1"/>
  <c r="B7" i="1" s="1"/>
  <c r="B6" i="1" a="1"/>
  <c r="B6" i="1" s="1"/>
  <c r="B5" i="1" a="1"/>
  <c r="B5" i="1" s="1"/>
  <c r="B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<sst xmlns="http://schemas.openxmlformats.org/spreadsheetml/2006/main" count="19" uniqueCount="19">
  <si>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XLOOKUP over computed lookup and return arrays</t>
  </si>
  <si>
    <t>a</t>
  </si>
  <si>
    <t>b</t>
  </si>
  <si>
    <t>x</t>
  </si>
  <si>
    <t>y</t>
  </si>
  <si>
    <t>first</t>
  </si>
  <si>
    <t>second</t>
  </si>
  <si>
    <t>stored ranges</t>
  </si>
  <si>
    <t>computed lookup_array, text join</t>
  </si>
  <si>
    <t>computed lookup_array with if_not_found</t>
  </si>
  <si>
    <t>computed lookup_array, genuine miss</t>
  </si>
  <si>
    <t>computed lookup_array, numeric</t>
  </si>
  <si>
    <t>computed lookup_array, boolean product</t>
  </si>
  <si>
    <t>array literal lookup_array</t>
  </si>
  <si>
    <t>computed return_array</t>
  </si>
  <si>
    <t>both arrays computed</t>
  </si>
  <si>
    <t>computed arrays, ascending binary search</t>
  </si>
  <si>
    <t>vectorized lookup_value over a range</t>
  </si>
  <si>
    <t>whole-column 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</si>
</sst>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86A0-7B8A-914A-9BE4-9B136E2E9691}">
  <dimension ref="A1:H15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E1" t="s">
        <v>1</v>
      </c>
      <c r="F1" t="s">
        <v>3</v>
      </c>
      <c r="G1" t="s">
        <v>5</v>
      </c>
      <c r="H1">
        <v>1</v>
      </c>
    </row>
    <row r="2" spans="1:8" x14ac:dyDescent="0.2">
      <c r="E2" t="s">
        <v>2</v>
      </c>
      <c r="F2" t="s">
        <v>4</v>
      </c>
      <c r="G2" t="s">
        <v>6</v>
      </c>
      <c r="H2">
        <v>2</v>
      </c>
    </row>
    <row r="4" spans="1:8" x14ac:dyDescent="0.2">
      <c r="A4" t="s">
        <v>7</v>
      </c>
      <c r="B4" t="str">
        <f>_xlfn.XLOOKUP("b",E1:E2,G1:G2)</f>
        <v>second</v>
      </c>
    </row>
    <row r="5" spans="1:8" x14ac:dyDescent="0.2">
      <c r="A5" t="s">
        <v>8</v>
      </c>
      <c r="B5" t="str" cm="1">
        <f t="array" ref="B5">_xlfn.XLOOKUP("b|y",E1:E2&amp;"|"&amp;F1:F2,G1:G2)</f>
        <v>second</v>
      </c>
    </row>
    <row r="6" spans="1:8" x14ac:dyDescent="0.2">
      <c r="A6" t="s">
        <v>9</v>
      </c>
      <c r="B6" t="str" cm="1">
        <f t="array" ref="B6">_xlfn.XLOOKUP("b|y",E1:E2&amp;"|"&amp;F1:F2,G1:G2,"fallback")</f>
        <v>second</v>
      </c>
    </row>
    <row r="7" spans="1:8" x14ac:dyDescent="0.2">
      <c r="A7" t="s">
        <v>10</v>
      </c>
      <c r="B7" t="str" cm="1">
        <f t="array" ref="B7">_xlfn.XLOOKUP("z|z",E1:E2&amp;"|"&amp;F1:F2,G1:G2,"fallback")</f>
        <v>fallback</v>
      </c>
    </row>
    <row r="8" spans="1:8" x14ac:dyDescent="0.2">
      <c r="A8" t="s">
        <v>11</v>
      </c>
      <c r="B8" t="str" cm="1">
        <f t="array" ref="B8">_xlfn.XLOOKUP(4,H1:H2*2,G1:G2)</f>
        <v>second</v>
      </c>
    </row>
    <row r="9" spans="1:8" x14ac:dyDescent="0.2">
      <c r="A9" t="s">
        <v>12</v>
      </c>
      <c r="B9" t="str" cm="1">
        <f t="array" ref="B9">_xlfn.XLOOKUP(1,(E1:E2="b")*(F1:F2="y"),G1:G2)</f>
        <v>second</v>
      </c>
    </row>
    <row r="10" spans="1:8" x14ac:dyDescent="0.2">
      <c r="A10" t="s">
        <v>13</v>
      </c>
      <c r="B10" t="str" cm="1">
        <f t="array" ref="B10">_xlfn.XLOOKUP("b",{"a";"b"},G1:G2)</f>
        <v>second</v>
      </c>
    </row>
    <row r="11" spans="1:8" x14ac:dyDescent="0.2">
      <c r="A11" t="s">
        <v>14</v>
      </c>
      <c r="B11" t="str" cm="1">
        <f t="array" ref="B11">_xlfn.XLOOKUP("b",E1:E2,G1:G2&amp;"")</f>
        <v>second</v>
      </c>
    </row>
    <row r="12" spans="1:8" x14ac:dyDescent="0.2">
      <c r="A12" t="s">
        <v>15</v>
      </c>
      <c r="B12" t="str" cm="1">
        <f t="array" ref="B12">_xlfn.XLOOKUP("b|y",E1:E2&amp;"|"&amp;F1:F2,G1:G2&amp;"!")</f>
        <v>second!</v>
      </c>
    </row>
    <row r="13" spans="1:8" x14ac:dyDescent="0.2">
      <c r="A13" t="s">
        <v>16</v>
      </c>
      <c r="B13" t="str" cm="1">
        <f t="array" ref="B13">_xlfn.XLOOKUP(2,H1:H2*1,G1:G2,"nf",0,2)</f>
        <v>second</v>
      </c>
    </row>
    <row r="14" spans="1:8" x14ac:dyDescent="0.2">
      <c r="A14" t="s">
        <v>17</v>
      </c>
      <c r="B14" cm="1">
        <f t="array" ref="B14">SUM(_xlfn.XLOOKUP(H1:H2,H1:H2,H1:H2))</f>
        <v>3</v>
      </c>
    </row>
    <row r="15" spans="1:8" x14ac:dyDescent="0.2">
      <c r="A15" t="s">
        <v>18</v>
      </c>
      <c r="B15" t="str">
        <f>_xlfn.XLOOKUP("b",E:E,G:G)</f>
        <v>second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IronCalc</dc:creator>
  <cp:lastModifiedBy>IronCalc</cp:lastModifiedBy>
  <dcterms:created xsi:type="dcterms:W3CDTF">2026-08-11T14:09:01Z</dcterms:created>
  <dcterms:modified xsi:type="dcterms:W3CDTF">2026-08-11T14:09:04Z</dcterms:modified>
</cp:coreProperties>
</file>