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IronCalc/IronCalc/xlsx/tests/calc_tests/LOOKUP_AND_REFERENCE/"/>
    </mc:Choice>
  </mc:AlternateContent>
  <xr:revisionPtr revIDLastSave="0" documentId="13_ncr:1_{F27D6820-50B3-8D47-B59A-463DD263F05B}" xr6:coauthVersionLast="47" xr6:coauthVersionMax="47" xr10:uidLastSave="{00000000-0000-0000-0000-000000000000}"/>
  <bookViews>
    <workbookView xWindow="14240" yWindow="-20980" windowWidth="19220" windowHeight="20980" firstSheet="2" activeTab="3" xr2:uid="{C6310CE9-0D40-B24A-A8BB-EA80DDC50FFD}"/>
  </bookViews>
  <sheets>
    <sheet name="a1_notation" sheetId="1" r:id="rId1"/>
    <sheet name="r1c1_notation" sheetId="2" r:id="rId2"/>
    <sheet name="r1c1_relative_to_the_cell" sheetId="3" r:id="rId3"/>
    <sheet name="WrapAroud" sheetId="13" r:id="rId4"/>
    <sheet name="r1c1_in_other_sheets" sheetId="4" r:id="rId5"/>
    <sheet name="r1c1_range_spills" sheetId="5" r:id="rId6"/>
    <sheet name="r1c1_whole_rows_and_columns" sheetId="6" r:id="rId7"/>
    <sheet name="r1c1_reference_built_from_cells" sheetId="7" r:id="rId8"/>
    <sheet name="errors" sheetId="8" r:id="rId9"/>
    <sheet name="Sheet2" sheetId="9" r:id="rId10"/>
    <sheet name="My sheet" sheetId="10" r:id="rId11"/>
    <sheet name="model_h0_w" sheetId="11" r:id="rId12"/>
    <sheet name="model_h0_b" sheetId="12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7" l="1"/>
  <c r="L2" i="7" s="1"/>
  <c r="F4" i="7"/>
  <c r="L9" i="5"/>
  <c r="L8" i="5"/>
  <c r="J12" i="13" a="1"/>
  <c r="E2" i="2" a="1"/>
  <c r="E2" i="3" a="1"/>
  <c r="E1" i="2" a="1"/>
  <c r="A6" i="6"/>
  <c r="E5" i="8" a="1"/>
  <c r="F5" i="3"/>
  <c r="A1" i="6"/>
  <c r="A5" i="6"/>
  <c r="A3" i="6"/>
  <c r="E4" i="8" a="1"/>
  <c r="E2" i="1" a="1"/>
  <c r="A3" i="4" a="1"/>
  <c r="E6" i="1" a="1"/>
  <c r="E1" i="1" a="1"/>
  <c r="E4" i="2"/>
  <c r="D2" i="3" a="1"/>
  <c r="A1" i="4" a="1"/>
  <c r="E7" i="8" a="1"/>
  <c r="A4" i="4" a="1"/>
  <c r="A3" i="7" a="1"/>
  <c r="A5" i="4" a="1"/>
  <c r="A4" i="6"/>
  <c r="E4" i="1"/>
  <c r="H8" i="13" a="1"/>
  <c r="A2" i="4"/>
  <c r="E6" i="2" a="1"/>
  <c r="E8" i="8" a="1"/>
  <c r="E5" i="1" a="1"/>
  <c r="H3" i="13"/>
  <c r="A5" i="7" a="1"/>
  <c r="E3" i="2" a="1"/>
  <c r="E2" i="13" a="1"/>
  <c r="F6" i="13" a="1"/>
  <c r="E6" i="8" a="1"/>
  <c r="F6" i="3" a="1"/>
  <c r="H7" i="13" a="1"/>
  <c r="E1" i="5" a="1"/>
  <c r="A1048576" i="13" a="1"/>
  <c r="B3" i="3" a="1"/>
  <c r="E7" i="2" a="1"/>
  <c r="E5" i="2"/>
  <c r="E3" i="8" a="1"/>
  <c r="C3" i="3" a="1"/>
  <c r="G6" i="13" a="1"/>
  <c r="E3" i="1" a="1"/>
  <c r="A2" i="6"/>
  <c r="J12" i="13" l="1"/>
  <c r="H8" i="13"/>
  <c r="H7" i="13"/>
  <c r="A1048576" i="13"/>
  <c r="E2" i="13"/>
  <c r="G6" i="13"/>
  <c r="F6" i="13"/>
  <c r="L5" i="7"/>
  <c r="L4" i="7"/>
  <c r="A5" i="7"/>
  <c r="L6" i="7" s="1"/>
  <c r="A3" i="7"/>
  <c r="L3" i="7" s="1"/>
  <c r="L9" i="7"/>
  <c r="L8" i="7"/>
  <c r="L7" i="7"/>
  <c r="L7" i="5"/>
  <c r="L6" i="5"/>
  <c r="L4" i="5"/>
  <c r="L3" i="5"/>
  <c r="L5" i="5"/>
  <c r="L3" i="4"/>
  <c r="E5" i="1"/>
  <c r="L6" i="1" s="1"/>
  <c r="E3" i="2"/>
  <c r="L4" i="2" s="1"/>
  <c r="C3" i="3"/>
  <c r="L3" i="3" s="1"/>
  <c r="A3" i="4"/>
  <c r="L4" i="4" s="1"/>
  <c r="L2" i="6"/>
  <c r="E6" i="8"/>
  <c r="L7" i="8" s="1"/>
  <c r="E7" i="8"/>
  <c r="L8" i="8" s="1"/>
  <c r="L5" i="1"/>
  <c r="E6" i="1"/>
  <c r="L7" i="1" s="1"/>
  <c r="L5" i="2"/>
  <c r="F6" i="3"/>
  <c r="L8" i="3" s="1"/>
  <c r="L5" i="6"/>
  <c r="E1" i="2"/>
  <c r="L2" i="2" s="1"/>
  <c r="E6" i="2"/>
  <c r="L7" i="2" s="1"/>
  <c r="E2" i="3"/>
  <c r="L6" i="3" s="1"/>
  <c r="A5" i="4"/>
  <c r="L6" i="4" s="1"/>
  <c r="L6" i="6"/>
  <c r="E4" i="8"/>
  <c r="L5" i="8" s="1"/>
  <c r="E8" i="8"/>
  <c r="L9" i="8" s="1"/>
  <c r="E1" i="1"/>
  <c r="L2" i="1" s="1"/>
  <c r="L3" i="6"/>
  <c r="D2" i="3"/>
  <c r="E3" i="1"/>
  <c r="L4" i="1" s="1"/>
  <c r="A1" i="4"/>
  <c r="L2" i="4" s="1"/>
  <c r="L7" i="6"/>
  <c r="L7" i="3"/>
  <c r="A4" i="4"/>
  <c r="L5" i="4" s="1"/>
  <c r="L4" i="6"/>
  <c r="E3" i="8"/>
  <c r="L4" i="8" s="1"/>
  <c r="E2" i="1"/>
  <c r="L3" i="1" s="1"/>
  <c r="L6" i="2"/>
  <c r="E2" i="2"/>
  <c r="L3" i="2" s="1"/>
  <c r="E7" i="2"/>
  <c r="L8" i="2" s="1"/>
  <c r="B3" i="3"/>
  <c r="L2" i="3" s="1"/>
  <c r="E1" i="5"/>
  <c r="L2" i="5" s="1"/>
  <c r="E5" i="8"/>
  <c r="L6" i="8" s="1"/>
  <c r="H5" i="13"/>
  <c r="D1" i="3" a="1"/>
  <c r="D1" i="3" l="1"/>
  <c r="L5" i="3" s="1"/>
  <c r="L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<sst xmlns="http://schemas.openxmlformats.org/spreadsheetml/2006/main" count="138" uniqueCount="55">
  <si>
    <t>Cell</t>
  </si>
  <si>
    <t>Expected</t>
  </si>
  <si>
    <t>Actual</t>
  </si>
  <si>
    <t>E1</t>
  </si>
  <si>
    <t>5</t>
  </si>
  <si>
    <t>E2</t>
  </si>
  <si>
    <t>E3</t>
  </si>
  <si>
    <t>E4</t>
  </si>
  <si>
    <t>21</t>
  </si>
  <si>
    <t>E5</t>
  </si>
  <si>
    <t>#REF!</t>
  </si>
  <si>
    <t>E6</t>
  </si>
  <si>
    <t>3</t>
  </si>
  <si>
    <t>4</t>
  </si>
  <si>
    <t>16</t>
  </si>
  <si>
    <t>E7</t>
  </si>
  <si>
    <t>B3</t>
  </si>
  <si>
    <t>C3</t>
  </si>
  <si>
    <t>D2</t>
  </si>
  <si>
    <t>6</t>
  </si>
  <si>
    <t>D1</t>
  </si>
  <si>
    <t>F5</t>
  </si>
  <si>
    <t>F6</t>
  </si>
  <si>
    <t>A1</t>
  </si>
  <si>
    <t>A2</t>
  </si>
  <si>
    <t>A3</t>
  </si>
  <si>
    <t>50</t>
  </si>
  <si>
    <t>A4</t>
  </si>
  <si>
    <t>A5</t>
  </si>
  <si>
    <t>1</t>
  </si>
  <si>
    <t>F1</t>
  </si>
  <si>
    <t>2</t>
  </si>
  <si>
    <t>G1</t>
  </si>
  <si>
    <t>F2</t>
  </si>
  <si>
    <t>G2</t>
  </si>
  <si>
    <t>H1</t>
  </si>
  <si>
    <t>(empty)</t>
  </si>
  <si>
    <t>7</t>
  </si>
  <si>
    <t>15</t>
  </si>
  <si>
    <t>A6</t>
  </si>
  <si>
    <t>F3</t>
  </si>
  <si>
    <t>model_h0_w!R1C1:R2C3</t>
  </si>
  <si>
    <t>141</t>
  </si>
  <si>
    <t>252</t>
  </si>
  <si>
    <t>363</t>
  </si>
  <si>
    <t>B5</t>
  </si>
  <si>
    <t>20</t>
  </si>
  <si>
    <t>B6</t>
  </si>
  <si>
    <t>=INDIRECT()</t>
  </si>
  <si>
    <t>=INDIRECT("R1C1", FALSE, 1)</t>
  </si>
  <si>
    <t>#ERROR!</t>
  </si>
  <si>
    <t>n/a – syntax error in Excel</t>
  </si>
  <si>
    <t>#VALUE!</t>
  </si>
  <si>
    <t>#DIV/0!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</si>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</sst>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DCC8B0-469C-B24E-B395-467EA4943D4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504fc4-7914-4aea-8f56-6cd2da0280b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E94B-CC0F-994F-9175-37212330795C}">
  <dimension ref="A1:L7"/>
  <sheetViews>
    <sheetView workbookViewId="0">
      <selection activeCell="H21" sqref="H21"/>
    </sheetView>
  </sheetViews>
  <sheetFormatPr baseColWidth="10" defaultRowHeight="16" x14ac:dyDescent="0.2"/>
  <sheetData>
    <row r="1" spans="1:12" x14ac:dyDescent="0.2">
      <c r="A1">
        <v>1</v>
      </c>
      <c r="B1">
        <v>2</v>
      </c>
      <c r="C1">
        <v>3</v>
      </c>
      <c r="E1" cm="1">
        <f t="array" aca="1" ref="E1" ca="1">INDIRECT("B2")</f>
        <v>5</v>
      </c>
      <c r="J1" s="1" t="s">
        <v>0</v>
      </c>
      <c r="K1" s="1" t="s">
        <v>1</v>
      </c>
      <c r="L1" s="1" t="s">
        <v>2</v>
      </c>
    </row>
    <row r="2" spans="1:12" x14ac:dyDescent="0.2">
      <c r="A2">
        <v>4</v>
      </c>
      <c r="B2">
        <v>5</v>
      </c>
      <c r="C2">
        <v>6</v>
      </c>
      <c r="E2" cm="1">
        <f t="array" aca="1" ref="E2" ca="1">INDIRECT("B2", TRUE)</f>
        <v>5</v>
      </c>
      <c r="J2" t="s">
        <v>3</v>
      </c>
      <c r="K2" s="2" t="s">
        <v>4</v>
      </c>
      <c r="L2">
        <f t="shared" ref="L2:L7" ca="1" si="0">E1</f>
        <v>5</v>
      </c>
    </row>
    <row r="3" spans="1:12" x14ac:dyDescent="0.2">
      <c r="E3" cm="1">
        <f t="array" aca="1" ref="E3" ca="1">INDIRECT("B2", 1)</f>
        <v>5</v>
      </c>
      <c r="J3" t="s">
        <v>5</v>
      </c>
      <c r="K3" s="2" t="s">
        <v>4</v>
      </c>
      <c r="L3">
        <f t="shared" ca="1" si="0"/>
        <v>5</v>
      </c>
    </row>
    <row r="4" spans="1:12" x14ac:dyDescent="0.2">
      <c r="E4">
        <f ca="1">SUM(INDIRECT("A1:C2", TRUE))</f>
        <v>21</v>
      </c>
      <c r="J4" t="s">
        <v>6</v>
      </c>
      <c r="K4" s="2" t="s">
        <v>4</v>
      </c>
      <c r="L4">
        <f t="shared" ca="1" si="0"/>
        <v>5</v>
      </c>
    </row>
    <row r="5" spans="1:12" x14ac:dyDescent="0.2">
      <c r="E5" t="e" cm="1">
        <f t="array" aca="1" ref="E5" ca="1">INDIRECT("R2C2")</f>
        <v>#REF!</v>
      </c>
      <c r="J5" t="s">
        <v>7</v>
      </c>
      <c r="K5" s="2" t="s">
        <v>8</v>
      </c>
      <c r="L5">
        <f t="shared" ca="1" si="0"/>
        <v>21</v>
      </c>
    </row>
    <row r="6" spans="1:12" x14ac:dyDescent="0.2">
      <c r="E6" t="e" cm="1">
        <f t="array" aca="1" ref="E6" ca="1">INDIRECT("R2C2", TRUE)</f>
        <v>#REF!</v>
      </c>
      <c r="J6" t="s">
        <v>9</v>
      </c>
      <c r="K6" s="2" t="s">
        <v>10</v>
      </c>
      <c r="L6" t="e">
        <f t="shared" ca="1" si="0"/>
        <v>#REF!</v>
      </c>
    </row>
    <row r="7" spans="1:12" x14ac:dyDescent="0.2">
      <c r="J7" t="s">
        <v>11</v>
      </c>
      <c r="K7" s="2" t="s">
        <v>10</v>
      </c>
      <c r="L7" t="e">
        <f t="shared" ca="1" si="0"/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1B40-CA3B-1D48-832B-85CA56BA2881}">
  <dimension ref="A1:L8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>
        <v>1</v>
      </c>
      <c r="B1">
        <v>2</v>
      </c>
      <c r="C1">
        <v>3</v>
      </c>
      <c r="E1" cm="1">
        <f t="array" aca="1" ref="E1" ca="1">INDIRECT("R2C2", FALSE)</f>
        <v>5</v>
      </c>
      <c r="J1" s="1" t="s">
        <v>0</v>
      </c>
      <c r="K1" s="1" t="s">
        <v>1</v>
      </c>
      <c r="L1" s="1" t="s">
        <v>2</v>
      </c>
    </row>
    <row r="2" spans="1:12" x14ac:dyDescent="0.2">
      <c r="A2">
        <v>4</v>
      </c>
      <c r="B2">
        <v>5</v>
      </c>
      <c r="C2">
        <v>6</v>
      </c>
      <c r="E2" cm="1">
        <f t="array" aca="1" ref="E2" ca="1">INDIRECT("R1C3", 0)</f>
        <v>3</v>
      </c>
      <c r="J2" t="s">
        <v>3</v>
      </c>
      <c r="K2" s="2" t="s">
        <v>4</v>
      </c>
      <c r="L2">
        <f t="shared" ref="L2:L8" ca="1" si="0">E1</f>
        <v>5</v>
      </c>
    </row>
    <row r="3" spans="1:12" x14ac:dyDescent="0.2">
      <c r="E3" cm="1">
        <f t="array" aca="1" ref="E3" ca="1">INDIRECT("r2c1", FALSE)</f>
        <v>4</v>
      </c>
      <c r="J3" t="s">
        <v>5</v>
      </c>
      <c r="K3" s="2" t="s">
        <v>12</v>
      </c>
      <c r="L3">
        <f t="shared" ca="1" si="0"/>
        <v>3</v>
      </c>
    </row>
    <row r="4" spans="1:12" x14ac:dyDescent="0.2">
      <c r="E4">
        <f ca="1">SUM(INDIRECT("R1C1:R2C3", FALSE))</f>
        <v>21</v>
      </c>
      <c r="J4" t="s">
        <v>6</v>
      </c>
      <c r="K4" s="2" t="s">
        <v>13</v>
      </c>
      <c r="L4">
        <f t="shared" ca="1" si="0"/>
        <v>4</v>
      </c>
    </row>
    <row r="5" spans="1:12" x14ac:dyDescent="0.2">
      <c r="E5">
        <f ca="1">SUM(INDIRECT("R2C3:R1C2", FALSE))</f>
        <v>16</v>
      </c>
      <c r="J5" t="s">
        <v>7</v>
      </c>
      <c r="K5" s="2" t="s">
        <v>8</v>
      </c>
      <c r="L5">
        <f t="shared" ca="1" si="0"/>
        <v>21</v>
      </c>
    </row>
    <row r="6" spans="1:12" x14ac:dyDescent="0.2">
      <c r="E6" cm="1">
        <f t="array" aca="1" ref="E6" ca="1">INDIRECT("R2C2",)</f>
        <v>5</v>
      </c>
      <c r="J6" t="s">
        <v>9</v>
      </c>
      <c r="K6" s="2" t="s">
        <v>14</v>
      </c>
      <c r="L6">
        <f t="shared" ca="1" si="0"/>
        <v>16</v>
      </c>
    </row>
    <row r="7" spans="1:12" x14ac:dyDescent="0.2">
      <c r="E7" t="e" cm="1">
        <f t="array" aca="1" ref="E7" ca="1">INDIRECT("B2", FALSE)</f>
        <v>#REF!</v>
      </c>
      <c r="J7" t="s">
        <v>11</v>
      </c>
      <c r="K7" s="2" t="s">
        <v>4</v>
      </c>
      <c r="L7">
        <f t="shared" ca="1" si="0"/>
        <v>5</v>
      </c>
    </row>
    <row r="8" spans="1:12" x14ac:dyDescent="0.2">
      <c r="J8" t="s">
        <v>15</v>
      </c>
      <c r="K8" s="2" t="s">
        <v>10</v>
      </c>
      <c r="L8" t="e">
        <f t="shared" ca="1" si="0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F0C2-A81F-AB43-8EE4-C7EE19C2CAAB}">
  <dimension ref="A1:L8"/>
  <sheetViews>
    <sheetView workbookViewId="0">
      <selection activeCell="F6" sqref="F6"/>
    </sheetView>
  </sheetViews>
  <sheetFormatPr baseColWidth="10" defaultRowHeight="16" x14ac:dyDescent="0.2"/>
  <sheetData>
    <row r="1" spans="1:12" x14ac:dyDescent="0.2">
      <c r="A1">
        <v>1</v>
      </c>
      <c r="B1">
        <v>2</v>
      </c>
      <c r="C1">
        <v>3</v>
      </c>
      <c r="D1" cm="1">
        <f t="array" aca="1" ref="D1" ca="1">INDIRECT("R2C", FALSE)</f>
        <v>6</v>
      </c>
      <c r="J1" s="1" t="s">
        <v>0</v>
      </c>
      <c r="K1" s="1" t="s">
        <v>1</v>
      </c>
      <c r="L1" s="1" t="s">
        <v>2</v>
      </c>
    </row>
    <row r="2" spans="1:12" x14ac:dyDescent="0.2">
      <c r="A2">
        <v>4</v>
      </c>
      <c r="B2">
        <v>5</v>
      </c>
      <c r="C2">
        <v>6</v>
      </c>
      <c r="D2" cm="1">
        <f t="array" aca="1" ref="D2" ca="1">INDIRECT("RC[-1]", FALSE)</f>
        <v>6</v>
      </c>
      <c r="E2" cm="1">
        <f t="array" aca="1" ref="E2" ca="1">INDIRECT("RC1", FALSE)</f>
        <v>4</v>
      </c>
      <c r="J2" t="s">
        <v>16</v>
      </c>
      <c r="K2" s="2" t="s">
        <v>4</v>
      </c>
      <c r="L2">
        <f ca="1">B3</f>
        <v>5</v>
      </c>
    </row>
    <row r="3" spans="1:12" x14ac:dyDescent="0.2">
      <c r="B3" cm="1">
        <f t="array" aca="1" ref="B3" ca="1">INDIRECT("R[-1]C", FALSE)</f>
        <v>5</v>
      </c>
      <c r="C3" cm="1">
        <f t="array" aca="1" ref="C3" ca="1">INDIRECT("R[-1]C[-2]", FALSE)</f>
        <v>4</v>
      </c>
      <c r="J3" t="s">
        <v>17</v>
      </c>
      <c r="K3" s="2" t="s">
        <v>13</v>
      </c>
      <c r="L3">
        <f ca="1">C3</f>
        <v>4</v>
      </c>
    </row>
    <row r="4" spans="1:12" x14ac:dyDescent="0.2">
      <c r="J4" t="s">
        <v>18</v>
      </c>
      <c r="K4" s="2" t="s">
        <v>19</v>
      </c>
      <c r="L4">
        <f ca="1">D2</f>
        <v>6</v>
      </c>
    </row>
    <row r="5" spans="1:12" x14ac:dyDescent="0.2">
      <c r="F5">
        <f ca="1">SUM(INDIRECT("R[-4]C[-5]:R[-3]C[-3]", FALSE))</f>
        <v>21</v>
      </c>
      <c r="J5" t="s">
        <v>20</v>
      </c>
      <c r="K5" s="2" t="s">
        <v>19</v>
      </c>
      <c r="L5">
        <f ca="1">D1</f>
        <v>6</v>
      </c>
    </row>
    <row r="6" spans="1:12" x14ac:dyDescent="0.2">
      <c r="F6" cm="1">
        <f t="array" aca="1" ref="F6" ca="1">INDIRECT("R[-6]C", FALSE)</f>
        <v>0</v>
      </c>
      <c r="J6" t="s">
        <v>5</v>
      </c>
      <c r="K6" s="2" t="s">
        <v>13</v>
      </c>
      <c r="L6">
        <f ca="1">E2</f>
        <v>4</v>
      </c>
    </row>
    <row r="7" spans="1:12" x14ac:dyDescent="0.2">
      <c r="J7" t="s">
        <v>21</v>
      </c>
      <c r="K7" s="2" t="s">
        <v>8</v>
      </c>
      <c r="L7">
        <f ca="1">F5</f>
        <v>21</v>
      </c>
    </row>
    <row r="8" spans="1:12" x14ac:dyDescent="0.2">
      <c r="J8" t="s">
        <v>22</v>
      </c>
      <c r="K8" s="2" t="s">
        <v>10</v>
      </c>
      <c r="L8">
        <f ca="1">F6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FAEB-A130-D04E-BCDF-2CE8A62DBE88}">
  <dimension ref="A1:XFD1048576"/>
  <sheetViews>
    <sheetView tabSelected="1" topLeftCell="A3" workbookViewId="0">
      <selection activeCell="J12" sqref="J12"/>
    </sheetView>
  </sheetViews>
  <sheetFormatPr baseColWidth="10" defaultRowHeight="16" x14ac:dyDescent="0.2"/>
  <sheetData>
    <row r="1" spans="2:10 16384:16384" x14ac:dyDescent="0.2">
      <c r="B1">
        <v>2</v>
      </c>
      <c r="D1">
        <v>1000</v>
      </c>
    </row>
    <row r="2" spans="2:10 16384:16384" x14ac:dyDescent="0.2">
      <c r="D2">
        <v>2</v>
      </c>
      <c r="E2" cm="1">
        <f t="array" aca="1" ref="E2" ca="1">INDIRECT("RC[-5]", FALSE)</f>
        <v>7</v>
      </c>
      <c r="XFD2">
        <v>7</v>
      </c>
    </row>
    <row r="3" spans="2:10 16384:16384" x14ac:dyDescent="0.2">
      <c r="H3">
        <f ca="1">SUM(INDIRECT("R[-4]", FALSE))</f>
        <v>41</v>
      </c>
    </row>
    <row r="5" spans="2:10 16384:16384" x14ac:dyDescent="0.2">
      <c r="H5">
        <f ca="1">SUM(INDIRECT("R[-5]C[-4]:R[-3]C[-4]", FALSE))</f>
        <v>4</v>
      </c>
    </row>
    <row r="6" spans="2:10 16384:16384" x14ac:dyDescent="0.2">
      <c r="F6" cm="1">
        <f t="array" aca="1" ref="F6" ca="1">INDIRECT("R[-6]C", FALSE)</f>
        <v>42</v>
      </c>
      <c r="G6" cm="1">
        <f t="array" aca="1" ref="G6" ca="1">INDIRECT("R[-7]C[-1]", FALSE)</f>
        <v>41</v>
      </c>
    </row>
    <row r="7" spans="2:10 16384:16384" x14ac:dyDescent="0.2">
      <c r="H7" t="e" cm="1">
        <f t="array" aca="1" ref="H7" ca="1">INDIRECT("R[-1048576]C", FALSE)</f>
        <v>#REF!</v>
      </c>
    </row>
    <row r="8" spans="2:10 16384:16384" x14ac:dyDescent="0.2">
      <c r="H8" t="e" cm="1">
        <f t="array" aca="1" ref="H8" ca="1">INDIRECT("RC[16384]", FALSE)</f>
        <v>#REF!</v>
      </c>
    </row>
    <row r="12" spans="2:10 16384:16384" x14ac:dyDescent="0.2">
      <c r="J12" t="e" cm="1">
        <f t="array" aca="1" ref="J12" ca="1">INDIRECT("R[-2147483648]C", FALSE)</f>
        <v>#REF!</v>
      </c>
    </row>
    <row r="1048575" spans="1:6" x14ac:dyDescent="0.2">
      <c r="F1048575">
        <v>41</v>
      </c>
    </row>
    <row r="1048576" spans="1:6" x14ac:dyDescent="0.2">
      <c r="A1048576" cm="1">
        <f t="array" aca="1" ref="A1048576" ca="1">INDIRECT("R[1]C[1]", FALSE)</f>
        <v>2</v>
      </c>
      <c r="D1048576">
        <v>2</v>
      </c>
      <c r="F1048576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9CB4-C872-B749-9CC2-4BB5C5769F14}">
  <dimension ref="A1:L6"/>
  <sheetViews>
    <sheetView workbookViewId="0"/>
  </sheetViews>
  <sheetFormatPr baseColWidth="10" defaultRowHeight="16" x14ac:dyDescent="0.2"/>
  <sheetData>
    <row r="1" spans="1:12" x14ac:dyDescent="0.2">
      <c r="A1" cm="1">
        <f t="array" aca="1" ref="A1" ca="1">INDIRECT("Sheet2!R2C2", FALSE)</f>
        <v>5</v>
      </c>
      <c r="J1" s="1" t="s">
        <v>0</v>
      </c>
      <c r="K1" s="1" t="s">
        <v>1</v>
      </c>
      <c r="L1" s="1" t="s">
        <v>2</v>
      </c>
    </row>
    <row r="2" spans="1:12" x14ac:dyDescent="0.2">
      <c r="A2">
        <f ca="1">SUM(INDIRECT("sheet2!R1C1:R2C3", FALSE))</f>
        <v>21</v>
      </c>
      <c r="J2" t="s">
        <v>23</v>
      </c>
      <c r="K2" s="2" t="s">
        <v>4</v>
      </c>
      <c r="L2">
        <f ca="1">A1</f>
        <v>5</v>
      </c>
    </row>
    <row r="3" spans="1:12" x14ac:dyDescent="0.2">
      <c r="A3" cm="1">
        <f t="array" aca="1" ref="A3" ca="1">INDIRECT("'My sheet'!R2C2", FALSE)</f>
        <v>50</v>
      </c>
      <c r="J3" t="s">
        <v>24</v>
      </c>
      <c r="K3" s="2" t="s">
        <v>8</v>
      </c>
      <c r="L3">
        <f ca="1">A2</f>
        <v>21</v>
      </c>
    </row>
    <row r="4" spans="1:12" x14ac:dyDescent="0.2">
      <c r="A4" cm="1">
        <f t="array" aca="1" ref="A4" ca="1">INDIRECT("Sheet2!R[-2]C[1]", FALSE)</f>
        <v>5</v>
      </c>
      <c r="J4" t="s">
        <v>25</v>
      </c>
      <c r="K4" s="2" t="s">
        <v>26</v>
      </c>
      <c r="L4">
        <f ca="1">A3</f>
        <v>50</v>
      </c>
    </row>
    <row r="5" spans="1:12" x14ac:dyDescent="0.2">
      <c r="A5" t="e" cm="1">
        <f t="array" aca="1" ref="A5" ca="1">INDIRECT("Sheet7!R2C2", FALSE)</f>
        <v>#REF!</v>
      </c>
      <c r="J5" t="s">
        <v>27</v>
      </c>
      <c r="K5" s="2" t="s">
        <v>4</v>
      </c>
      <c r="L5">
        <f ca="1">A4</f>
        <v>5</v>
      </c>
    </row>
    <row r="6" spans="1:12" x14ac:dyDescent="0.2">
      <c r="J6" t="s">
        <v>28</v>
      </c>
      <c r="K6" s="2" t="s">
        <v>10</v>
      </c>
      <c r="L6" t="e">
        <f ca="1">A5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0DA7-B026-8246-9E1E-69FEA32A35E0}">
  <dimension ref="A1:L9"/>
  <sheetViews>
    <sheetView workbookViewId="0">
      <selection activeCell="L8" sqref="L8"/>
    </sheetView>
  </sheetViews>
  <sheetFormatPr baseColWidth="10" defaultRowHeight="16" x14ac:dyDescent="0.2"/>
  <sheetData>
    <row r="1" spans="1:12" x14ac:dyDescent="0.2">
      <c r="A1">
        <v>1</v>
      </c>
      <c r="B1">
        <v>2</v>
      </c>
      <c r="C1">
        <v>3</v>
      </c>
      <c r="E1" cm="1">
        <f t="array" aca="1" ref="E1:G2" ca="1">INDIRECT("R1C1:R2C3", FALSE)</f>
        <v>1</v>
      </c>
      <c r="F1">
        <f ca="1"/>
        <v>2</v>
      </c>
      <c r="G1">
        <f ca="1"/>
        <v>3</v>
      </c>
      <c r="J1" s="1" t="s">
        <v>0</v>
      </c>
      <c r="K1" s="1" t="s">
        <v>1</v>
      </c>
      <c r="L1" s="1" t="s">
        <v>2</v>
      </c>
    </row>
    <row r="2" spans="1:12" x14ac:dyDescent="0.2">
      <c r="A2">
        <v>4</v>
      </c>
      <c r="B2">
        <v>5</v>
      </c>
      <c r="C2">
        <v>6</v>
      </c>
      <c r="E2">
        <f ca="1"/>
        <v>4</v>
      </c>
      <c r="F2">
        <f ca="1"/>
        <v>5</v>
      </c>
      <c r="G2">
        <f ca="1"/>
        <v>6</v>
      </c>
      <c r="J2" t="s">
        <v>3</v>
      </c>
      <c r="K2" s="2" t="s">
        <v>29</v>
      </c>
      <c r="L2">
        <f ca="1">E1</f>
        <v>1</v>
      </c>
    </row>
    <row r="3" spans="1:12" x14ac:dyDescent="0.2">
      <c r="J3" t="s">
        <v>30</v>
      </c>
      <c r="K3" s="2" t="s">
        <v>31</v>
      </c>
      <c r="L3">
        <f ca="1">F1</f>
        <v>2</v>
      </c>
    </row>
    <row r="4" spans="1:12" x14ac:dyDescent="0.2">
      <c r="J4" t="s">
        <v>32</v>
      </c>
      <c r="K4" s="2" t="s">
        <v>12</v>
      </c>
      <c r="L4">
        <f ca="1">G1</f>
        <v>3</v>
      </c>
    </row>
    <row r="5" spans="1:12" x14ac:dyDescent="0.2">
      <c r="J5" t="s">
        <v>5</v>
      </c>
      <c r="K5" s="2" t="s">
        <v>13</v>
      </c>
      <c r="L5">
        <f ca="1">E2</f>
        <v>4</v>
      </c>
    </row>
    <row r="6" spans="1:12" x14ac:dyDescent="0.2">
      <c r="J6" t="s">
        <v>33</v>
      </c>
      <c r="K6" s="2" t="s">
        <v>4</v>
      </c>
      <c r="L6">
        <f ca="1">F2</f>
        <v>5</v>
      </c>
    </row>
    <row r="7" spans="1:12" x14ac:dyDescent="0.2">
      <c r="J7" t="s">
        <v>34</v>
      </c>
      <c r="K7" s="2" t="s">
        <v>19</v>
      </c>
      <c r="L7">
        <f ca="1">G2</f>
        <v>6</v>
      </c>
    </row>
    <row r="8" spans="1:12" x14ac:dyDescent="0.2">
      <c r="J8" t="s">
        <v>35</v>
      </c>
      <c r="K8" s="2" t="s">
        <v>36</v>
      </c>
      <c r="L8" t="str">
        <f>IF(ISBLANK(H1),"(empty)",H1)</f>
        <v>(empty)</v>
      </c>
    </row>
    <row r="9" spans="1:12" x14ac:dyDescent="0.2">
      <c r="J9" t="s">
        <v>6</v>
      </c>
      <c r="K9" s="2" t="s">
        <v>36</v>
      </c>
      <c r="L9" t="str">
        <f>IF(ISBLANK(E3),"(empty)",E3)</f>
        <v>(empty)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C5CF-7E47-1446-AF88-3FD56AA4B06F}">
  <dimension ref="A1:L7"/>
  <sheetViews>
    <sheetView workbookViewId="0"/>
  </sheetViews>
  <sheetFormatPr baseColWidth="10" defaultRowHeight="16" x14ac:dyDescent="0.2"/>
  <sheetData>
    <row r="1" spans="1:12" x14ac:dyDescent="0.2">
      <c r="A1">
        <f ca="1">SUM(INDIRECT("Sheet2!C2", FALSE))</f>
        <v>7</v>
      </c>
      <c r="J1" s="1" t="s">
        <v>0</v>
      </c>
      <c r="K1" s="1" t="s">
        <v>1</v>
      </c>
      <c r="L1" s="1" t="s">
        <v>2</v>
      </c>
    </row>
    <row r="2" spans="1:12" x14ac:dyDescent="0.2">
      <c r="A2">
        <f ca="1">SUM(INDIRECT("Sheet2!R2", FALSE))</f>
        <v>15</v>
      </c>
      <c r="J2" t="s">
        <v>23</v>
      </c>
      <c r="K2" s="2" t="s">
        <v>37</v>
      </c>
      <c r="L2">
        <f t="shared" ref="L2:L7" ca="1" si="0">A1</f>
        <v>7</v>
      </c>
    </row>
    <row r="3" spans="1:12" x14ac:dyDescent="0.2">
      <c r="A3">
        <f ca="1">SUM(INDIRECT("Sheet2!C2:C3", FALSE))</f>
        <v>16</v>
      </c>
      <c r="J3" t="s">
        <v>24</v>
      </c>
      <c r="K3" s="2" t="s">
        <v>38</v>
      </c>
      <c r="L3">
        <f t="shared" ca="1" si="0"/>
        <v>15</v>
      </c>
    </row>
    <row r="4" spans="1:12" x14ac:dyDescent="0.2">
      <c r="A4">
        <f ca="1">SUM(INDIRECT("Sheet2!R1:R2", FALSE))</f>
        <v>21</v>
      </c>
      <c r="J4" t="s">
        <v>25</v>
      </c>
      <c r="K4" s="2" t="s">
        <v>14</v>
      </c>
      <c r="L4">
        <f t="shared" ca="1" si="0"/>
        <v>16</v>
      </c>
    </row>
    <row r="5" spans="1:12" x14ac:dyDescent="0.2">
      <c r="A5">
        <f ca="1">SUM(INDIRECT("Sheet2!C", FALSE))</f>
        <v>5</v>
      </c>
      <c r="J5" t="s">
        <v>27</v>
      </c>
      <c r="K5" s="2" t="s">
        <v>8</v>
      </c>
      <c r="L5">
        <f t="shared" ca="1" si="0"/>
        <v>21</v>
      </c>
    </row>
    <row r="6" spans="1:12" x14ac:dyDescent="0.2">
      <c r="A6">
        <f ca="1">SUM(INDIRECT("Sheet2!C[1]", FALSE))</f>
        <v>7</v>
      </c>
      <c r="J6" t="s">
        <v>28</v>
      </c>
      <c r="K6" s="2" t="s">
        <v>4</v>
      </c>
      <c r="L6">
        <f t="shared" ca="1" si="0"/>
        <v>5</v>
      </c>
    </row>
    <row r="7" spans="1:12" x14ac:dyDescent="0.2">
      <c r="J7" t="s">
        <v>39</v>
      </c>
      <c r="K7" s="2" t="s">
        <v>37</v>
      </c>
      <c r="L7">
        <f t="shared" ca="1" si="0"/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33C4-258B-8A42-8810-9694AAB6AB9B}">
  <dimension ref="A1:L9"/>
  <sheetViews>
    <sheetView workbookViewId="0">
      <selection activeCell="F3" sqref="F3"/>
    </sheetView>
  </sheetViews>
  <sheetFormatPr baseColWidth="10" defaultRowHeight="16" x14ac:dyDescent="0.2"/>
  <sheetData>
    <row r="1" spans="1:12" x14ac:dyDescent="0.2">
      <c r="A1">
        <v>1</v>
      </c>
      <c r="B1">
        <v>10</v>
      </c>
      <c r="F1">
        <v>0</v>
      </c>
      <c r="J1" s="1" t="s">
        <v>0</v>
      </c>
      <c r="K1" s="1" t="s">
        <v>1</v>
      </c>
      <c r="L1" s="1" t="s">
        <v>2</v>
      </c>
    </row>
    <row r="2" spans="1:12" x14ac:dyDescent="0.2">
      <c r="F2">
        <v>3</v>
      </c>
      <c r="J2" t="s">
        <v>40</v>
      </c>
      <c r="K2" s="2" t="s">
        <v>41</v>
      </c>
      <c r="L2" t="str">
        <f>F3</f>
        <v>model_h0_w!R1C1:R2C3</v>
      </c>
    </row>
    <row r="3" spans="1:12" x14ac:dyDescent="0.2">
      <c r="A3" cm="1">
        <f t="array" aca="1" ref="A3:C3" ca="1">MMULT(A1:B1, INDIRECT(F3, FALSE))+INDIRECT(F4, FALSE)</f>
        <v>141</v>
      </c>
      <c r="B3">
        <f ca="1"/>
        <v>252</v>
      </c>
      <c r="C3">
        <f ca="1"/>
        <v>363</v>
      </c>
      <c r="F3" t="str">
        <f>"model_h"&amp;F1&amp;"_w!R1C1:R2C"&amp;F2</f>
        <v>model_h0_w!R1C1:R2C3</v>
      </c>
      <c r="J3" t="s">
        <v>25</v>
      </c>
      <c r="K3" s="2" t="s">
        <v>42</v>
      </c>
      <c r="L3">
        <f ca="1">A3</f>
        <v>141</v>
      </c>
    </row>
    <row r="4" spans="1:12" x14ac:dyDescent="0.2">
      <c r="F4" t="str">
        <f>"model_h"&amp;F1&amp;"_b!R1C1:R1C"&amp;F2</f>
        <v>model_h0_b!R1C1:R1C3</v>
      </c>
      <c r="J4" t="s">
        <v>16</v>
      </c>
      <c r="K4" s="2" t="s">
        <v>43</v>
      </c>
      <c r="L4">
        <f ca="1">B3</f>
        <v>252</v>
      </c>
    </row>
    <row r="5" spans="1:12" x14ac:dyDescent="0.2">
      <c r="A5" cm="1">
        <f t="array" aca="1" ref="A5:B6" ca="1">A1:B1*INDIRECT("model_h0_w!R1C1:R2C2", FALSE)</f>
        <v>1</v>
      </c>
      <c r="B5">
        <f ca="1"/>
        <v>20</v>
      </c>
      <c r="J5" t="s">
        <v>17</v>
      </c>
      <c r="K5" s="2" t="s">
        <v>44</v>
      </c>
      <c r="L5">
        <f ca="1">C3</f>
        <v>363</v>
      </c>
    </row>
    <row r="6" spans="1:12" x14ac:dyDescent="0.2">
      <c r="A6">
        <f ca="1"/>
        <v>4</v>
      </c>
      <c r="B6">
        <f ca="1"/>
        <v>50</v>
      </c>
      <c r="J6" t="s">
        <v>28</v>
      </c>
      <c r="K6" s="2" t="s">
        <v>29</v>
      </c>
      <c r="L6">
        <f ca="1">A5</f>
        <v>1</v>
      </c>
    </row>
    <row r="7" spans="1:12" x14ac:dyDescent="0.2">
      <c r="J7" t="s">
        <v>45</v>
      </c>
      <c r="K7" s="2" t="s">
        <v>46</v>
      </c>
      <c r="L7">
        <f ca="1">B5</f>
        <v>20</v>
      </c>
    </row>
    <row r="8" spans="1:12" x14ac:dyDescent="0.2">
      <c r="J8" t="s">
        <v>39</v>
      </c>
      <c r="K8" s="2" t="s">
        <v>13</v>
      </c>
      <c r="L8">
        <f ca="1">A6</f>
        <v>4</v>
      </c>
    </row>
    <row r="9" spans="1:12" x14ac:dyDescent="0.2">
      <c r="J9" t="s">
        <v>47</v>
      </c>
      <c r="K9" s="2" t="s">
        <v>26</v>
      </c>
      <c r="L9">
        <f ca="1">B6</f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E789-8894-AD48-AEE4-BDECD8AD0D16}">
  <dimension ref="A1:L9"/>
  <sheetViews>
    <sheetView workbookViewId="0"/>
  </sheetViews>
  <sheetFormatPr baseColWidth="10" defaultRowHeight="16" x14ac:dyDescent="0.2"/>
  <sheetData>
    <row r="1" spans="1:12" x14ac:dyDescent="0.2">
      <c r="A1">
        <v>1</v>
      </c>
      <c r="B1">
        <v>2</v>
      </c>
      <c r="C1">
        <v>3</v>
      </c>
      <c r="E1" s="2" t="s">
        <v>48</v>
      </c>
      <c r="J1" s="1" t="s">
        <v>0</v>
      </c>
      <c r="K1" s="1" t="s">
        <v>1</v>
      </c>
      <c r="L1" s="1" t="s">
        <v>2</v>
      </c>
    </row>
    <row r="2" spans="1:12" x14ac:dyDescent="0.2">
      <c r="A2">
        <v>4</v>
      </c>
      <c r="B2">
        <v>5</v>
      </c>
      <c r="C2">
        <v>6</v>
      </c>
      <c r="E2" s="2" t="s">
        <v>49</v>
      </c>
      <c r="J2" t="s">
        <v>3</v>
      </c>
      <c r="K2" s="2" t="s">
        <v>50</v>
      </c>
      <c r="L2" t="s">
        <v>51</v>
      </c>
    </row>
    <row r="3" spans="1:12" x14ac:dyDescent="0.2">
      <c r="E3" t="e" cm="1">
        <f t="array" aca="1" ref="E3" ca="1">INDIRECT("", FALSE)</f>
        <v>#REF!</v>
      </c>
      <c r="J3" t="s">
        <v>5</v>
      </c>
      <c r="K3" s="2" t="s">
        <v>50</v>
      </c>
      <c r="L3" t="s">
        <v>51</v>
      </c>
    </row>
    <row r="4" spans="1:12" x14ac:dyDescent="0.2">
      <c r="E4" t="e" cm="1">
        <f t="array" aca="1" ref="E4" ca="1">INDIRECT("R0C1", FALSE)</f>
        <v>#REF!</v>
      </c>
      <c r="J4" t="s">
        <v>6</v>
      </c>
      <c r="K4" s="2" t="s">
        <v>10</v>
      </c>
      <c r="L4" t="e">
        <f t="shared" ref="L4:L9" ca="1" si="0">E3</f>
        <v>#REF!</v>
      </c>
    </row>
    <row r="5" spans="1:12" x14ac:dyDescent="0.2">
      <c r="E5" t="e" cm="1">
        <f t="array" aca="1" ref="E5" ca="1">INDIRECT("R1C1:R2", FALSE)</f>
        <v>#REF!</v>
      </c>
      <c r="J5" t="s">
        <v>7</v>
      </c>
      <c r="K5" s="2" t="s">
        <v>10</v>
      </c>
      <c r="L5" t="e">
        <f t="shared" ca="1" si="0"/>
        <v>#REF!</v>
      </c>
    </row>
    <row r="6" spans="1:12" x14ac:dyDescent="0.2">
      <c r="E6" t="e" cm="1">
        <f t="array" aca="1" ref="E6" ca="1">INDIRECT("R1C1", "no")</f>
        <v>#VALUE!</v>
      </c>
      <c r="J6" t="s">
        <v>9</v>
      </c>
      <c r="K6" s="2" t="s">
        <v>10</v>
      </c>
      <c r="L6" t="e">
        <f t="shared" ca="1" si="0"/>
        <v>#REF!</v>
      </c>
    </row>
    <row r="7" spans="1:12" x14ac:dyDescent="0.2">
      <c r="E7" t="e" cm="1">
        <f t="array" aca="1" ref="E7" ca="1">INDIRECT(1/0, FALSE)</f>
        <v>#DIV/0!</v>
      </c>
      <c r="J7" t="s">
        <v>11</v>
      </c>
      <c r="K7" s="2" t="s">
        <v>52</v>
      </c>
      <c r="L7" t="e">
        <f t="shared" ca="1" si="0"/>
        <v>#VALUE!</v>
      </c>
    </row>
    <row r="8" spans="1:12" x14ac:dyDescent="0.2">
      <c r="E8" t="e" cm="1">
        <f t="array" aca="1" ref="E8" ca="1">INDIRECT("R1C1", 1/0)</f>
        <v>#DIV/0!</v>
      </c>
      <c r="J8" t="s">
        <v>15</v>
      </c>
      <c r="K8" s="2" t="s">
        <v>53</v>
      </c>
      <c r="L8" t="e">
        <f t="shared" ca="1" si="0"/>
        <v>#DIV/0!</v>
      </c>
    </row>
    <row r="9" spans="1:12" x14ac:dyDescent="0.2">
      <c r="J9" t="s">
        <v>54</v>
      </c>
      <c r="K9" s="2" t="s">
        <v>53</v>
      </c>
      <c r="L9" t="e">
        <f t="shared" ca="1" si="0"/>
        <v>#DIV/0!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B607-5E2C-1C47-8D1F-29B507338D73}">
  <dimension ref="A1:C2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v>2</v>
      </c>
      <c r="C1">
        <v>3</v>
      </c>
    </row>
    <row r="2" spans="1:3" x14ac:dyDescent="0.2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33DE-13E7-2E4D-B2CB-9D6430935A9A}">
  <dimension ref="B2"/>
  <sheetViews>
    <sheetView workbookViewId="0"/>
  </sheetViews>
  <sheetFormatPr baseColWidth="10" defaultRowHeight="16" x14ac:dyDescent="0.2"/>
  <sheetData>
    <row r="2" spans="2:2" x14ac:dyDescent="0.2">
      <c r="B2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8216-D6AF-A147-BA44-264EF08ED3CE}">
  <dimension ref="A1:C2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v>2</v>
      </c>
      <c r="C1">
        <v>3</v>
      </c>
    </row>
    <row r="2" spans="1:3" x14ac:dyDescent="0.2">
      <c r="A2">
        <v>4</v>
      </c>
      <c r="B2">
        <v>5</v>
      </c>
      <c r="C2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462F-C112-DA48-BB40-7283D6A3F97B}">
  <dimension ref="A1:C1"/>
  <sheetViews>
    <sheetView workbookViewId="0"/>
  </sheetViews>
  <sheetFormatPr baseColWidth="10" defaultRowHeight="16" x14ac:dyDescent="0.2"/>
  <sheetData>
    <row r="1" spans="1:3" x14ac:dyDescent="0.2">
      <c r="A1">
        <v>100</v>
      </c>
      <c r="B1">
        <v>200</v>
      </c>
      <c r="C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a1_notation</vt:lpstr>
      <vt:lpstr>r1c1_notation</vt:lpstr>
      <vt:lpstr>r1c1_relative_to_the_cell</vt:lpstr>
      <vt:lpstr>WrapAroud</vt:lpstr>
      <vt:lpstr>r1c1_in_other_sheets</vt:lpstr>
      <vt:lpstr>r1c1_range_spills</vt:lpstr>
      <vt:lpstr>r1c1_whole_rows_and_columns</vt:lpstr>
      <vt:lpstr>r1c1_reference_built_from_cells</vt:lpstr>
      <vt:lpstr>errors</vt:lpstr>
      <vt:lpstr>Sheet2</vt:lpstr>
      <vt:lpstr>My sheet</vt:lpstr>
      <vt:lpstr>model_h0_w</vt:lpstr>
      <vt:lpstr>model_h0_b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Hatcher</dc:creator>
  <cp:lastModifiedBy>Nicolas Hatcher</cp:lastModifiedBy>
  <dcterms:created xsi:type="dcterms:W3CDTF">2026-10-02T07:14:07Z</dcterms:created>
  <dcterms:modified xsi:type="dcterms:W3CDTF">2026-10-02T08:22:33Z</dcterms:modified>
</cp:coreProperties>
</file>