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INFORMATION/"/>
    </mc:Choice>
  </mc:AlternateContent>
  <xr:revisionPtr revIDLastSave="0" documentId="13_ncr:1_{FC8E9555-B300-5B42-9BA5-1664FD0F6231}" xr6:coauthVersionLast="47" xr6:coauthVersionMax="47" xr10:uidLastSave="{00000000-0000-0000-0000-000000000000}"/>
  <bookViews>
    <workbookView xWindow="2740" yWindow="-18940" windowWidth="28040" windowHeight="15760" activeTab="1" xr2:uid="{C19D7AE8-A8BA-6E41-A93C-F44950C6842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4" i="2" l="1" a="1"/>
  <c r="A4" i="2" s="1"/>
  <c r="A3" i="2"/>
  <c r="A2" i="2"/>
  <c r="A1" i="2"/>
  <c r="E92" i="1"/>
  <c r="E91" i="1"/>
  <c r="E90" i="1"/>
  <c r="E89" i="1"/>
  <c r="E88" i="1"/>
  <c r="E87" i="1"/>
  <c r="E86" i="1"/>
  <c r="E85" i="1"/>
  <c r="E83" i="1" a="1"/>
  <c r="E83" i="1" s="1"/>
  <c r="E81" i="1" a="1"/>
  <c r="E81" i="1" s="1"/>
  <c r="E80" i="1" a="1"/>
  <c r="E80" i="1" s="1"/>
  <c r="E78" i="1" a="1"/>
  <c r="E78" i="1" s="1"/>
  <c r="E77" i="1" a="1"/>
  <c r="E77" i="1" s="1"/>
  <c r="E76" i="1" a="1"/>
  <c r="E76" i="1" s="1"/>
  <c r="E75" i="1" a="1"/>
  <c r="E75" i="1" s="1"/>
  <c r="E72" i="1" a="1"/>
  <c r="E72" i="1" s="1"/>
  <c r="E71" i="1" a="1"/>
  <c r="E71" i="1" s="1"/>
  <c r="E70" i="1" a="1"/>
  <c r="E70" i="1" s="1"/>
  <c r="E69" i="1" a="1"/>
  <c r="E69" i="1" s="1"/>
  <c r="E68" i="1" a="1"/>
  <c r="E68" i="1"/>
  <c r="E67" i="1" a="1"/>
  <c r="E67" i="1" s="1"/>
  <c r="E65" i="1" a="1"/>
  <c r="E65" i="1" s="1"/>
  <c r="E64" i="1" a="1"/>
  <c r="E64" i="1" s="1"/>
  <c r="E63" i="1" a="1"/>
  <c r="E63" i="1" s="1"/>
  <c r="E62" i="1" a="1"/>
  <c r="E62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1" i="1"/>
  <c r="E40" i="1" a="1"/>
  <c r="E40" i="1" s="1"/>
  <c r="E39" i="1" a="1"/>
  <c r="E39" i="1" s="1"/>
  <c r="E34" i="1" a="1"/>
  <c r="E34" i="1" s="1"/>
  <c r="E33" i="1" a="1"/>
  <c r="E33" i="1" s="1"/>
  <c r="E32" i="1" a="1"/>
  <c r="E32" i="1" s="1"/>
  <c r="E31" i="1" a="1"/>
  <c r="E31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0" i="1" a="1"/>
  <c r="E10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  <c r="E1" i="1" a="1"/>
  <c r="E1" i="1" s="1"/>
  <c r="B6" i="1"/>
  <c r="E74" i="1" s="1" a="1"/>
  <c r="E74" i="1" s="1"/>
  <c r="B5" i="1"/>
  <c r="E36" i="1" s="1" a="1"/>
  <c r="E36" i="1" s="1"/>
  <c r="E35" i="1" l="1" a="1"/>
  <c r="E35" i="1" s="1"/>
  <c r="E82" i="1" a="1"/>
  <c r="E82" i="1" s="1"/>
  <c r="E37" i="1" a="1"/>
  <c r="E3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<sst xmlns="http://schemas.openxmlformats.org/spreadsheetml/2006/main" count="84" uniqueCount="84">
  <si>
    <t>text</t>
  </si>
  <si>
    <t>abc</t>
  </si>
  <si>
    <t>def</t>
  </si>
  <si>
    <t>ghi</t>
  </si>
  <si>
    <t>minus div error</t>
  </si>
  <si>
    <t>plus na</t>
  </si>
  <si>
    <t>times div error</t>
  </si>
  <si>
    <t>divided by na</t>
  </si>
  <si>
    <t>power div error</t>
  </si>
  <si>
    <t>error minus array</t>
  </si>
  <si>
    <t>na power array</t>
  </si>
  <si>
    <t>two rows minus error</t>
  </si>
  <si>
    <t>column times na</t>
  </si>
  <si>
    <t>array plus text</t>
  </si>
  <si>
    <t>text times array</t>
  </si>
  <si>
    <t>concatenate with error</t>
  </si>
  <si>
    <t>error concatenate array</t>
  </si>
  <si>
    <t>compare with error</t>
  </si>
  <si>
    <t>error compared with array</t>
  </si>
  <si>
    <t>not equal error</t>
  </si>
  <si>
    <t>POWER array error</t>
  </si>
  <si>
    <t>POWER error array</t>
  </si>
  <si>
    <t>array with errors plus error</t>
  </si>
  <si>
    <t>error plus array with errors</t>
  </si>
  <si>
    <t>array with errors concat error</t>
  </si>
  <si>
    <t>array with errors equals error</t>
  </si>
  <si>
    <t>LEFT array with errors, error length</t>
  </si>
  <si>
    <t>EXACT error, array with errors</t>
  </si>
  <si>
    <t>DATE error month, array with errors day</t>
  </si>
  <si>
    <t>DATE array with errors month, error day</t>
  </si>
  <si>
    <t>equals number</t>
  </si>
  <si>
    <t>less than</t>
  </si>
  <si>
    <t>not equal text</t>
  </si>
  <si>
    <t>array constant with error</t>
  </si>
  <si>
    <t>two arrays with errors, left first</t>
  </si>
  <si>
    <t>two arrays with errors, other order</t>
  </si>
  <si>
    <t>row against column</t>
  </si>
  <si>
    <t>sum of comparison</t>
  </si>
  <si>
    <t>iferror of comparison</t>
  </si>
  <si>
    <t>sumproduct with error</t>
  </si>
  <si>
    <t>LEFT array, error count</t>
  </si>
  <si>
    <t>RIGHT array, error count</t>
  </si>
  <si>
    <t>LEFT error, array count</t>
  </si>
  <si>
    <t>MID array, error start</t>
  </si>
  <si>
    <t>MID array, error length</t>
  </si>
  <si>
    <t>MID error text</t>
  </si>
  <si>
    <t>EXACT array, error</t>
  </si>
  <si>
    <t>EXACT error, array</t>
  </si>
  <si>
    <t>EXACT two rows, error</t>
  </si>
  <si>
    <t>TEXT array, error format</t>
  </si>
  <si>
    <t>TEXT array with error, error format</t>
  </si>
  <si>
    <t>DATE array year, error month</t>
  </si>
  <si>
    <t>DATE error year, array month</t>
  </si>
  <si>
    <t>DATE array month, error day</t>
  </si>
  <si>
    <t>DATE error year before error day</t>
  </si>
  <si>
    <t>WEEKDAY array, error type</t>
  </si>
  <si>
    <t>WEEKDAY two rows, error type</t>
  </si>
  <si>
    <t>REPT array, error count</t>
  </si>
  <si>
    <t>FIND array, error start</t>
  </si>
  <si>
    <t>SUBSTITUTE array, error instance</t>
  </si>
  <si>
    <t>REPLACE array, error new text</t>
  </si>
  <si>
    <t>iferror of array minus error</t>
  </si>
  <si>
    <t>sum of iferror</t>
  </si>
  <si>
    <t>iferror of LEFT</t>
  </si>
  <si>
    <t>layer norm of empty row</t>
  </si>
  <si>
    <t>layer norm of empty row, no iferror</t>
  </si>
  <si>
    <t>layer norm of numbers</t>
  </si>
  <si>
    <t>minus array with error</t>
  </si>
  <si>
    <t>double minus comparison with error</t>
  </si>
  <si>
    <t>percent array with error</t>
  </si>
  <si>
    <t>array constant plus one</t>
  </si>
  <si>
    <t>sum of iferror of array constant</t>
  </si>
  <si>
    <t>LEFT longer text, shorter count</t>
  </si>
  <si>
    <t>array plus shorter array</t>
  </si>
  <si>
    <t>shorter array plus array</t>
  </si>
  <si>
    <t>EXACT shorter against longer</t>
  </si>
  <si>
    <t>number minus error</t>
  </si>
  <si>
    <t>error plus error</t>
  </si>
  <si>
    <t>error concat number</t>
  </si>
  <si>
    <t>number equals error</t>
  </si>
  <si>
    <t>LEFT number, error count</t>
  </si>
  <si>
    <t>EXACT error, error</t>
  </si>
  <si>
    <t>DATE error month, error day</t>
  </si>
  <si>
    <t>WEEKDAY error,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</si>
</sst>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759D62-238D-6E43-A4B6-A730B9DBFB0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301f048-585d-498f-8654-2b8c718cc44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D099-F25F-AF48-935E-B80F48A8B6B8}">
  <dimension ref="A1:G92"/>
  <sheetViews>
    <sheetView workbookViewId="0"/>
  </sheetViews>
  <sheetFormatPr baseColWidth="10" defaultRowHeight="16" x14ac:dyDescent="0.2"/>
  <cols>
    <col min="4" max="4" width="33" bestFit="1" customWidth="1"/>
  </cols>
  <sheetData>
    <row r="1" spans="1:7" x14ac:dyDescent="0.2">
      <c r="A1">
        <v>1</v>
      </c>
      <c r="B1">
        <v>2</v>
      </c>
      <c r="C1">
        <v>3</v>
      </c>
      <c r="D1" t="s">
        <v>4</v>
      </c>
      <c r="E1" t="e" cm="1">
        <f t="array" ref="E1:G1">A1:C1-1/0</f>
        <v>#DIV/0!</v>
      </c>
      <c r="F1" t="e">
        <v>#DIV/0!</v>
      </c>
      <c r="G1" t="e">
        <v>#DIV/0!</v>
      </c>
    </row>
    <row r="2" spans="1:7" x14ac:dyDescent="0.2">
      <c r="A2">
        <v>4</v>
      </c>
      <c r="B2">
        <v>5</v>
      </c>
      <c r="C2">
        <v>6</v>
      </c>
      <c r="D2" t="s">
        <v>5</v>
      </c>
      <c r="E2" t="e" cm="1">
        <f t="array" ref="E2:G2">A1:C1+NA()</f>
        <v>#N/A</v>
      </c>
      <c r="F2" t="e">
        <v>#N/A</v>
      </c>
      <c r="G2" t="e">
        <v>#N/A</v>
      </c>
    </row>
    <row r="3" spans="1:7" x14ac:dyDescent="0.2">
      <c r="D3" t="s">
        <v>6</v>
      </c>
      <c r="E3" t="e" cm="1">
        <f t="array" ref="E3:G3">A1:C1*(1/0)</f>
        <v>#DIV/0!</v>
      </c>
      <c r="F3" t="e">
        <v>#DIV/0!</v>
      </c>
      <c r="G3" t="e">
        <v>#DIV/0!</v>
      </c>
    </row>
    <row r="4" spans="1:7" x14ac:dyDescent="0.2">
      <c r="D4" t="s">
        <v>7</v>
      </c>
      <c r="E4" t="e" cm="1">
        <f t="array" ref="E4:G4">A1:C1/NA()</f>
        <v>#N/A</v>
      </c>
      <c r="F4" t="e">
        <v>#N/A</v>
      </c>
      <c r="G4" t="e">
        <v>#N/A</v>
      </c>
    </row>
    <row r="5" spans="1:7" x14ac:dyDescent="0.2">
      <c r="A5">
        <v>1</v>
      </c>
      <c r="B5" t="e">
        <f>NA()</f>
        <v>#N/A</v>
      </c>
      <c r="C5" t="s">
        <v>0</v>
      </c>
      <c r="D5" t="s">
        <v>8</v>
      </c>
      <c r="E5" t="e" cm="1">
        <f t="array" ref="E5:G5">A1:C1^(1/0)</f>
        <v>#DIV/0!</v>
      </c>
      <c r="F5" t="e">
        <v>#DIV/0!</v>
      </c>
      <c r="G5" t="e">
        <v>#DIV/0!</v>
      </c>
    </row>
    <row r="6" spans="1:7" x14ac:dyDescent="0.2">
      <c r="A6">
        <v>1</v>
      </c>
      <c r="B6" t="e">
        <f>1/0</f>
        <v>#DIV/0!</v>
      </c>
      <c r="C6">
        <v>3</v>
      </c>
      <c r="D6" t="s">
        <v>9</v>
      </c>
      <c r="E6" t="e" cm="1">
        <f t="array" ref="E6:G6">1/0-A1:C1</f>
        <v>#DIV/0!</v>
      </c>
      <c r="F6" t="e">
        <v>#DIV/0!</v>
      </c>
      <c r="G6" t="e">
        <v>#DIV/0!</v>
      </c>
    </row>
    <row r="7" spans="1:7" x14ac:dyDescent="0.2">
      <c r="A7" t="s">
        <v>1</v>
      </c>
      <c r="B7" t="s">
        <v>2</v>
      </c>
      <c r="C7" t="s">
        <v>3</v>
      </c>
      <c r="D7" t="s">
        <v>10</v>
      </c>
      <c r="E7" t="e" cm="1">
        <f t="array" ref="E7:F7">NA()^{1,2}</f>
        <v>#N/A</v>
      </c>
      <c r="F7" t="e">
        <v>#N/A</v>
      </c>
    </row>
    <row r="8" spans="1:7" x14ac:dyDescent="0.2">
      <c r="D8" t="s">
        <v>11</v>
      </c>
      <c r="E8" t="e" cm="1">
        <f t="array" ref="E8:G9">A1:C2-1/0</f>
        <v>#DIV/0!</v>
      </c>
      <c r="F8" t="e">
        <v>#DIV/0!</v>
      </c>
      <c r="G8" t="e">
        <v>#DIV/0!</v>
      </c>
    </row>
    <row r="9" spans="1:7" x14ac:dyDescent="0.2">
      <c r="E9" t="e">
        <v>#DIV/0!</v>
      </c>
      <c r="F9" t="e">
        <v>#DIV/0!</v>
      </c>
      <c r="G9" t="e">
        <v>#DIV/0!</v>
      </c>
    </row>
    <row r="10" spans="1:7" x14ac:dyDescent="0.2">
      <c r="D10" t="s">
        <v>12</v>
      </c>
      <c r="E10" t="e" cm="1">
        <f t="array" ref="E10:E11">A1:A2*NA()</f>
        <v>#N/A</v>
      </c>
    </row>
    <row r="11" spans="1:7" x14ac:dyDescent="0.2">
      <c r="E11" t="e">
        <v>#N/A</v>
      </c>
    </row>
    <row r="12" spans="1:7" x14ac:dyDescent="0.2">
      <c r="D12" t="s">
        <v>13</v>
      </c>
      <c r="E12" t="e" cm="1">
        <f t="array" ref="E12:G12">A1:C1+"a"</f>
        <v>#VALUE!</v>
      </c>
      <c r="F12" t="e">
        <v>#VALUE!</v>
      </c>
      <c r="G12" t="e">
        <v>#VALUE!</v>
      </c>
    </row>
    <row r="13" spans="1:7" x14ac:dyDescent="0.2">
      <c r="D13" t="s">
        <v>14</v>
      </c>
      <c r="E13" t="e" cm="1">
        <f t="array" ref="E13:G13">"a"*A1:C1</f>
        <v>#VALUE!</v>
      </c>
      <c r="F13" t="e">
        <v>#VALUE!</v>
      </c>
      <c r="G13" t="e">
        <v>#VALUE!</v>
      </c>
    </row>
    <row r="14" spans="1:7" x14ac:dyDescent="0.2">
      <c r="D14" t="s">
        <v>15</v>
      </c>
      <c r="E14" t="e" cm="1">
        <f t="array" ref="E14:G14">A1:C1&amp;1/0</f>
        <v>#DIV/0!</v>
      </c>
      <c r="F14" t="e">
        <v>#DIV/0!</v>
      </c>
      <c r="G14" t="e">
        <v>#DIV/0!</v>
      </c>
    </row>
    <row r="15" spans="1:7" x14ac:dyDescent="0.2">
      <c r="D15" t="s">
        <v>16</v>
      </c>
      <c r="E15" t="e" cm="1">
        <f t="array" ref="E15:G15">1/0&amp;A1:C1</f>
        <v>#DIV/0!</v>
      </c>
      <c r="F15" t="e">
        <v>#DIV/0!</v>
      </c>
      <c r="G15" t="e">
        <v>#DIV/0!</v>
      </c>
    </row>
    <row r="16" spans="1:7" x14ac:dyDescent="0.2">
      <c r="D16" t="s">
        <v>17</v>
      </c>
      <c r="E16" t="e" cm="1">
        <f t="array" ref="E16:G16">A1:C1=1/0</f>
        <v>#DIV/0!</v>
      </c>
      <c r="F16" t="e">
        <v>#DIV/0!</v>
      </c>
      <c r="G16" t="e">
        <v>#DIV/0!</v>
      </c>
    </row>
    <row r="17" spans="4:7" x14ac:dyDescent="0.2">
      <c r="D17" t="s">
        <v>18</v>
      </c>
      <c r="E17" t="e" cm="1">
        <f t="array" ref="E17:G17">1/0&lt;A1:C1</f>
        <v>#DIV/0!</v>
      </c>
      <c r="F17" t="e">
        <v>#DIV/0!</v>
      </c>
      <c r="G17" t="e">
        <v>#DIV/0!</v>
      </c>
    </row>
    <row r="18" spans="4:7" x14ac:dyDescent="0.2">
      <c r="D18" t="s">
        <v>19</v>
      </c>
      <c r="E18" t="e" cm="1">
        <f t="array" ref="E18:G18">A1:C1&lt;&gt;1/0</f>
        <v>#DIV/0!</v>
      </c>
      <c r="F18" t="e">
        <v>#DIV/0!</v>
      </c>
      <c r="G18" t="e">
        <v>#DIV/0!</v>
      </c>
    </row>
    <row r="19" spans="4:7" x14ac:dyDescent="0.2">
      <c r="D19" t="s">
        <v>20</v>
      </c>
      <c r="E19" t="e" cm="1">
        <f t="array" ref="E19:G19">POWER(A1:C1, 1/0)</f>
        <v>#DIV/0!</v>
      </c>
      <c r="F19" t="e">
        <v>#DIV/0!</v>
      </c>
      <c r="G19" t="e">
        <v>#DIV/0!</v>
      </c>
    </row>
    <row r="20" spans="4:7" x14ac:dyDescent="0.2">
      <c r="D20" t="s">
        <v>21</v>
      </c>
      <c r="E20" t="e" cm="1">
        <f t="array" ref="E20:G20">POWER(NA(), A1:C1)</f>
        <v>#N/A</v>
      </c>
      <c r="F20" t="e">
        <v>#N/A</v>
      </c>
      <c r="G20" t="e">
        <v>#N/A</v>
      </c>
    </row>
    <row r="22" spans="4:7" x14ac:dyDescent="0.2">
      <c r="D22" t="s">
        <v>22</v>
      </c>
      <c r="E22" t="e" cm="1">
        <f t="array" ref="E22:G22">A5:C5+1/0</f>
        <v>#DIV/0!</v>
      </c>
      <c r="F22" t="e">
        <v>#N/A</v>
      </c>
      <c r="G22" t="e">
        <v>#VALUE!</v>
      </c>
    </row>
    <row r="23" spans="4:7" x14ac:dyDescent="0.2">
      <c r="D23" t="s">
        <v>23</v>
      </c>
      <c r="E23" t="e" cm="1">
        <f t="array" ref="E23:G23">1/0+A5:C5</f>
        <v>#DIV/0!</v>
      </c>
      <c r="F23" t="e">
        <v>#DIV/0!</v>
      </c>
      <c r="G23" t="e">
        <v>#DIV/0!</v>
      </c>
    </row>
    <row r="24" spans="4:7" x14ac:dyDescent="0.2">
      <c r="D24" t="s">
        <v>24</v>
      </c>
      <c r="E24" t="e" cm="1">
        <f t="array" ref="E24:G24">A5:C5&amp;1/0</f>
        <v>#DIV/0!</v>
      </c>
      <c r="F24" t="e">
        <v>#N/A</v>
      </c>
      <c r="G24" t="e">
        <v>#DIV/0!</v>
      </c>
    </row>
    <row r="25" spans="4:7" x14ac:dyDescent="0.2">
      <c r="D25" t="s">
        <v>25</v>
      </c>
      <c r="E25" t="e" cm="1">
        <f t="array" ref="E25:G25">A5:C5=1/0</f>
        <v>#DIV/0!</v>
      </c>
      <c r="F25" t="e">
        <v>#N/A</v>
      </c>
      <c r="G25" t="e">
        <v>#DIV/0!</v>
      </c>
    </row>
    <row r="26" spans="4:7" x14ac:dyDescent="0.2">
      <c r="D26" t="s">
        <v>26</v>
      </c>
      <c r="E26" t="e" cm="1">
        <f t="array" ref="E26:G26">LEFT(A6:C6, NA())</f>
        <v>#N/A</v>
      </c>
      <c r="F26" t="e">
        <v>#DIV/0!</v>
      </c>
      <c r="G26" t="e">
        <v>#N/A</v>
      </c>
    </row>
    <row r="27" spans="4:7" x14ac:dyDescent="0.2">
      <c r="D27" t="s">
        <v>27</v>
      </c>
      <c r="E27" t="e" cm="1">
        <f t="array" ref="E27:G27">EXACT(NA(), A6:C6)</f>
        <v>#N/A</v>
      </c>
      <c r="F27" t="e">
        <v>#N/A</v>
      </c>
      <c r="G27" t="e">
        <v>#N/A</v>
      </c>
    </row>
    <row r="28" spans="4:7" x14ac:dyDescent="0.2">
      <c r="D28" t="s">
        <v>28</v>
      </c>
      <c r="E28" t="e" cm="1">
        <f t="array" ref="E28:G28">DATE(2020, NA(), A6:C6)</f>
        <v>#N/A</v>
      </c>
      <c r="F28" t="e">
        <v>#N/A</v>
      </c>
      <c r="G28" t="e">
        <v>#N/A</v>
      </c>
    </row>
    <row r="29" spans="4:7" x14ac:dyDescent="0.2">
      <c r="D29" t="s">
        <v>29</v>
      </c>
      <c r="E29" t="e" cm="1">
        <f t="array" ref="E29:G29">DATE(2020, A6:C6, NA())</f>
        <v>#N/A</v>
      </c>
      <c r="F29" t="e">
        <v>#DIV/0!</v>
      </c>
      <c r="G29" t="e">
        <v>#N/A</v>
      </c>
    </row>
    <row r="31" spans="4:7" x14ac:dyDescent="0.2">
      <c r="D31" t="s">
        <v>30</v>
      </c>
      <c r="E31" t="b" cm="1">
        <f t="array" ref="E31:G31">A6:C6=1</f>
        <v>1</v>
      </c>
      <c r="F31" t="e">
        <v>#DIV/0!</v>
      </c>
      <c r="G31" t="b">
        <v>0</v>
      </c>
    </row>
    <row r="32" spans="4:7" x14ac:dyDescent="0.2">
      <c r="D32" t="s">
        <v>31</v>
      </c>
      <c r="E32" t="b" cm="1">
        <f t="array" ref="E32:G32">2&lt;A6:C6</f>
        <v>0</v>
      </c>
      <c r="F32" t="e">
        <v>#DIV/0!</v>
      </c>
      <c r="G32" t="b">
        <v>1</v>
      </c>
    </row>
    <row r="33" spans="4:7" x14ac:dyDescent="0.2">
      <c r="D33" t="s">
        <v>32</v>
      </c>
      <c r="E33" t="b" cm="1">
        <f t="array" ref="E33:G33">A6:C6&lt;&gt;"a"</f>
        <v>1</v>
      </c>
      <c r="F33" t="e">
        <v>#DIV/0!</v>
      </c>
      <c r="G33" t="b">
        <v>1</v>
      </c>
    </row>
    <row r="34" spans="4:7" x14ac:dyDescent="0.2">
      <c r="D34" t="s">
        <v>33</v>
      </c>
      <c r="E34" t="b" cm="1">
        <f t="array" ref="E34:G34">{1,#DIV/0!,3}&gt;=3</f>
        <v>0</v>
      </c>
      <c r="F34" t="e">
        <v>#DIV/0!</v>
      </c>
      <c r="G34" t="b">
        <v>1</v>
      </c>
    </row>
    <row r="35" spans="4:7" x14ac:dyDescent="0.2">
      <c r="D35" t="s">
        <v>34</v>
      </c>
      <c r="E35" t="b" cm="1">
        <f t="array" ref="E35:G35">A6:C6=A5:C5</f>
        <v>1</v>
      </c>
      <c r="F35" t="e">
        <v>#DIV/0!</v>
      </c>
      <c r="G35" t="b">
        <v>0</v>
      </c>
    </row>
    <row r="36" spans="4:7" x14ac:dyDescent="0.2">
      <c r="D36" t="s">
        <v>35</v>
      </c>
      <c r="E36" t="b" cm="1">
        <f t="array" ref="E36:G36">A5:C5=A6:C6</f>
        <v>1</v>
      </c>
      <c r="F36" t="e">
        <v>#N/A</v>
      </c>
      <c r="G36" t="b">
        <v>0</v>
      </c>
    </row>
    <row r="37" spans="4:7" x14ac:dyDescent="0.2">
      <c r="D37" t="s">
        <v>36</v>
      </c>
      <c r="E37" t="b" cm="1">
        <f t="array" ref="E37:G38">A6:C6&lt;{1;2}</f>
        <v>0</v>
      </c>
      <c r="F37" t="e">
        <v>#DIV/0!</v>
      </c>
      <c r="G37" t="b">
        <v>0</v>
      </c>
    </row>
    <row r="38" spans="4:7" x14ac:dyDescent="0.2">
      <c r="E38" t="b">
        <v>1</v>
      </c>
      <c r="F38" t="e">
        <v>#DIV/0!</v>
      </c>
      <c r="G38" t="b">
        <v>0</v>
      </c>
    </row>
    <row r="39" spans="4:7" x14ac:dyDescent="0.2">
      <c r="D39" t="s">
        <v>37</v>
      </c>
      <c r="E39" t="e" cm="1">
        <f t="array" ref="E39">SUM((A6:C6=1)*1)</f>
        <v>#DIV/0!</v>
      </c>
    </row>
    <row r="40" spans="4:7" x14ac:dyDescent="0.2">
      <c r="D40" t="s">
        <v>38</v>
      </c>
      <c r="E40" t="b" cm="1">
        <f t="array" ref="E40:G40">IFERROR(A6:C6=1, "e")</f>
        <v>1</v>
      </c>
      <c r="F40" t="str">
        <v>e</v>
      </c>
      <c r="G40" t="b">
        <v>0</v>
      </c>
    </row>
    <row r="41" spans="4:7" x14ac:dyDescent="0.2">
      <c r="D41" t="s">
        <v>39</v>
      </c>
      <c r="E41" t="e">
        <f>SUMPRODUCT(A6:C6, A1:C1)</f>
        <v>#DIV/0!</v>
      </c>
    </row>
    <row r="43" spans="4:7" x14ac:dyDescent="0.2">
      <c r="D43" t="s">
        <v>40</v>
      </c>
      <c r="E43" t="e" cm="1">
        <f t="array" ref="E43:G43">LEFT(A7:C7, NA())</f>
        <v>#N/A</v>
      </c>
      <c r="F43" t="e">
        <v>#N/A</v>
      </c>
      <c r="G43" t="e">
        <v>#N/A</v>
      </c>
    </row>
    <row r="44" spans="4:7" x14ac:dyDescent="0.2">
      <c r="D44" t="s">
        <v>41</v>
      </c>
      <c r="E44" t="e" cm="1">
        <f t="array" ref="E44:G44">RIGHT(A7:C7, 1/0)</f>
        <v>#DIV/0!</v>
      </c>
      <c r="F44" t="e">
        <v>#DIV/0!</v>
      </c>
      <c r="G44" t="e">
        <v>#DIV/0!</v>
      </c>
    </row>
    <row r="45" spans="4:7" x14ac:dyDescent="0.2">
      <c r="D45" t="s">
        <v>42</v>
      </c>
      <c r="E45" t="e" cm="1">
        <f t="array" ref="E45:F45">LEFT(NA(), {1,2})</f>
        <v>#N/A</v>
      </c>
      <c r="F45" t="e">
        <v>#N/A</v>
      </c>
    </row>
    <row r="46" spans="4:7" x14ac:dyDescent="0.2">
      <c r="D46" t="s">
        <v>43</v>
      </c>
      <c r="E46" t="e" cm="1">
        <f t="array" ref="E46:G46">MID(A7:C7, NA(), 1)</f>
        <v>#N/A</v>
      </c>
      <c r="F46" t="e">
        <v>#N/A</v>
      </c>
      <c r="G46" t="e">
        <v>#N/A</v>
      </c>
    </row>
    <row r="47" spans="4:7" x14ac:dyDescent="0.2">
      <c r="D47" t="s">
        <v>44</v>
      </c>
      <c r="E47" t="e" cm="1">
        <f t="array" ref="E47:G47">MID(A7:C7, 1, 1/0)</f>
        <v>#DIV/0!</v>
      </c>
      <c r="F47" t="e">
        <v>#DIV/0!</v>
      </c>
      <c r="G47" t="e">
        <v>#DIV/0!</v>
      </c>
    </row>
    <row r="48" spans="4:7" x14ac:dyDescent="0.2">
      <c r="D48" t="s">
        <v>45</v>
      </c>
      <c r="E48" t="e" cm="1">
        <f t="array" ref="E48:F48">MID(NA(), {1,2}, 1)</f>
        <v>#N/A</v>
      </c>
      <c r="F48" t="e">
        <v>#N/A</v>
      </c>
    </row>
    <row r="49" spans="4:7" x14ac:dyDescent="0.2">
      <c r="D49" t="s">
        <v>46</v>
      </c>
      <c r="E49" t="e" cm="1">
        <f t="array" ref="E49:G49">EXACT(A7:C7, NA())</f>
        <v>#N/A</v>
      </c>
      <c r="F49" t="e">
        <v>#N/A</v>
      </c>
      <c r="G49" t="e">
        <v>#N/A</v>
      </c>
    </row>
    <row r="50" spans="4:7" x14ac:dyDescent="0.2">
      <c r="D50" t="s">
        <v>47</v>
      </c>
      <c r="E50" t="e" cm="1">
        <f t="array" ref="E50:G50">EXACT(1/0, A7:C7)</f>
        <v>#DIV/0!</v>
      </c>
      <c r="F50" t="e">
        <v>#DIV/0!</v>
      </c>
      <c r="G50" t="e">
        <v>#DIV/0!</v>
      </c>
    </row>
    <row r="51" spans="4:7" x14ac:dyDescent="0.2">
      <c r="D51" t="s">
        <v>48</v>
      </c>
      <c r="E51" t="e" cm="1">
        <f t="array" ref="E51:G52">EXACT(A1:C2, NA())</f>
        <v>#N/A</v>
      </c>
      <c r="F51" t="e">
        <v>#N/A</v>
      </c>
      <c r="G51" t="e">
        <v>#N/A</v>
      </c>
    </row>
    <row r="52" spans="4:7" x14ac:dyDescent="0.2">
      <c r="E52" t="e">
        <v>#N/A</v>
      </c>
      <c r="F52" t="e">
        <v>#N/A</v>
      </c>
      <c r="G52" t="e">
        <v>#N/A</v>
      </c>
    </row>
    <row r="53" spans="4:7" x14ac:dyDescent="0.2">
      <c r="D53" t="s">
        <v>49</v>
      </c>
      <c r="E53" t="e" cm="1">
        <f t="array" ref="E53:G53">TEXT(A1:C1, NA())</f>
        <v>#N/A</v>
      </c>
      <c r="F53" t="e">
        <v>#N/A</v>
      </c>
      <c r="G53" t="e">
        <v>#N/A</v>
      </c>
    </row>
    <row r="54" spans="4:7" x14ac:dyDescent="0.2">
      <c r="D54" t="s">
        <v>50</v>
      </c>
      <c r="E54" t="e" cm="1">
        <f t="array" ref="E54:G54">TEXT(A6:C6, NA())</f>
        <v>#N/A</v>
      </c>
      <c r="F54" t="e">
        <v>#DIV/0!</v>
      </c>
      <c r="G54" t="e">
        <v>#N/A</v>
      </c>
    </row>
    <row r="55" spans="4:7" x14ac:dyDescent="0.2">
      <c r="D55" t="s">
        <v>51</v>
      </c>
      <c r="E55" t="e" cm="1">
        <f t="array" ref="E55:F55">DATE({2020,2021}, NA(), 1)</f>
        <v>#N/A</v>
      </c>
      <c r="F55" t="e">
        <v>#N/A</v>
      </c>
    </row>
    <row r="56" spans="4:7" x14ac:dyDescent="0.2">
      <c r="D56" t="s">
        <v>52</v>
      </c>
      <c r="E56" t="e" cm="1">
        <f t="array" ref="E56:G56">DATE(NA(), A1:C1, 1)</f>
        <v>#N/A</v>
      </c>
      <c r="F56" t="e">
        <v>#N/A</v>
      </c>
      <c r="G56" t="e">
        <v>#N/A</v>
      </c>
    </row>
    <row r="57" spans="4:7" x14ac:dyDescent="0.2">
      <c r="D57" t="s">
        <v>53</v>
      </c>
      <c r="E57" t="e" cm="1">
        <f t="array" ref="E57:G57">DATE(2020, A1:C1, 1/0)</f>
        <v>#DIV/0!</v>
      </c>
      <c r="F57" t="e">
        <v>#DIV/0!</v>
      </c>
      <c r="G57" t="e">
        <v>#DIV/0!</v>
      </c>
    </row>
    <row r="58" spans="4:7" x14ac:dyDescent="0.2">
      <c r="D58" t="s">
        <v>54</v>
      </c>
      <c r="E58" t="e" cm="1">
        <f t="array" ref="E58:G58">DATE(1/0, A1:C1, NA())</f>
        <v>#DIV/0!</v>
      </c>
      <c r="F58" t="e">
        <v>#DIV/0!</v>
      </c>
      <c r="G58" t="e">
        <v>#DIV/0!</v>
      </c>
    </row>
    <row r="59" spans="4:7" x14ac:dyDescent="0.2">
      <c r="D59" t="s">
        <v>55</v>
      </c>
      <c r="E59" t="e" cm="1">
        <f t="array" ref="E59:G59">WEEKDAY(A1:C1, NA())</f>
        <v>#N/A</v>
      </c>
      <c r="F59" t="e">
        <v>#N/A</v>
      </c>
      <c r="G59" t="e">
        <v>#N/A</v>
      </c>
    </row>
    <row r="60" spans="4:7" x14ac:dyDescent="0.2">
      <c r="D60" t="s">
        <v>56</v>
      </c>
      <c r="E60" t="e" cm="1">
        <f t="array" ref="E60:G61">WEEKDAY(A1:C2, 1/0)</f>
        <v>#DIV/0!</v>
      </c>
      <c r="F60" t="e">
        <v>#DIV/0!</v>
      </c>
      <c r="G60" t="e">
        <v>#DIV/0!</v>
      </c>
    </row>
    <row r="61" spans="4:7" x14ac:dyDescent="0.2">
      <c r="E61" t="e">
        <v>#DIV/0!</v>
      </c>
      <c r="F61" t="e">
        <v>#DIV/0!</v>
      </c>
      <c r="G61" t="e">
        <v>#DIV/0!</v>
      </c>
    </row>
    <row r="62" spans="4:7" x14ac:dyDescent="0.2">
      <c r="D62" t="s">
        <v>57</v>
      </c>
      <c r="E62" t="e" cm="1">
        <f t="array" ref="E62:G62">REPT(A7:C7, NA())</f>
        <v>#N/A</v>
      </c>
      <c r="F62" t="e">
        <v>#N/A</v>
      </c>
      <c r="G62" t="e">
        <v>#N/A</v>
      </c>
    </row>
    <row r="63" spans="4:7" x14ac:dyDescent="0.2">
      <c r="D63" t="s">
        <v>58</v>
      </c>
      <c r="E63" t="e" cm="1">
        <f t="array" ref="E63:G63">FIND("a", A7:C7, NA())</f>
        <v>#N/A</v>
      </c>
      <c r="F63" t="e">
        <v>#N/A</v>
      </c>
      <c r="G63" t="e">
        <v>#N/A</v>
      </c>
    </row>
    <row r="64" spans="4:7" x14ac:dyDescent="0.2">
      <c r="D64" t="s">
        <v>59</v>
      </c>
      <c r="E64" t="e" cm="1">
        <f t="array" ref="E64:G64">SUBSTITUTE(A7:C7, "a", "x", NA())</f>
        <v>#N/A</v>
      </c>
      <c r="F64" t="e">
        <v>#N/A</v>
      </c>
      <c r="G64" t="e">
        <v>#N/A</v>
      </c>
    </row>
    <row r="65" spans="4:7" x14ac:dyDescent="0.2">
      <c r="D65" t="s">
        <v>60</v>
      </c>
      <c r="E65" t="e" cm="1">
        <f t="array" ref="E65:G65">REPLACE(A7:C7, 1, 1, NA())</f>
        <v>#N/A</v>
      </c>
      <c r="F65" t="e">
        <v>#N/A</v>
      </c>
      <c r="G65" t="e">
        <v>#N/A</v>
      </c>
    </row>
    <row r="67" spans="4:7" x14ac:dyDescent="0.2">
      <c r="D67" t="s">
        <v>61</v>
      </c>
      <c r="E67" cm="1">
        <f t="array" ref="E67:G67">IFERROR(A1:C1-AVERAGE(K1:K3), 0)</f>
        <v>0</v>
      </c>
      <c r="F67">
        <v>0</v>
      </c>
      <c r="G67">
        <v>0</v>
      </c>
    </row>
    <row r="68" spans="4:7" x14ac:dyDescent="0.2">
      <c r="D68" t="s">
        <v>62</v>
      </c>
      <c r="E68" cm="1">
        <f t="array" ref="E68">SUM(IFERROR(A1:C1/NA(), 2))</f>
        <v>6</v>
      </c>
    </row>
    <row r="69" spans="4:7" x14ac:dyDescent="0.2">
      <c r="D69" t="s">
        <v>63</v>
      </c>
      <c r="E69" t="str" cm="1">
        <f t="array" ref="E69:G69">IFERROR(LEFT(A7:C7, NA()), "x")</f>
        <v>x</v>
      </c>
      <c r="F69" t="str">
        <v>x</v>
      </c>
      <c r="G69" t="str">
        <v>x</v>
      </c>
    </row>
    <row r="70" spans="4:7" x14ac:dyDescent="0.2">
      <c r="D70" t="s">
        <v>64</v>
      </c>
      <c r="E70" cm="1">
        <f t="array" ref="E70:G70">IFERROR(_xlfn.LAMBDA(_xlpm.r, (_xlpm.r-AVERAGE(_xlpm.r))/SQRT(_xlfn.VAR.P(_xlpm.r)+0.00001))(K1:M1), 0)</f>
        <v>0</v>
      </c>
      <c r="F70">
        <v>0</v>
      </c>
      <c r="G70">
        <v>0</v>
      </c>
    </row>
    <row r="71" spans="4:7" x14ac:dyDescent="0.2">
      <c r="D71" t="s">
        <v>65</v>
      </c>
      <c r="E71" t="e" cm="1">
        <f t="array" ref="E71:G71">_xlfn.LAMBDA(_xlpm.r, (_xlpm.r-AVERAGE(_xlpm.r))/SQRT(_xlfn.VAR.P(_xlpm.r)+0.00001))(K1:M1)</f>
        <v>#DIV/0!</v>
      </c>
      <c r="F71" t="e">
        <v>#DIV/0!</v>
      </c>
      <c r="G71" t="e">
        <v>#DIV/0!</v>
      </c>
    </row>
    <row r="72" spans="4:7" x14ac:dyDescent="0.2">
      <c r="D72" t="s">
        <v>66</v>
      </c>
      <c r="E72" cm="1">
        <f t="array" ref="E72:G72">_xlfn.LAMBDA(_xlpm.r, (_xlpm.r-AVERAGE(_xlpm.r))/SQRT(_xlfn.VAR.P(_xlpm.r)+0.00001))(A1:C1)</f>
        <v>-1.2247356859083902</v>
      </c>
      <c r="F72">
        <v>0</v>
      </c>
      <c r="G72">
        <v>1.2247356859083902</v>
      </c>
    </row>
    <row r="74" spans="4:7" x14ac:dyDescent="0.2">
      <c r="D74" t="s">
        <v>67</v>
      </c>
      <c r="E74" cm="1">
        <f t="array" ref="E74:G74">-A6:C6</f>
        <v>-1</v>
      </c>
      <c r="F74" t="e">
        <v>#DIV/0!</v>
      </c>
      <c r="G74">
        <v>-3</v>
      </c>
    </row>
    <row r="75" spans="4:7" x14ac:dyDescent="0.2">
      <c r="D75" t="s">
        <v>68</v>
      </c>
      <c r="E75" cm="1">
        <f t="array" ref="E75:G75">--(A6:C6=1)</f>
        <v>1</v>
      </c>
      <c r="F75" t="e">
        <v>#DIV/0!</v>
      </c>
      <c r="G75">
        <v>0</v>
      </c>
    </row>
    <row r="76" spans="4:7" x14ac:dyDescent="0.2">
      <c r="D76" t="s">
        <v>69</v>
      </c>
      <c r="E76" cm="1">
        <f t="array" ref="E76:G76">A6:C6%</f>
        <v>0.01</v>
      </c>
      <c r="F76" t="e">
        <v>#DIV/0!</v>
      </c>
      <c r="G76">
        <v>0.03</v>
      </c>
    </row>
    <row r="77" spans="4:7" x14ac:dyDescent="0.2">
      <c r="D77" t="s">
        <v>70</v>
      </c>
      <c r="E77" cm="1">
        <f t="array" ref="E77:F77">{1,#N/A}+1</f>
        <v>2</v>
      </c>
      <c r="F77" t="e">
        <v>#N/A</v>
      </c>
    </row>
    <row r="78" spans="4:7" x14ac:dyDescent="0.2">
      <c r="D78" t="s">
        <v>71</v>
      </c>
      <c r="E78" cm="1">
        <f t="array" ref="E78">SUM(IFERROR({1,#N/A}+1, 0))</f>
        <v>2</v>
      </c>
    </row>
    <row r="80" spans="4:7" x14ac:dyDescent="0.2">
      <c r="D80" t="s">
        <v>72</v>
      </c>
      <c r="E80" t="str" cm="1">
        <f t="array" ref="E80:G80">LEFT(A6:C6, {1,2})</f>
        <v>1</v>
      </c>
      <c r="F80" t="e">
        <v>#DIV/0!</v>
      </c>
      <c r="G80" t="e">
        <v>#N/A</v>
      </c>
    </row>
    <row r="81" spans="4:7" x14ac:dyDescent="0.2">
      <c r="D81" t="s">
        <v>73</v>
      </c>
      <c r="E81" cm="1">
        <f t="array" ref="E81:G81">A6:C6+{1,2}</f>
        <v>2</v>
      </c>
      <c r="F81" t="e">
        <v>#DIV/0!</v>
      </c>
      <c r="G81" t="e">
        <v>#N/A</v>
      </c>
    </row>
    <row r="82" spans="4:7" x14ac:dyDescent="0.2">
      <c r="D82" t="s">
        <v>74</v>
      </c>
      <c r="E82" cm="1">
        <f t="array" ref="E82:G82">{1,2}+A6:C6</f>
        <v>2</v>
      </c>
      <c r="F82" t="e">
        <v>#DIV/0!</v>
      </c>
      <c r="G82" t="e">
        <v>#N/A</v>
      </c>
    </row>
    <row r="83" spans="4:7" x14ac:dyDescent="0.2">
      <c r="D83" t="s">
        <v>75</v>
      </c>
      <c r="E83" t="b" cm="1">
        <f t="array" ref="E83:G83">EXACT({"abc","x"}, A7:C7)</f>
        <v>1</v>
      </c>
      <c r="F83" t="b">
        <v>0</v>
      </c>
      <c r="G83" t="e">
        <v>#N/A</v>
      </c>
    </row>
    <row r="85" spans="4:7" x14ac:dyDescent="0.2">
      <c r="D85" t="s">
        <v>76</v>
      </c>
      <c r="E85" t="e">
        <f>A1-1/0</f>
        <v>#DIV/0!</v>
      </c>
    </row>
    <row r="86" spans="4:7" x14ac:dyDescent="0.2">
      <c r="D86" t="s">
        <v>77</v>
      </c>
      <c r="E86" t="e">
        <f>1/0+NA()</f>
        <v>#DIV/0!</v>
      </c>
    </row>
    <row r="87" spans="4:7" x14ac:dyDescent="0.2">
      <c r="D87" t="s">
        <v>78</v>
      </c>
      <c r="E87" t="e">
        <f>NA()&amp;A1</f>
        <v>#N/A</v>
      </c>
    </row>
    <row r="88" spans="4:7" x14ac:dyDescent="0.2">
      <c r="D88" t="s">
        <v>79</v>
      </c>
      <c r="E88" t="e">
        <f>A1=NA()</f>
        <v>#N/A</v>
      </c>
    </row>
    <row r="89" spans="4:7" x14ac:dyDescent="0.2">
      <c r="D89" t="s">
        <v>80</v>
      </c>
      <c r="E89" t="e">
        <f>LEFT(A1, NA())</f>
        <v>#N/A</v>
      </c>
    </row>
    <row r="90" spans="4:7" x14ac:dyDescent="0.2">
      <c r="D90" t="s">
        <v>81</v>
      </c>
      <c r="E90" t="e">
        <f>EXACT(1/0, NA())</f>
        <v>#DIV/0!</v>
      </c>
    </row>
    <row r="91" spans="4:7" x14ac:dyDescent="0.2">
      <c r="D91" t="s">
        <v>82</v>
      </c>
      <c r="E91" t="e">
        <f>DATE(2020, NA(), 1/0)</f>
        <v>#N/A</v>
      </c>
    </row>
    <row r="92" spans="4:7" x14ac:dyDescent="0.2">
      <c r="D92" t="s">
        <v>83</v>
      </c>
      <c r="E92" t="e">
        <f>WEEKDAY(1/0, NA())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15A9-5ED5-694E-8D3B-370156488616}">
  <dimension ref="A1:C4"/>
  <sheetViews>
    <sheetView tabSelected="1" workbookViewId="0">
      <selection activeCell="A5" sqref="A5"/>
    </sheetView>
  </sheetViews>
  <sheetFormatPr baseColWidth="10" defaultRowHeight="16" x14ac:dyDescent="0.2"/>
  <sheetData>
    <row r="1" spans="1:3" x14ac:dyDescent="0.2">
      <c r="A1" t="e">
        <f>TEXT("x", NA())</f>
        <v>#N/A</v>
      </c>
    </row>
    <row r="2" spans="1:3" x14ac:dyDescent="0.2">
      <c r="A2" t="e">
        <f>TEXT(TRUE, 1/0)</f>
        <v>#DIV/0!</v>
      </c>
    </row>
    <row r="3" spans="1:3" x14ac:dyDescent="0.2">
      <c r="A3" t="e">
        <f>TEXT(5, NA())</f>
        <v>#N/A</v>
      </c>
    </row>
    <row r="4" spans="1:3" x14ac:dyDescent="0.2">
      <c r="A4" t="e" cm="1">
        <f t="array" ref="A4:C4">TEXT({"x",TRUE,1}, NA())</f>
        <v>#N/A</v>
      </c>
      <c r="B4" t="e">
        <v>#N/A</v>
      </c>
      <c r="C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2026-10-04T10:13:10Z</dcterms:created>
  <dcterms:modified xsi:type="dcterms:W3CDTF">2026-10-04T10:45:38Z</dcterms:modified>
</cp:coreProperties>
</file>