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EF65F3D-EE58-4CA3-B83C-4E24419FF2AC}" xr6:coauthVersionLast="47" xr6:coauthVersionMax="47" xr10:uidLastSave="{00000000-0000-0000-0000-000000000000}"/>
  <bookViews>
    <workbookView xWindow="16240" yWindow="2530" windowWidth="20040" windowHeight="15360" xr2:uid="{00000000-000D-0000-FFFF-FFFF00000000}"/>
  </bookViews>
  <sheets>
    <sheet name="TIMEVALU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3" l="1"/>
  <c r="B21" i="3"/>
  <c r="B30" i="3"/>
  <c r="B31" i="3"/>
  <c r="B55" i="3"/>
  <c r="B54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8" i="3"/>
  <c r="B7" i="3"/>
  <c r="A37" i="3"/>
  <c r="B37" i="3" s="1"/>
  <c r="A36" i="3"/>
  <c r="B36" i="3" s="1"/>
  <c r="A35" i="3" a="1"/>
  <c r="B35" i="3" s="1"/>
  <c r="A34" i="3"/>
  <c r="B34" i="3" s="1"/>
  <c r="A33" i="3"/>
  <c r="B33" i="3" s="1"/>
  <c r="A32" i="3"/>
  <c r="B32" i="3" s="1"/>
  <c r="A29" i="3"/>
  <c r="B29" i="3" s="1"/>
  <c r="A28" i="3"/>
  <c r="B28" i="3" s="1"/>
  <c r="A27" i="3"/>
  <c r="B27" i="3" s="1"/>
  <c r="A26" i="3"/>
  <c r="B26" i="3" s="1"/>
  <c r="A25" i="3"/>
  <c r="B25" i="3" s="1"/>
  <c r="B19" i="3"/>
  <c r="B18" i="3"/>
  <c r="A4" i="3"/>
  <c r="B4" i="3" s="1"/>
  <c r="B13" i="3"/>
  <c r="B12" i="3"/>
  <c r="B11" i="3"/>
  <c r="B10" i="3"/>
  <c r="B9" i="3"/>
  <c r="B6" i="3"/>
  <c r="B5" i="3"/>
  <c r="B3" i="3"/>
  <c r="B14" i="3"/>
  <c r="B15" i="3"/>
  <c r="B16" i="3"/>
  <c r="B17" i="3"/>
  <c r="B20" i="3"/>
  <c r="B2" i="3"/>
  <c r="A22" i="3"/>
  <c r="B22" i="3" s="1"/>
  <c r="A24" i="3"/>
  <c r="B24" i="3" s="1"/>
  <c r="A23" i="3"/>
  <c r="B2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<sst xmlns="http://schemas.openxmlformats.org/spreadsheetml/2006/main" count="87" uniqueCount="79">
  <si>
    <t>TIME TEXT</t>
  </si>
  <si>
    <t>TIMEVALUE</t>
  </si>
  <si>
    <t>NOTES</t>
  </si>
  <si>
    <t>4:35 AM</t>
  </si>
  <si>
    <t>Time as string</t>
  </si>
  <si>
    <t>Time in time format</t>
  </si>
  <si>
    <t>4:35</t>
  </si>
  <si>
    <t>No AM or PM</t>
  </si>
  <si>
    <t>16:35</t>
  </si>
  <si>
    <t>24h format</t>
  </si>
  <si>
    <t>-0.2</t>
  </si>
  <si>
    <t>Negative value</t>
  </si>
  <si>
    <t>-4:35 AM</t>
  </si>
  <si>
    <t>Negative time value</t>
  </si>
  <si>
    <t>4 pm</t>
  </si>
  <si>
    <t>No minutes</t>
  </si>
  <si>
    <t>4:5 pm</t>
  </si>
  <si>
    <t>Single digit minutes</t>
  </si>
  <si>
    <t>4:05:20 pm</t>
  </si>
  <si>
    <t xml:space="preserve">Includes seconds </t>
  </si>
  <si>
    <t>04:35</t>
  </si>
  <si>
    <t>Leading zero</t>
  </si>
  <si>
    <t>4.35</t>
  </si>
  <si>
    <t>Wrong time format (in us locale)</t>
  </si>
  <si>
    <t>"4:35 PM"</t>
  </si>
  <si>
    <t>String in quotes</t>
  </si>
  <si>
    <t>abc</t>
  </si>
  <si>
    <t>String</t>
  </si>
  <si>
    <t>Number</t>
  </si>
  <si>
    <t>Date</t>
  </si>
  <si>
    <t>7/7/2026 4:35 PM</t>
  </si>
  <si>
    <t>Date with time (string)</t>
  </si>
  <si>
    <t>Empty state</t>
  </si>
  <si>
    <t>Boolean</t>
  </si>
  <si>
    <t>Implicit intersection</t>
  </si>
  <si>
    <t>Result from a formula</t>
  </si>
  <si>
    <t>Referenced cell</t>
  </si>
  <si>
    <t>Coerced text numbers to numeric</t>
  </si>
  <si>
    <t>Coerced text float</t>
  </si>
  <si>
    <t>Coerced text number with zero prefix</t>
  </si>
  <si>
    <t>eight</t>
  </si>
  <si>
    <t>Numeric string</t>
  </si>
  <si>
    <t>Banana</t>
  </si>
  <si>
    <t>Non-numeric string</t>
  </si>
  <si>
    <t>Symbol fails coercion</t>
  </si>
  <si>
    <t>Correct Error propagation</t>
  </si>
  <si>
    <t>0:00</t>
  </si>
  <si>
    <t>Midnight</t>
  </si>
  <si>
    <t>24:00</t>
  </si>
  <si>
    <t>23:59:59</t>
  </si>
  <si>
    <t>Last second of the day</t>
  </si>
  <si>
    <t>23:59:60</t>
  </si>
  <si>
    <t>12:00 AM</t>
  </si>
  <si>
    <t>Midnight in 12-hour form</t>
  </si>
  <si>
    <t>12:00 PM</t>
  </si>
  <si>
    <t>Noon in 12-hour form</t>
  </si>
  <si>
    <t>13:00 PM</t>
  </si>
  <si>
    <t>24-hour value with a PM suffix</t>
  </si>
  <si>
    <t>0:00:01</t>
  </si>
  <si>
    <t>One second past midnight</t>
  </si>
  <si>
    <t>0:0:86400</t>
  </si>
  <si>
    <t>Seconds equal to a full day</t>
  </si>
  <si>
    <t>4:35 A.M.</t>
  </si>
  <si>
    <t>AM with periods</t>
  </si>
  <si>
    <t>4:35 Am</t>
  </si>
  <si>
    <t>Mixed case meridiem</t>
  </si>
  <si>
    <t xml:space="preserve"> 4:35 PM </t>
  </si>
  <si>
    <t>Leading and trailing spaces</t>
  </si>
  <si>
    <t>:35</t>
  </si>
  <si>
    <t>Leading separator, no hour</t>
  </si>
  <si>
    <t>4::35</t>
  </si>
  <si>
    <t>Doubled separator</t>
  </si>
  <si>
    <t>1600</t>
  </si>
  <si>
    <t>4:35 PMx</t>
  </si>
  <si>
    <t>Trailing junk after meridiem</t>
  </si>
  <si>
    <t>Empty string</t>
  </si>
  <si>
    <t>Exactly 24 hours wraps to zero, not one</t>
  </si>
  <si>
    <t>Seconds out of bounds wraps the whole day to zero</t>
  </si>
  <si>
    <t>No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</si>
</sst>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1" xfId="1" applyAlignment="1">
      <alignment wrapText="1"/>
    </xf>
    <xf numFmtId="49" fontId="0" fillId="0" borderId="0" xfId="0" applyNumberFormat="1"/>
    <xf numFmtId="164" fontId="0" fillId="0" borderId="0" xfId="0" applyNumberFormat="1"/>
    <xf numFmtId="18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wrapText="1"/>
    </xf>
    <xf numFmtId="0" fontId="1" fillId="2" borderId="1" xfId="1" applyNumberFormat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BE923A-9767-497F-BFFB-C7442FE527C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51ec4d7-8703-43ea-99f4-935d2ea0948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K55"/>
  <sheetViews>
    <sheetView tabSelected="1" topLeftCell="A30" workbookViewId="0">
      <selection activeCell="A45" sqref="A45:XFD45"/>
    </sheetView>
  </sheetViews>
  <sheetFormatPr defaultColWidth="8.81640625" defaultRowHeight="14.5" x14ac:dyDescent="0.35"/>
  <cols>
    <col min="1" max="1" width="21" customWidth="1"/>
    <col min="2" max="2" width="15.7265625" customWidth="1"/>
    <col min="3" max="3" width="38.26953125" bestFit="1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</row>
    <row r="2" spans="1:11" x14ac:dyDescent="0.35">
      <c r="A2" s="3" t="s">
        <v>3</v>
      </c>
      <c r="B2" s="2">
        <f>TIMEVALUE(A2)</f>
        <v>0.19097222222222221</v>
      </c>
      <c r="C2" t="s">
        <v>4</v>
      </c>
      <c r="E2">
        <v>1.75</v>
      </c>
    </row>
    <row r="3" spans="1:11" x14ac:dyDescent="0.35">
      <c r="A3" s="4">
        <v>0.69097222222222221</v>
      </c>
      <c r="B3" s="2" t="e">
        <f t="shared" ref="B3:B37" si="0">TIMEVALUE(A3)</f>
        <v>#VALUE!</v>
      </c>
      <c r="C3" t="s">
        <v>5</v>
      </c>
    </row>
    <row r="4" spans="1:11" s="3" customFormat="1" x14ac:dyDescent="0.35">
      <c r="A4" s="5">
        <f>TIME(16,35,0)</f>
        <v>0.69097222222222221</v>
      </c>
      <c r="B4" s="2" t="e">
        <f>TIMEVALUE(A4)</f>
        <v>#VALUE!</v>
      </c>
      <c r="C4" t="s">
        <v>5</v>
      </c>
      <c r="D4"/>
      <c r="E4"/>
      <c r="F4"/>
      <c r="G4"/>
      <c r="H4"/>
      <c r="I4"/>
      <c r="J4"/>
      <c r="K4"/>
    </row>
    <row r="5" spans="1:11" s="3" customFormat="1" x14ac:dyDescent="0.35">
      <c r="A5" s="3" t="s">
        <v>6</v>
      </c>
      <c r="B5" s="2">
        <f t="shared" si="0"/>
        <v>0.19097222222222221</v>
      </c>
      <c r="C5" s="3" t="s">
        <v>7</v>
      </c>
      <c r="D5"/>
      <c r="E5"/>
      <c r="F5"/>
      <c r="G5"/>
      <c r="H5"/>
      <c r="I5"/>
      <c r="J5"/>
      <c r="K5"/>
    </row>
    <row r="6" spans="1:11" s="3" customFormat="1" x14ac:dyDescent="0.35">
      <c r="A6" s="3" t="s">
        <v>8</v>
      </c>
      <c r="B6" s="2">
        <f t="shared" si="0"/>
        <v>0.69097222222222221</v>
      </c>
      <c r="C6" s="3" t="s">
        <v>9</v>
      </c>
      <c r="D6"/>
      <c r="E6"/>
      <c r="F6"/>
      <c r="G6"/>
      <c r="H6"/>
      <c r="I6"/>
      <c r="J6"/>
      <c r="K6"/>
    </row>
    <row r="7" spans="1:11" s="3" customFormat="1" x14ac:dyDescent="0.35">
      <c r="A7" s="3" t="s">
        <v>10</v>
      </c>
      <c r="B7" s="2" t="e">
        <f t="shared" si="0"/>
        <v>#VALUE!</v>
      </c>
      <c r="C7" s="3" t="s">
        <v>11</v>
      </c>
      <c r="D7"/>
      <c r="E7"/>
      <c r="F7"/>
      <c r="G7"/>
      <c r="H7"/>
      <c r="I7"/>
      <c r="J7"/>
      <c r="K7"/>
    </row>
    <row r="8" spans="1:11" s="3" customFormat="1" x14ac:dyDescent="0.35">
      <c r="A8" s="3" t="s">
        <v>12</v>
      </c>
      <c r="B8" s="2" t="e">
        <f t="shared" si="0"/>
        <v>#VALUE!</v>
      </c>
      <c r="C8" s="3" t="s">
        <v>13</v>
      </c>
      <c r="D8"/>
      <c r="E8"/>
      <c r="F8"/>
      <c r="G8"/>
      <c r="H8"/>
      <c r="I8"/>
      <c r="J8"/>
      <c r="K8"/>
    </row>
    <row r="9" spans="1:11" s="3" customFormat="1" x14ac:dyDescent="0.35">
      <c r="A9" s="3" t="s">
        <v>14</v>
      </c>
      <c r="B9" s="2">
        <f t="shared" si="0"/>
        <v>0.66666666666666663</v>
      </c>
      <c r="C9" s="3" t="s">
        <v>15</v>
      </c>
      <c r="D9"/>
      <c r="E9"/>
      <c r="F9"/>
      <c r="G9"/>
      <c r="H9"/>
      <c r="I9"/>
      <c r="J9"/>
      <c r="K9"/>
    </row>
    <row r="10" spans="1:11" s="3" customFormat="1" x14ac:dyDescent="0.35">
      <c r="A10" s="3" t="s">
        <v>16</v>
      </c>
      <c r="B10" s="2">
        <f t="shared" si="0"/>
        <v>0.67013888888888884</v>
      </c>
      <c r="C10" s="3" t="s">
        <v>17</v>
      </c>
      <c r="D10"/>
      <c r="E10"/>
      <c r="F10"/>
      <c r="G10"/>
      <c r="H10"/>
      <c r="I10"/>
      <c r="J10"/>
      <c r="K10"/>
    </row>
    <row r="11" spans="1:11" s="3" customFormat="1" x14ac:dyDescent="0.35">
      <c r="A11" s="3" t="s">
        <v>18</v>
      </c>
      <c r="B11" s="2">
        <f t="shared" si="0"/>
        <v>0.67037037037037039</v>
      </c>
      <c r="C11" s="3" t="s">
        <v>19</v>
      </c>
      <c r="D11"/>
      <c r="E11"/>
      <c r="F11"/>
      <c r="G11"/>
      <c r="H11"/>
      <c r="I11"/>
      <c r="J11"/>
      <c r="K11"/>
    </row>
    <row r="12" spans="1:11" s="3" customFormat="1" x14ac:dyDescent="0.35">
      <c r="A12" s="3" t="s">
        <v>20</v>
      </c>
      <c r="B12" s="2">
        <f t="shared" si="0"/>
        <v>0.19097222222222221</v>
      </c>
      <c r="C12" s="3" t="s">
        <v>21</v>
      </c>
      <c r="D12"/>
      <c r="E12"/>
      <c r="F12"/>
      <c r="G12"/>
      <c r="H12"/>
      <c r="I12"/>
      <c r="J12"/>
      <c r="K12"/>
    </row>
    <row r="13" spans="1:11" s="3" customFormat="1" x14ac:dyDescent="0.35">
      <c r="A13" s="3" t="s">
        <v>22</v>
      </c>
      <c r="B13" s="2" t="e">
        <f t="shared" si="0"/>
        <v>#VALUE!</v>
      </c>
      <c r="C13" s="3" t="s">
        <v>23</v>
      </c>
      <c r="D13"/>
      <c r="E13"/>
      <c r="F13"/>
      <c r="G13"/>
      <c r="H13"/>
      <c r="I13"/>
      <c r="J13"/>
      <c r="K13"/>
    </row>
    <row r="14" spans="1:11" x14ac:dyDescent="0.35">
      <c r="A14" s="3" t="s">
        <v>24</v>
      </c>
      <c r="B14" s="2" t="e">
        <f t="shared" si="0"/>
        <v>#VALUE!</v>
      </c>
      <c r="C14" t="s">
        <v>25</v>
      </c>
    </row>
    <row r="15" spans="1:11" x14ac:dyDescent="0.35">
      <c r="A15" t="s">
        <v>26</v>
      </c>
      <c r="B15" s="2" t="e">
        <f t="shared" si="0"/>
        <v>#VALUE!</v>
      </c>
      <c r="C15" t="s">
        <v>27</v>
      </c>
    </row>
    <row r="16" spans="1:11" x14ac:dyDescent="0.35">
      <c r="A16">
        <v>16</v>
      </c>
      <c r="B16" s="2" t="e">
        <f t="shared" si="0"/>
        <v>#VALUE!</v>
      </c>
      <c r="C16" t="s">
        <v>28</v>
      </c>
    </row>
    <row r="17" spans="1:5" x14ac:dyDescent="0.35">
      <c r="A17" s="6">
        <v>45854</v>
      </c>
      <c r="B17" s="2" t="e">
        <f t="shared" si="0"/>
        <v>#VALUE!</v>
      </c>
      <c r="C17" t="s">
        <v>29</v>
      </c>
    </row>
    <row r="18" spans="1:5" x14ac:dyDescent="0.35">
      <c r="A18" s="6" t="s">
        <v>30</v>
      </c>
      <c r="B18" s="2">
        <f t="shared" si="0"/>
        <v>0.69097222221898846</v>
      </c>
      <c r="C18" t="s">
        <v>31</v>
      </c>
    </row>
    <row r="19" spans="1:5" x14ac:dyDescent="0.35">
      <c r="A19" s="7"/>
      <c r="B19" s="2" t="e">
        <f>TIMEVALUE(A19)</f>
        <v>#VALUE!</v>
      </c>
      <c r="C19" t="s">
        <v>32</v>
      </c>
    </row>
    <row r="20" spans="1:5" x14ac:dyDescent="0.35">
      <c r="A20" t="b">
        <v>1</v>
      </c>
      <c r="B20" s="2" t="e">
        <f t="shared" si="0"/>
        <v>#VALUE!</v>
      </c>
      <c r="C20" t="s">
        <v>33</v>
      </c>
      <c r="E20">
        <v>2</v>
      </c>
    </row>
    <row r="21" spans="1:5" x14ac:dyDescent="0.35">
      <c r="A21" t="b">
        <v>0</v>
      </c>
      <c r="B21" s="2" t="e">
        <f t="shared" si="0"/>
        <v>#VALUE!</v>
      </c>
      <c r="C21" t="s">
        <v>33</v>
      </c>
      <c r="E21">
        <v>3</v>
      </c>
    </row>
    <row r="22" spans="1:5" x14ac:dyDescent="0.35">
      <c r="A22">
        <f>E20:E24</f>
        <v>4</v>
      </c>
      <c r="B22" s="2" t="e">
        <f t="shared" si="0"/>
        <v>#VALUE!</v>
      </c>
      <c r="C22" t="s">
        <v>34</v>
      </c>
      <c r="E22">
        <v>4</v>
      </c>
    </row>
    <row r="23" spans="1:5" x14ac:dyDescent="0.35">
      <c r="A23">
        <f>1.05*(0.0284+0.0046)-0.0284</f>
        <v>6.2499999999999986E-3</v>
      </c>
      <c r="B23" s="2" t="e">
        <f t="shared" si="0"/>
        <v>#VALUE!</v>
      </c>
      <c r="C23" t="s">
        <v>35</v>
      </c>
      <c r="E23">
        <v>5</v>
      </c>
    </row>
    <row r="24" spans="1:5" x14ac:dyDescent="0.35">
      <c r="A24">
        <f>E2</f>
        <v>1.75</v>
      </c>
      <c r="B24" s="2" t="e">
        <f t="shared" si="0"/>
        <v>#VALUE!</v>
      </c>
      <c r="C24" t="s">
        <v>36</v>
      </c>
    </row>
    <row r="25" spans="1:5" x14ac:dyDescent="0.35">
      <c r="A25" t="str">
        <f>"8"</f>
        <v>8</v>
      </c>
      <c r="B25" s="2" t="e">
        <f t="shared" si="0"/>
        <v>#VALUE!</v>
      </c>
      <c r="C25" t="s">
        <v>37</v>
      </c>
    </row>
    <row r="26" spans="1:5" x14ac:dyDescent="0.35">
      <c r="A26" t="str">
        <f>" 10 "</f>
        <v xml:space="preserve"> 10 </v>
      </c>
      <c r="B26" s="2" t="e">
        <f t="shared" si="0"/>
        <v>#VALUE!</v>
      </c>
      <c r="C26" t="s">
        <v>37</v>
      </c>
    </row>
    <row r="27" spans="1:5" x14ac:dyDescent="0.35">
      <c r="A27" t="str">
        <f>"0"</f>
        <v>0</v>
      </c>
      <c r="B27" s="2" t="e">
        <f t="shared" si="0"/>
        <v>#VALUE!</v>
      </c>
      <c r="C27" t="s">
        <v>37</v>
      </c>
    </row>
    <row r="28" spans="1:5" x14ac:dyDescent="0.35">
      <c r="A28" t="str">
        <f>"10.0"</f>
        <v>10.0</v>
      </c>
      <c r="B28" s="2" t="e">
        <f t="shared" si="0"/>
        <v>#VALUE!</v>
      </c>
      <c r="C28" t="s">
        <v>38</v>
      </c>
    </row>
    <row r="29" spans="1:5" x14ac:dyDescent="0.35">
      <c r="A29" t="str">
        <f>"008"</f>
        <v>008</v>
      </c>
      <c r="B29" s="2" t="e">
        <f t="shared" si="0"/>
        <v>#VALUE!</v>
      </c>
      <c r="C29" t="s">
        <v>39</v>
      </c>
    </row>
    <row r="30" spans="1:5" x14ac:dyDescent="0.35">
      <c r="A30" t="s">
        <v>40</v>
      </c>
      <c r="B30" s="2" t="e">
        <f t="shared" si="0"/>
        <v>#VALUE!</v>
      </c>
      <c r="C30" t="s">
        <v>41</v>
      </c>
    </row>
    <row r="31" spans="1:5" x14ac:dyDescent="0.35">
      <c r="A31" t="s">
        <v>42</v>
      </c>
      <c r="B31" s="2" t="e">
        <f t="shared" si="0"/>
        <v>#VALUE!</v>
      </c>
      <c r="C31" t="s">
        <v>43</v>
      </c>
    </row>
    <row r="32" spans="1:5" x14ac:dyDescent="0.35">
      <c r="A32" t="str">
        <f>"@"</f>
        <v>@</v>
      </c>
      <c r="B32" s="2" t="e">
        <f t="shared" si="0"/>
        <v>#VALUE!</v>
      </c>
      <c r="C32" t="s">
        <v>44</v>
      </c>
    </row>
    <row r="33" spans="1:3" x14ac:dyDescent="0.35">
      <c r="A33" s="6" t="e">
        <f>1/0</f>
        <v>#DIV/0!</v>
      </c>
      <c r="B33" s="2" t="e">
        <f t="shared" si="0"/>
        <v>#DIV/0!</v>
      </c>
      <c r="C33" t="s">
        <v>45</v>
      </c>
    </row>
    <row r="34" spans="1:3" x14ac:dyDescent="0.35">
      <c r="A34" t="e">
        <f>NA()</f>
        <v>#N/A</v>
      </c>
      <c r="B34" s="2" t="e">
        <f t="shared" si="0"/>
        <v>#N/A</v>
      </c>
      <c r="C34" t="s">
        <v>45</v>
      </c>
    </row>
    <row r="35" spans="1:3" x14ac:dyDescent="0.35">
      <c r="A35" t="e" cm="1">
        <f t="array" ref="A35">HELLO</f>
        <v>#NAME?</v>
      </c>
      <c r="B35" s="2" t="e">
        <f t="shared" si="0"/>
        <v>#NAME?</v>
      </c>
      <c r="C35" t="s">
        <v>45</v>
      </c>
    </row>
    <row r="36" spans="1:3" x14ac:dyDescent="0.35">
      <c r="A36" t="e">
        <f>SQRT(-1)</f>
        <v>#NUM!</v>
      </c>
      <c r="B36" s="2" t="e">
        <f t="shared" si="0"/>
        <v>#NUM!</v>
      </c>
      <c r="C36" t="s">
        <v>45</v>
      </c>
    </row>
    <row r="37" spans="1:3" x14ac:dyDescent="0.35">
      <c r="A37" t="e">
        <f>"x"+1</f>
        <v>#VALUE!</v>
      </c>
      <c r="B37" s="2" t="e">
        <f t="shared" si="0"/>
        <v>#VALUE!</v>
      </c>
      <c r="C37" t="s">
        <v>45</v>
      </c>
    </row>
    <row r="39" spans="1:3" x14ac:dyDescent="0.35">
      <c r="A39" s="3" t="s">
        <v>46</v>
      </c>
      <c r="B39" s="8">
        <f>TIMEVALUE(A39)</f>
        <v>0</v>
      </c>
      <c r="C39" t="s">
        <v>47</v>
      </c>
    </row>
    <row r="40" spans="1:3" x14ac:dyDescent="0.35">
      <c r="A40" s="3" t="s">
        <v>48</v>
      </c>
      <c r="B40" s="8">
        <f>TIMEVALUE(A40)</f>
        <v>0</v>
      </c>
      <c r="C40" t="s">
        <v>76</v>
      </c>
    </row>
    <row r="41" spans="1:3" x14ac:dyDescent="0.35">
      <c r="A41" s="3" t="s">
        <v>49</v>
      </c>
      <c r="B41" s="8">
        <f>TIMEVALUE(A41)</f>
        <v>0.99998842592592596</v>
      </c>
      <c r="C41" t="s">
        <v>50</v>
      </c>
    </row>
    <row r="42" spans="1:3" x14ac:dyDescent="0.35">
      <c r="A42" s="3" t="s">
        <v>51</v>
      </c>
      <c r="B42" s="8">
        <f>TIMEVALUE(A42)</f>
        <v>0</v>
      </c>
      <c r="C42" t="s">
        <v>77</v>
      </c>
    </row>
    <row r="43" spans="1:3" x14ac:dyDescent="0.35">
      <c r="A43" s="3" t="s">
        <v>52</v>
      </c>
      <c r="B43" s="8">
        <f>TIMEVALUE(A43)</f>
        <v>0</v>
      </c>
      <c r="C43" t="s">
        <v>53</v>
      </c>
    </row>
    <row r="44" spans="1:3" x14ac:dyDescent="0.35">
      <c r="A44" s="3" t="s">
        <v>54</v>
      </c>
      <c r="B44" s="8">
        <f>TIMEVALUE(A44)</f>
        <v>0.5</v>
      </c>
      <c r="C44" t="s">
        <v>55</v>
      </c>
    </row>
    <row r="45" spans="1:3" x14ac:dyDescent="0.35">
      <c r="A45" s="3" t="s">
        <v>56</v>
      </c>
      <c r="B45" s="8" t="e">
        <f>TIMEVALUE(A45)</f>
        <v>#VALUE!</v>
      </c>
      <c r="C45" t="s">
        <v>57</v>
      </c>
    </row>
    <row r="46" spans="1:3" x14ac:dyDescent="0.35">
      <c r="A46" s="3" t="s">
        <v>58</v>
      </c>
      <c r="B46" s="8">
        <f>TIMEVALUE(A46)</f>
        <v>1.1574074074074073E-5</v>
      </c>
      <c r="C46" t="s">
        <v>59</v>
      </c>
    </row>
    <row r="47" spans="1:3" x14ac:dyDescent="0.35">
      <c r="A47" s="3" t="s">
        <v>60</v>
      </c>
      <c r="B47" s="8" t="e">
        <f>TIMEVALUE(A47)</f>
        <v>#VALUE!</v>
      </c>
      <c r="C47" t="s">
        <v>61</v>
      </c>
    </row>
    <row r="48" spans="1:3" x14ac:dyDescent="0.35">
      <c r="A48" s="3" t="s">
        <v>62</v>
      </c>
      <c r="B48" s="8" t="e">
        <f>TIMEVALUE(A48)</f>
        <v>#VALUE!</v>
      </c>
      <c r="C48" t="s">
        <v>63</v>
      </c>
    </row>
    <row r="49" spans="1:3" x14ac:dyDescent="0.35">
      <c r="A49" s="3" t="s">
        <v>64</v>
      </c>
      <c r="B49" s="8">
        <f>TIMEVALUE(A49)</f>
        <v>0.19097222222222221</v>
      </c>
      <c r="C49" t="s">
        <v>65</v>
      </c>
    </row>
    <row r="50" spans="1:3" x14ac:dyDescent="0.35">
      <c r="A50" s="3" t="s">
        <v>66</v>
      </c>
      <c r="B50" s="8">
        <f>TIMEVALUE(A50)</f>
        <v>0.69097222222222221</v>
      </c>
      <c r="C50" t="s">
        <v>67</v>
      </c>
    </row>
    <row r="51" spans="1:3" x14ac:dyDescent="0.35">
      <c r="A51" s="3" t="s">
        <v>68</v>
      </c>
      <c r="B51" s="8" t="e">
        <f>TIMEVALUE(A51)</f>
        <v>#VALUE!</v>
      </c>
      <c r="C51" t="s">
        <v>69</v>
      </c>
    </row>
    <row r="52" spans="1:3" x14ac:dyDescent="0.35">
      <c r="A52" s="3" t="s">
        <v>70</v>
      </c>
      <c r="B52" s="8" t="e">
        <f>TIMEVALUE(A52)</f>
        <v>#VALUE!</v>
      </c>
      <c r="C52" t="s">
        <v>71</v>
      </c>
    </row>
    <row r="53" spans="1:3" x14ac:dyDescent="0.35">
      <c r="A53" s="3" t="s">
        <v>72</v>
      </c>
      <c r="B53" s="8" t="e">
        <f>TIMEVALUE(A53)</f>
        <v>#VALUE!</v>
      </c>
      <c r="C53" t="s">
        <v>78</v>
      </c>
    </row>
    <row r="54" spans="1:3" x14ac:dyDescent="0.35">
      <c r="A54" s="3" t="s">
        <v>73</v>
      </c>
      <c r="B54" s="8" t="e">
        <f>TIMEVALUE(A54)</f>
        <v>#VALUE!</v>
      </c>
      <c r="C54" t="s">
        <v>74</v>
      </c>
    </row>
    <row r="55" spans="1:3" x14ac:dyDescent="0.35">
      <c r="A55" s="3"/>
      <c r="B55" s="8" t="e">
        <f>TIMEVALUE(A55)</f>
        <v>#VALUE!</v>
      </c>
      <c r="C55" t="s">
        <v>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2026-08-26T10:41:57Z</dcterms:modified>
  <cp:category/>
  <cp:contentStatus/>
</cp:coreProperties>
</file>