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BD0F3386-208C-4863-B215-A9BE77B92505}" xr6:coauthVersionLast="47" xr6:coauthVersionMax="47" xr10:uidLastSave="{00000000-0000-0000-0000-000000000000}"/>
  <bookViews>
    <workbookView xWindow="640" yWindow="1300" windowWidth="26540" windowHeight="1545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I18" i="3"/>
  <c r="A28" i="3"/>
  <c r="A27" i="3"/>
  <c r="A33" i="3"/>
  <c r="K40" i="3"/>
  <c r="A32" i="3"/>
  <c r="K46" i="3"/>
  <c r="K45" i="3"/>
  <c r="K44" i="3"/>
  <c r="K43" i="3"/>
  <c r="K41" i="3"/>
  <c r="K39" i="3"/>
  <c r="K38" i="3"/>
  <c r="I37" i="3"/>
  <c r="H37" i="3"/>
  <c r="K37" i="3"/>
  <c r="A53" i="3"/>
  <c r="D52" i="3"/>
  <c r="C52" i="3"/>
  <c r="B51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D36" i="3"/>
  <c r="C36" i="3"/>
  <c r="A35" i="3"/>
  <c r="A34" i="3"/>
  <c r="A19" i="3"/>
  <c r="K29" i="3"/>
  <c r="H29" i="3" s="1"/>
  <c r="A11" i="3"/>
  <c r="A9" i="3"/>
  <c r="A8" i="3"/>
  <c r="A6" i="3"/>
  <c r="A7" i="3"/>
  <c r="A5" i="3"/>
  <c r="A4" i="3"/>
  <c r="A3" i="3"/>
  <c r="A2" i="3"/>
  <c r="I23" i="3"/>
  <c r="K32" i="3"/>
  <c r="H32" i="3" s="1"/>
  <c r="I32" i="3"/>
  <c r="K31" i="3"/>
  <c r="K30" i="3"/>
  <c r="I30" i="3" s="1"/>
  <c r="I24" i="3"/>
  <c r="I25" i="3"/>
  <c r="I22" i="3"/>
  <c r="I20" i="3"/>
  <c r="I19" i="3"/>
  <c r="C7" i="3"/>
  <c r="D7" i="3"/>
  <c r="C4" i="3"/>
  <c r="D4" i="3"/>
  <c r="C5" i="3"/>
  <c r="D5" i="3"/>
  <c r="C21" i="3"/>
  <c r="D21" i="3"/>
  <c r="C22" i="3"/>
  <c r="D22" i="3"/>
  <c r="C12" i="3"/>
  <c r="D12" i="3"/>
  <c r="I17" i="3"/>
  <c r="D30" i="3"/>
  <c r="C30" i="3"/>
  <c r="D29" i="3"/>
  <c r="C29" i="3"/>
  <c r="H34" i="3"/>
  <c r="I34" i="3"/>
  <c r="H35" i="3"/>
  <c r="I35" i="3"/>
  <c r="H36" i="3"/>
  <c r="I36" i="3"/>
  <c r="I33" i="3"/>
  <c r="H33" i="3"/>
  <c r="I16" i="3"/>
  <c r="I26" i="3"/>
  <c r="I27" i="3"/>
  <c r="I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2" i="3"/>
  <c r="H2" i="3"/>
  <c r="B30" i="3"/>
  <c r="A29" i="3"/>
  <c r="C15" i="3"/>
  <c r="D15" i="3"/>
  <c r="C16" i="3"/>
  <c r="D16" i="3"/>
  <c r="C20" i="3"/>
  <c r="D20" i="3"/>
  <c r="C23" i="3"/>
  <c r="D23" i="3"/>
  <c r="C24" i="3"/>
  <c r="D24" i="3"/>
  <c r="C25" i="3"/>
  <c r="D25" i="3"/>
  <c r="C26" i="3"/>
  <c r="D26" i="3"/>
  <c r="D14" i="3"/>
  <c r="C14" i="3"/>
  <c r="D13" i="3"/>
  <c r="C13" i="3"/>
  <c r="D2" i="3"/>
  <c r="C2" i="3"/>
  <c r="A10" i="3"/>
  <c r="A17" i="3"/>
  <c r="B17" i="3"/>
  <c r="B19" i="3"/>
  <c r="A18" i="3"/>
  <c r="D33" i="3" l="1"/>
  <c r="C33" i="3"/>
  <c r="H46" i="3"/>
  <c r="I46" i="3"/>
  <c r="I45" i="3"/>
  <c r="H45" i="3"/>
  <c r="H44" i="3"/>
  <c r="I44" i="3"/>
  <c r="H38" i="3"/>
  <c r="I38" i="3"/>
  <c r="I43" i="3"/>
  <c r="H43" i="3"/>
  <c r="I41" i="3"/>
  <c r="H41" i="3"/>
  <c r="D50" i="3"/>
  <c r="C50" i="3"/>
  <c r="C43" i="3"/>
  <c r="D43" i="3"/>
  <c r="C38" i="3"/>
  <c r="D38" i="3"/>
  <c r="C28" i="3"/>
  <c r="D28" i="3"/>
  <c r="D27" i="3"/>
  <c r="C27" i="3"/>
  <c r="H40" i="3"/>
  <c r="I40" i="3"/>
  <c r="D53" i="3"/>
  <c r="C53" i="3"/>
  <c r="C51" i="3"/>
  <c r="D51" i="3"/>
  <c r="C49" i="3"/>
  <c r="D49" i="3"/>
  <c r="C48" i="3"/>
  <c r="D48" i="3"/>
  <c r="C47" i="3"/>
  <c r="D47" i="3"/>
  <c r="D46" i="3"/>
  <c r="C46" i="3"/>
  <c r="C45" i="3"/>
  <c r="D45" i="3"/>
  <c r="D44" i="3"/>
  <c r="C44" i="3"/>
  <c r="C42" i="3"/>
  <c r="D42" i="3"/>
  <c r="C41" i="3"/>
  <c r="D41" i="3"/>
  <c r="C40" i="3"/>
  <c r="D40" i="3"/>
  <c r="D39" i="3"/>
  <c r="C39" i="3"/>
  <c r="D37" i="3"/>
  <c r="C37" i="3"/>
  <c r="D35" i="3"/>
  <c r="C35" i="3"/>
  <c r="D34" i="3"/>
  <c r="C34" i="3"/>
  <c r="D11" i="3"/>
  <c r="C11" i="3"/>
  <c r="C9" i="3"/>
  <c r="D9" i="3"/>
  <c r="D8" i="3"/>
  <c r="C8" i="3"/>
  <c r="C6" i="3"/>
  <c r="D6" i="3"/>
  <c r="D32" i="3"/>
  <c r="C32" i="3"/>
  <c r="D3" i="3"/>
  <c r="C3" i="3"/>
  <c r="H30" i="3"/>
  <c r="I29" i="3"/>
  <c r="C18" i="3"/>
  <c r="D18" i="3"/>
  <c r="C19" i="3"/>
  <c r="D19" i="3"/>
  <c r="C17" i="3"/>
  <c r="D17" i="3"/>
  <c r="C10" i="3"/>
  <c r="D10" i="3"/>
</calcChain>
</file>

<file path=xl/sharedStrings.xml><?xml version="1.0" encoding="utf-8"?>
<sst xmlns="http://schemas.openxmlformats.org/spreadsheetml/2006/main" count="106" uniqueCount="93">
  <si>
    <t>START DATE</t>
  </si>
  <si>
    <t>DAYS</t>
  </si>
  <si>
    <t>WORKDAY</t>
  </si>
  <si>
    <t>WORKDAY.INTL</t>
  </si>
  <si>
    <t>NOTES</t>
  </si>
  <si>
    <t>WEEKEND</t>
  </si>
  <si>
    <t>HOLIDAY</t>
  </si>
  <si>
    <t>Small range</t>
  </si>
  <si>
    <t>Large range</t>
  </si>
  <si>
    <t>Date out of bounds</t>
  </si>
  <si>
    <t>Negative range</t>
  </si>
  <si>
    <t>DATE function</t>
  </si>
  <si>
    <t>Leap year - Feb 29th</t>
  </si>
  <si>
    <t>Integer number</t>
  </si>
  <si>
    <t>Decimal number</t>
  </si>
  <si>
    <t>Empty cells are treated as zero</t>
  </si>
  <si>
    <t>Error propagation</t>
  </si>
  <si>
    <t>Argument out of bounds</t>
  </si>
  <si>
    <t>10</t>
  </si>
  <si>
    <t>abc</t>
  </si>
  <si>
    <t>Argument is string</t>
  </si>
  <si>
    <t>def</t>
  </si>
  <si>
    <t>Argument is boolean</t>
  </si>
  <si>
    <t>Argument is decimal number</t>
  </si>
  <si>
    <t>Argument is negative number</t>
  </si>
  <si>
    <t>0000111</t>
  </si>
  <si>
    <t>Custom holiday pattern as string</t>
  </si>
  <si>
    <t>Date in 4th argument</t>
  </si>
  <si>
    <t>Implicit intersection in first argument</t>
  </si>
  <si>
    <t>Implicit intersection in second argument</t>
  </si>
  <si>
    <t>String</t>
  </si>
  <si>
    <t>Non-numeric string</t>
  </si>
  <si>
    <t>Boolean</t>
  </si>
  <si>
    <t>Date with time portion</t>
  </si>
  <si>
    <t>Zero</t>
  </si>
  <si>
    <t>Start on Friday</t>
  </si>
  <si>
    <t>Start on Saturday</t>
  </si>
  <si>
    <t>Start on Sunday</t>
  </si>
  <si>
    <t>Start on holiday</t>
  </si>
  <si>
    <t>Custom pattern - no holidays</t>
  </si>
  <si>
    <t>0000000</t>
  </si>
  <si>
    <t>0000001</t>
  </si>
  <si>
    <t>Custom pattern</t>
  </si>
  <si>
    <t>Custom pattern - all holidays</t>
  </si>
  <si>
    <t>1111111</t>
  </si>
  <si>
    <t>1100000</t>
  </si>
  <si>
    <t>Custom pattern - Monday Tuesday</t>
  </si>
  <si>
    <t>Weekend string too short</t>
  </si>
  <si>
    <t>Weekend string too long</t>
  </si>
  <si>
    <t>110000</t>
  </si>
  <si>
    <t>11000000</t>
  </si>
  <si>
    <t>Duplicate holidays</t>
  </si>
  <si>
    <t>Holiday in start date + blank in holiday range</t>
  </si>
  <si>
    <t>10 Jan 2025 is a Friday</t>
  </si>
  <si>
    <t>Custom pattern - only one workday</t>
  </si>
  <si>
    <t>1101111</t>
  </si>
  <si>
    <t>2025-01-07</t>
  </si>
  <si>
    <t>"2025-01-07"</t>
  </si>
  <si>
    <t>" 2025-01-07 "</t>
  </si>
  <si>
    <t>Negative days pushes result below the minimum date</t>
  </si>
  <si>
    <t>Maximum date with negative days</t>
  </si>
  <si>
    <t>Result lands just beyond the maximum date</t>
  </si>
  <si>
    <t>Negative start date</t>
  </si>
  <si>
    <t>Very large days argument overflows the date range</t>
  </si>
  <si>
    <t>Very large negative days argument</t>
  </si>
  <si>
    <t>Fractional days just under 1</t>
  </si>
  <si>
    <t>Fractional negative days just above -1</t>
  </si>
  <si>
    <t>Fractional days just above zero</t>
  </si>
  <si>
    <t>Fractional days just below zero</t>
  </si>
  <si>
    <t>Zero days starting on a Saturday</t>
  </si>
  <si>
    <t>Zero days starting on a Sunday</t>
  </si>
  <si>
    <t>One day forward from a Saturday</t>
  </si>
  <si>
    <t>One day back from a Sunday</t>
  </si>
  <si>
    <t>Start with a near-full-day time portion</t>
  </si>
  <si>
    <t>Start on a real leap day</t>
  </si>
  <si>
    <t>Result crosses the year boundary</t>
  </si>
  <si>
    <t>Error propagation, #N/A in start date</t>
  </si>
  <si>
    <t>Error propagation, #N/A in days</t>
  </si>
  <si>
    <t>45658</t>
  </si>
  <si>
    <t>Numeric text start date</t>
  </si>
  <si>
    <t>5</t>
  </si>
  <si>
    <t>Numeric text days argument</t>
  </si>
  <si>
    <t>Zero days with the start date as a holiday</t>
  </si>
  <si>
    <t>Holidays falling on a weekend, no extra shift expected</t>
  </si>
  <si>
    <t>Holiday far beyond the result date</t>
  </si>
  <si>
    <t>Holiday with a time portion</t>
  </si>
  <si>
    <t>Large days count with a single holiday</t>
  </si>
  <si>
    <t>Weekend code 17 (Saturday only) with a holiday</t>
  </si>
  <si>
    <t>No weekend days with a holiday</t>
  </si>
  <si>
    <t>Only Sunday is a workday, with a holiday</t>
  </si>
  <si>
    <t>Serial 61, after the leap-year bug</t>
  </si>
  <si>
    <t>Weekend argument is zero</t>
  </si>
  <si>
    <t>Weekend argument is omitted (direct 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</si>
</sst>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/>
    <xf numFmtId="0" fontId="0" fillId="0" borderId="0" xfId="0" quotePrefix="1"/>
    <xf numFmtId="0" fontId="2" fillId="0" borderId="0" xfId="0" applyFont="1"/>
    <xf numFmtId="0" fontId="1" fillId="2" borderId="1" xfId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  <xf numFmtId="49" fontId="0" fillId="0" borderId="0" xfId="0" applyNumberFormat="1"/>
    <xf numFmtId="14" fontId="1" fillId="2" borderId="1" xfId="1" applyNumberFormat="1" applyAlignment="1">
      <alignment wrapText="1"/>
    </xf>
    <xf numFmtId="0" fontId="3" fillId="0" borderId="0" xfId="0" quotePrefix="1" applyFont="1"/>
    <xf numFmtId="22" fontId="3" fillId="0" borderId="0" xfId="0" applyNumberFormat="1" applyFont="1"/>
    <xf numFmtId="0" fontId="0" fillId="0" borderId="4" xfId="0" applyBorder="1"/>
    <xf numFmtId="49" fontId="0" fillId="0" borderId="4" xfId="0" applyNumberFormat="1" applyBorder="1"/>
    <xf numFmtId="0" fontId="0" fillId="0" borderId="3" xfId="0" applyBorder="1"/>
    <xf numFmtId="164" fontId="0" fillId="0" borderId="0" xfId="0" applyNumberFormat="1"/>
    <xf numFmtId="164" fontId="1" fillId="3" borderId="5" xfId="0" applyNumberFormat="1" applyFont="1" applyFill="1" applyBorder="1"/>
    <xf numFmtId="164" fontId="1" fillId="3" borderId="2" xfId="0" applyNumberFormat="1" applyFont="1" applyFill="1" applyBorder="1"/>
    <xf numFmtId="164" fontId="1" fillId="3" borderId="1" xfId="0" applyNumberFormat="1" applyFont="1" applyFill="1" applyBorder="1"/>
    <xf numFmtId="164" fontId="1" fillId="3" borderId="5" xfId="0" quotePrefix="1" applyNumberFormat="1" applyFont="1" applyFill="1" applyBorder="1"/>
    <xf numFmtId="164" fontId="1" fillId="3" borderId="2" xfId="0" quotePrefix="1" applyNumberFormat="1" applyFont="1" applyFill="1" applyBorder="1"/>
    <xf numFmtId="0" fontId="0" fillId="0" borderId="0" xfId="0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598269-A390-402B-A8E6-8EC754FA0F2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b0775a7-064a-4453-abca-7a37eb2aab2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L53"/>
  <sheetViews>
    <sheetView tabSelected="1" workbookViewId="0">
      <selection activeCell="K48" sqref="K48"/>
    </sheetView>
  </sheetViews>
  <sheetFormatPr defaultColWidth="8.81640625" defaultRowHeight="14.5" x14ac:dyDescent="0.35"/>
  <cols>
    <col min="1" max="4" width="15.7265625" customWidth="1"/>
    <col min="5" max="5" width="38.26953125" bestFit="1" customWidth="1"/>
    <col min="6" max="6" width="10.1796875" bestFit="1" customWidth="1"/>
    <col min="8" max="9" width="20" customWidth="1"/>
    <col min="10" max="11" width="11.81640625" bestFit="1" customWidth="1"/>
    <col min="12" max="12" width="29.08984375" bestFit="1" customWidth="1"/>
    <col min="15" max="15" width="12.81640625" customWidth="1"/>
    <col min="16" max="16" width="11.26953125" customWidth="1"/>
    <col min="17" max="17" width="27.08984375" customWidth="1"/>
  </cols>
  <sheetData>
    <row r="1" spans="1:12" ht="19.5" customHeight="1" x14ac:dyDescent="0.3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H1" s="5" t="s">
        <v>2</v>
      </c>
      <c r="I1" s="5" t="s">
        <v>3</v>
      </c>
      <c r="J1" s="2" t="s">
        <v>5</v>
      </c>
      <c r="K1" s="2" t="s">
        <v>6</v>
      </c>
      <c r="L1" s="2" t="s">
        <v>4</v>
      </c>
    </row>
    <row r="2" spans="1:12" x14ac:dyDescent="0.35">
      <c r="A2" s="4">
        <f>DATE(2025,1,1)</f>
        <v>45658</v>
      </c>
      <c r="B2">
        <v>3</v>
      </c>
      <c r="C2" s="7">
        <f t="shared" ref="C2:C7" si="0">WORKDAY(A2,B2)</f>
        <v>45663</v>
      </c>
      <c r="D2" s="7">
        <f t="shared" ref="D2:D7" si="1">WORKDAY.INTL(A2,B2)</f>
        <v>45663</v>
      </c>
      <c r="E2" t="s">
        <v>7</v>
      </c>
      <c r="H2" s="7">
        <f>WORKDAY(DATE(2025,1,10),10)</f>
        <v>45681</v>
      </c>
      <c r="I2" s="7">
        <f>WORKDAY.INTL(DATE(2025,1,10),10,J2)</f>
        <v>45681</v>
      </c>
      <c r="J2">
        <v>1</v>
      </c>
      <c r="L2" t="s">
        <v>53</v>
      </c>
    </row>
    <row r="3" spans="1:12" x14ac:dyDescent="0.35">
      <c r="A3" s="4">
        <f>DATE(2025,1,1)</f>
        <v>45658</v>
      </c>
      <c r="B3">
        <v>10000</v>
      </c>
      <c r="C3" s="7">
        <f t="shared" si="0"/>
        <v>59658</v>
      </c>
      <c r="D3" s="7">
        <f t="shared" si="1"/>
        <v>59658</v>
      </c>
      <c r="E3" t="s">
        <v>8</v>
      </c>
      <c r="I3" s="7">
        <f>WORKDAY.INTL(DATE(2025,1,10),10,J3)</f>
        <v>45681</v>
      </c>
      <c r="J3">
        <v>2</v>
      </c>
    </row>
    <row r="4" spans="1:12" x14ac:dyDescent="0.35">
      <c r="A4" s="4">
        <f>DATE(2025,12,12)</f>
        <v>46003</v>
      </c>
      <c r="B4">
        <v>1</v>
      </c>
      <c r="C4" s="7">
        <f t="shared" si="0"/>
        <v>46006</v>
      </c>
      <c r="D4" s="7">
        <f t="shared" si="1"/>
        <v>46006</v>
      </c>
      <c r="E4" t="s">
        <v>35</v>
      </c>
      <c r="I4" s="7">
        <f t="shared" ref="I4:I16" si="2">WORKDAY.INTL(DATE(2025,1,10),10,J4)</f>
        <v>45681</v>
      </c>
      <c r="J4">
        <v>3</v>
      </c>
    </row>
    <row r="5" spans="1:12" x14ac:dyDescent="0.35">
      <c r="A5" s="4">
        <f>DATE(2025,12,13)</f>
        <v>46004</v>
      </c>
      <c r="B5">
        <v>1</v>
      </c>
      <c r="C5" s="7">
        <f t="shared" si="0"/>
        <v>46006</v>
      </c>
      <c r="D5" s="7">
        <f t="shared" si="1"/>
        <v>46006</v>
      </c>
      <c r="E5" t="s">
        <v>36</v>
      </c>
      <c r="I5" s="7">
        <f t="shared" si="2"/>
        <v>45681</v>
      </c>
      <c r="J5">
        <v>4</v>
      </c>
    </row>
    <row r="6" spans="1:12" x14ac:dyDescent="0.35">
      <c r="A6" s="4">
        <f>DATE(2025,12,25)</f>
        <v>46016</v>
      </c>
      <c r="B6">
        <v>1</v>
      </c>
      <c r="C6" s="7">
        <f t="shared" si="0"/>
        <v>46017</v>
      </c>
      <c r="D6" s="7">
        <f t="shared" si="1"/>
        <v>46017</v>
      </c>
      <c r="E6" t="s">
        <v>37</v>
      </c>
      <c r="I6" s="7">
        <f t="shared" si="2"/>
        <v>45681</v>
      </c>
      <c r="J6">
        <v>5</v>
      </c>
    </row>
    <row r="7" spans="1:12" x14ac:dyDescent="0.35">
      <c r="A7" s="4">
        <f>DATE(2025,12,14)</f>
        <v>46005</v>
      </c>
      <c r="B7">
        <v>1</v>
      </c>
      <c r="C7" s="7">
        <f t="shared" si="0"/>
        <v>46006</v>
      </c>
      <c r="D7" s="7">
        <f t="shared" si="1"/>
        <v>46006</v>
      </c>
      <c r="E7" t="s">
        <v>38</v>
      </c>
      <c r="I7" s="7">
        <f t="shared" si="2"/>
        <v>45679</v>
      </c>
      <c r="J7">
        <v>6</v>
      </c>
    </row>
    <row r="8" spans="1:12" x14ac:dyDescent="0.35">
      <c r="A8" s="4">
        <f>DATE(9999,12,31)</f>
        <v>2958465</v>
      </c>
      <c r="B8">
        <v>1</v>
      </c>
      <c r="C8" s="7" t="e">
        <f t="shared" ref="C8:C14" si="3">WORKDAY(A8,B8)</f>
        <v>#NUM!</v>
      </c>
      <c r="D8" s="7" t="e">
        <f t="shared" ref="D8:D14" si="4">WORKDAY.INTL(A8,B8)</f>
        <v>#NUM!</v>
      </c>
      <c r="E8" t="s">
        <v>9</v>
      </c>
      <c r="I8" s="7">
        <f t="shared" si="2"/>
        <v>45680</v>
      </c>
      <c r="J8">
        <v>7</v>
      </c>
    </row>
    <row r="9" spans="1:12" x14ac:dyDescent="0.35">
      <c r="A9" s="4">
        <f>DATE(2025,1,1)</f>
        <v>45658</v>
      </c>
      <c r="B9">
        <v>-10</v>
      </c>
      <c r="C9" s="7">
        <f t="shared" si="3"/>
        <v>45644</v>
      </c>
      <c r="D9" s="7">
        <f t="shared" si="4"/>
        <v>45644</v>
      </c>
      <c r="E9" t="s">
        <v>10</v>
      </c>
      <c r="I9" s="7">
        <f t="shared" si="2"/>
        <v>45679</v>
      </c>
      <c r="J9">
        <v>11</v>
      </c>
    </row>
    <row r="10" spans="1:12" x14ac:dyDescent="0.35">
      <c r="A10" s="4">
        <f>DATE(2026,2,4)</f>
        <v>46057</v>
      </c>
      <c r="B10">
        <v>10</v>
      </c>
      <c r="C10" s="7">
        <f t="shared" si="3"/>
        <v>46071</v>
      </c>
      <c r="D10" s="7">
        <f t="shared" si="4"/>
        <v>46071</v>
      </c>
      <c r="E10" t="s">
        <v>11</v>
      </c>
      <c r="I10" s="7">
        <f t="shared" si="2"/>
        <v>45679</v>
      </c>
      <c r="J10">
        <v>12</v>
      </c>
    </row>
    <row r="11" spans="1:12" x14ac:dyDescent="0.35">
      <c r="A11" s="4">
        <f>DATE(2024,2,28)</f>
        <v>45350</v>
      </c>
      <c r="B11">
        <v>1</v>
      </c>
      <c r="C11" s="7">
        <f t="shared" si="3"/>
        <v>45351</v>
      </c>
      <c r="D11" s="7">
        <f t="shared" si="4"/>
        <v>45351</v>
      </c>
      <c r="E11" t="s">
        <v>12</v>
      </c>
      <c r="I11" s="7">
        <f t="shared" si="2"/>
        <v>45679</v>
      </c>
      <c r="J11">
        <v>13</v>
      </c>
    </row>
    <row r="12" spans="1:12" x14ac:dyDescent="0.35">
      <c r="A12" s="9">
        <v>45667.6875</v>
      </c>
      <c r="B12">
        <v>5</v>
      </c>
      <c r="C12" s="7">
        <f t="shared" si="3"/>
        <v>45674</v>
      </c>
      <c r="D12" s="7">
        <f t="shared" si="4"/>
        <v>45674</v>
      </c>
      <c r="E12" t="s">
        <v>33</v>
      </c>
      <c r="I12" s="7">
        <f t="shared" si="2"/>
        <v>45678</v>
      </c>
      <c r="J12">
        <v>14</v>
      </c>
      <c r="L12" s="4"/>
    </row>
    <row r="13" spans="1:12" x14ac:dyDescent="0.35">
      <c r="A13">
        <v>8</v>
      </c>
      <c r="B13">
        <v>2</v>
      </c>
      <c r="C13" s="3">
        <f t="shared" si="3"/>
        <v>10</v>
      </c>
      <c r="D13" s="3">
        <f t="shared" si="4"/>
        <v>10</v>
      </c>
      <c r="E13" t="s">
        <v>13</v>
      </c>
      <c r="I13" s="7">
        <f t="shared" si="2"/>
        <v>45678</v>
      </c>
      <c r="J13">
        <v>15</v>
      </c>
    </row>
    <row r="14" spans="1:12" x14ac:dyDescent="0.35">
      <c r="A14">
        <v>8.9999990000000007</v>
      </c>
      <c r="B14">
        <v>2.0000010000000001</v>
      </c>
      <c r="C14" s="3">
        <f t="shared" si="3"/>
        <v>10</v>
      </c>
      <c r="D14" s="3">
        <f t="shared" si="4"/>
        <v>10</v>
      </c>
      <c r="E14" t="s">
        <v>14</v>
      </c>
      <c r="I14" s="7">
        <f t="shared" si="2"/>
        <v>45678</v>
      </c>
      <c r="J14">
        <v>16</v>
      </c>
    </row>
    <row r="15" spans="1:12" x14ac:dyDescent="0.35">
      <c r="A15" s="4">
        <v>45658</v>
      </c>
      <c r="B15">
        <v>0</v>
      </c>
      <c r="C15" s="7">
        <f t="shared" ref="C15:C28" si="5">WORKDAY(A15,B15)</f>
        <v>45658</v>
      </c>
      <c r="D15" s="7">
        <f t="shared" ref="D15:D28" si="6">WORKDAY.INTL(A15,B15)</f>
        <v>45658</v>
      </c>
      <c r="E15" t="s">
        <v>34</v>
      </c>
      <c r="I15" s="7">
        <f t="shared" si="2"/>
        <v>45679</v>
      </c>
      <c r="J15">
        <v>17</v>
      </c>
    </row>
    <row r="16" spans="1:12" x14ac:dyDescent="0.35">
      <c r="A16">
        <v>1</v>
      </c>
      <c r="C16" s="3">
        <f t="shared" si="5"/>
        <v>1</v>
      </c>
      <c r="D16" s="3">
        <f t="shared" si="6"/>
        <v>1</v>
      </c>
      <c r="E16" t="s">
        <v>15</v>
      </c>
      <c r="I16" s="7" t="e">
        <f t="shared" si="2"/>
        <v>#NUM!</v>
      </c>
      <c r="J16">
        <v>18</v>
      </c>
      <c r="L16" t="s">
        <v>17</v>
      </c>
    </row>
    <row r="17" spans="1:12" x14ac:dyDescent="0.35">
      <c r="A17" t="e">
        <f>1/0</f>
        <v>#DIV/0!</v>
      </c>
      <c r="B17" t="e">
        <f>1/0</f>
        <v>#DIV/0!</v>
      </c>
      <c r="C17" s="3" t="e">
        <f t="shared" si="5"/>
        <v>#DIV/0!</v>
      </c>
      <c r="D17" s="3" t="e">
        <f t="shared" si="6"/>
        <v>#DIV/0!</v>
      </c>
      <c r="E17" t="s">
        <v>16</v>
      </c>
      <c r="I17" s="7" t="e">
        <f t="shared" ref="I17" si="7">WORKDAY.INTL(DATE(2025,1,10),10,J17)</f>
        <v>#NUM!</v>
      </c>
      <c r="J17">
        <v>0</v>
      </c>
      <c r="L17" t="s">
        <v>91</v>
      </c>
    </row>
    <row r="18" spans="1:12" x14ac:dyDescent="0.35">
      <c r="A18" t="e">
        <f>1/0</f>
        <v>#DIV/0!</v>
      </c>
      <c r="B18">
        <v>10</v>
      </c>
      <c r="C18" s="3" t="e">
        <f t="shared" si="5"/>
        <v>#DIV/0!</v>
      </c>
      <c r="D18" s="3" t="e">
        <f t="shared" si="6"/>
        <v>#DIV/0!</v>
      </c>
      <c r="E18" t="s">
        <v>16</v>
      </c>
      <c r="I18" s="7">
        <f>WORKDAY.INTL(DATE(2025,1,10),10,)</f>
        <v>45681</v>
      </c>
      <c r="J18">
        <v>0</v>
      </c>
      <c r="L18" t="s">
        <v>92</v>
      </c>
    </row>
    <row r="19" spans="1:12" x14ac:dyDescent="0.35">
      <c r="A19" s="4">
        <f>DATE(2025,12,13)</f>
        <v>46004</v>
      </c>
      <c r="B19" t="e">
        <f>1/0</f>
        <v>#DIV/0!</v>
      </c>
      <c r="C19" s="3" t="e">
        <f t="shared" si="5"/>
        <v>#DIV/0!</v>
      </c>
      <c r="D19" s="3" t="e">
        <f t="shared" si="6"/>
        <v>#DIV/0!</v>
      </c>
      <c r="E19" t="s">
        <v>16</v>
      </c>
      <c r="I19" s="7">
        <f>WORKDAY.INTL(DATE(2025,1,10),10,J19)</f>
        <v>45679</v>
      </c>
      <c r="J19" s="6" t="s">
        <v>41</v>
      </c>
      <c r="L19" t="s">
        <v>42</v>
      </c>
    </row>
    <row r="20" spans="1:12" x14ac:dyDescent="0.35">
      <c r="A20" s="1" t="s">
        <v>56</v>
      </c>
      <c r="B20" s="1" t="s">
        <v>18</v>
      </c>
      <c r="C20" s="7">
        <f t="shared" si="5"/>
        <v>45678</v>
      </c>
      <c r="D20" s="7">
        <f t="shared" si="6"/>
        <v>45678</v>
      </c>
      <c r="E20" t="s">
        <v>30</v>
      </c>
      <c r="I20" s="7">
        <f>WORKDAY.INTL(DATE(2025,1,10),10,J20)</f>
        <v>45677</v>
      </c>
      <c r="J20" s="6" t="s">
        <v>40</v>
      </c>
      <c r="L20" t="s">
        <v>39</v>
      </c>
    </row>
    <row r="21" spans="1:12" x14ac:dyDescent="0.35">
      <c r="A21" s="8" t="s">
        <v>57</v>
      </c>
      <c r="B21" s="1"/>
      <c r="C21" s="7" t="e">
        <f t="shared" si="5"/>
        <v>#VALUE!</v>
      </c>
      <c r="D21" s="7" t="e">
        <f t="shared" si="6"/>
        <v>#VALUE!</v>
      </c>
      <c r="I21" s="7">
        <f>WORKDAY.INTL(DATE(2025,1,10),10,J19)</f>
        <v>45679</v>
      </c>
      <c r="J21" s="6" t="s">
        <v>44</v>
      </c>
      <c r="L21" t="s">
        <v>43</v>
      </c>
    </row>
    <row r="22" spans="1:12" x14ac:dyDescent="0.35">
      <c r="A22" s="8" t="s">
        <v>58</v>
      </c>
      <c r="B22" s="1"/>
      <c r="C22" s="7" t="e">
        <f t="shared" si="5"/>
        <v>#VALUE!</v>
      </c>
      <c r="D22" s="7" t="e">
        <f t="shared" si="6"/>
        <v>#VALUE!</v>
      </c>
      <c r="I22" s="7">
        <f>WORKDAY.INTL(DATE(2025,1,10),10,J22)</f>
        <v>45681</v>
      </c>
      <c r="J22" s="6" t="s">
        <v>45</v>
      </c>
      <c r="L22" t="s">
        <v>46</v>
      </c>
    </row>
    <row r="23" spans="1:12" x14ac:dyDescent="0.35">
      <c r="A23" t="s">
        <v>19</v>
      </c>
      <c r="B23" t="s">
        <v>21</v>
      </c>
      <c r="C23" s="3" t="e">
        <f t="shared" si="5"/>
        <v>#VALUE!</v>
      </c>
      <c r="D23" s="3" t="e">
        <f t="shared" si="6"/>
        <v>#VALUE!</v>
      </c>
      <c r="E23" t="s">
        <v>31</v>
      </c>
      <c r="I23" s="7">
        <f>WORKDAY.INTL(DATE(2025,1,10),10,J23)</f>
        <v>45735</v>
      </c>
      <c r="J23" s="6" t="s">
        <v>55</v>
      </c>
      <c r="L23" t="s">
        <v>54</v>
      </c>
    </row>
    <row r="24" spans="1:12" x14ac:dyDescent="0.35">
      <c r="A24" t="b">
        <v>1</v>
      </c>
      <c r="B24" t="b">
        <v>0</v>
      </c>
      <c r="C24" s="3" t="e">
        <f t="shared" si="5"/>
        <v>#VALUE!</v>
      </c>
      <c r="D24" s="3" t="e">
        <f t="shared" si="6"/>
        <v>#VALUE!</v>
      </c>
      <c r="E24" t="s">
        <v>32</v>
      </c>
      <c r="I24" s="7" t="e">
        <f>WORKDAY.INTL(DATE(2025,1,10),10,J24)</f>
        <v>#VALUE!</v>
      </c>
      <c r="J24" s="6" t="s">
        <v>49</v>
      </c>
      <c r="L24" t="s">
        <v>47</v>
      </c>
    </row>
    <row r="25" spans="1:12" x14ac:dyDescent="0.35">
      <c r="A25" t="b">
        <v>1</v>
      </c>
      <c r="B25">
        <v>10</v>
      </c>
      <c r="C25" s="3" t="e">
        <f t="shared" si="5"/>
        <v>#VALUE!</v>
      </c>
      <c r="D25" s="3" t="e">
        <f t="shared" si="6"/>
        <v>#VALUE!</v>
      </c>
      <c r="E25" t="s">
        <v>32</v>
      </c>
      <c r="I25" s="7" t="e">
        <f>WORKDAY.INTL(DATE(2025,1,10),10,J25)</f>
        <v>#VALUE!</v>
      </c>
      <c r="J25" s="6" t="s">
        <v>50</v>
      </c>
      <c r="L25" t="s">
        <v>48</v>
      </c>
    </row>
    <row r="26" spans="1:12" x14ac:dyDescent="0.35">
      <c r="A26" t="b">
        <v>0</v>
      </c>
      <c r="B26">
        <v>10</v>
      </c>
      <c r="C26" s="3" t="e">
        <f t="shared" si="5"/>
        <v>#VALUE!</v>
      </c>
      <c r="D26" s="3" t="e">
        <f t="shared" si="6"/>
        <v>#VALUE!</v>
      </c>
      <c r="E26" t="s">
        <v>32</v>
      </c>
      <c r="I26" s="7" t="e">
        <f t="shared" ref="I26" si="8">WORKDAY.INTL(DATE(2025,1,10),10,J26)</f>
        <v>#VALUE!</v>
      </c>
      <c r="J26" t="s">
        <v>19</v>
      </c>
      <c r="L26" t="s">
        <v>20</v>
      </c>
    </row>
    <row r="27" spans="1:12" x14ac:dyDescent="0.35">
      <c r="A27" s="4">
        <f>DATE(2025,12,13)</f>
        <v>46004</v>
      </c>
      <c r="B27" t="b">
        <v>1</v>
      </c>
      <c r="C27" s="3" t="e">
        <f t="shared" si="5"/>
        <v>#VALUE!</v>
      </c>
      <c r="D27" s="3" t="e">
        <f t="shared" si="6"/>
        <v>#VALUE!</v>
      </c>
      <c r="E27" t="s">
        <v>32</v>
      </c>
      <c r="I27" s="7" t="e">
        <f>WORKDAY.INTL(DATE(2025,1,10),10,J27)</f>
        <v>#NUM!</v>
      </c>
      <c r="J27">
        <v>-2</v>
      </c>
      <c r="L27" t="s">
        <v>24</v>
      </c>
    </row>
    <row r="28" spans="1:12" x14ac:dyDescent="0.35">
      <c r="A28" s="4">
        <f>DATE(2025,12,13)</f>
        <v>46004</v>
      </c>
      <c r="B28" t="b">
        <v>0</v>
      </c>
      <c r="C28" s="3" t="e">
        <f t="shared" si="5"/>
        <v>#VALUE!</v>
      </c>
      <c r="D28" s="3" t="e">
        <f t="shared" si="6"/>
        <v>#VALUE!</v>
      </c>
      <c r="E28" t="s">
        <v>32</v>
      </c>
      <c r="F28">
        <v>1</v>
      </c>
      <c r="I28" s="7">
        <f>WORKDAY.INTL(DATE(2025,1,10),10,J28)</f>
        <v>45685</v>
      </c>
      <c r="J28" s="6" t="s">
        <v>25</v>
      </c>
      <c r="K28" s="6"/>
      <c r="L28" t="s">
        <v>26</v>
      </c>
    </row>
    <row r="29" spans="1:12" x14ac:dyDescent="0.35">
      <c r="A29">
        <f>F26:F33</f>
        <v>2</v>
      </c>
      <c r="B29">
        <v>1</v>
      </c>
      <c r="C29" s="3">
        <f>WORKDAY(_xlfn.SINGLE(F:F),B29)</f>
        <v>3</v>
      </c>
      <c r="D29" s="3">
        <f>WORKDAY.INTL(_xlfn.SINGLE(F:F),B29)</f>
        <v>3</v>
      </c>
      <c r="E29" t="s">
        <v>28</v>
      </c>
      <c r="F29">
        <v>2</v>
      </c>
      <c r="H29" s="7">
        <f>WORKDAY(DATE(2025,1,10),J29,K29)</f>
        <v>45673</v>
      </c>
      <c r="I29" s="7">
        <f>WORKDAY.INTL(DATE(2025,1,10),J29,,K29)</f>
        <v>45673</v>
      </c>
      <c r="J29">
        <v>3</v>
      </c>
      <c r="K29" s="4">
        <f>DATE(2025,1,13)</f>
        <v>45670</v>
      </c>
      <c r="L29" t="s">
        <v>27</v>
      </c>
    </row>
    <row r="30" spans="1:12" x14ac:dyDescent="0.35">
      <c r="A30">
        <v>1</v>
      </c>
      <c r="B30">
        <f>F26:F33</f>
        <v>3</v>
      </c>
      <c r="C30" s="3">
        <f>WORKDAY(A30,_xlfn.SINGLE(F:F))</f>
        <v>4</v>
      </c>
      <c r="D30" s="3">
        <f>WORKDAY.INTL(A30,_xlfn.SINGLE(F:F))</f>
        <v>4</v>
      </c>
      <c r="E30" t="s">
        <v>29</v>
      </c>
      <c r="F30">
        <v>3</v>
      </c>
      <c r="H30" s="7">
        <f>WORKDAY(DATE(2025,1,10),J30,K30:K31)</f>
        <v>45673</v>
      </c>
      <c r="I30" s="7">
        <f>WORKDAY.INTL(DATE(2025,1,10),J30,,K30:K31)</f>
        <v>45673</v>
      </c>
      <c r="J30">
        <v>3</v>
      </c>
      <c r="K30" s="4">
        <f>DATE(2025,1,13)</f>
        <v>45670</v>
      </c>
      <c r="L30" t="s">
        <v>51</v>
      </c>
    </row>
    <row r="31" spans="1:12" x14ac:dyDescent="0.35">
      <c r="F31">
        <v>4</v>
      </c>
      <c r="K31" s="4">
        <f>DATE(2025,1,13)</f>
        <v>45670</v>
      </c>
    </row>
    <row r="32" spans="1:12" x14ac:dyDescent="0.35">
      <c r="A32" s="13">
        <f>DATE(1900,3,1)</f>
        <v>61</v>
      </c>
      <c r="B32" s="10">
        <v>1</v>
      </c>
      <c r="C32" s="14">
        <f t="shared" ref="C32:C53" si="9">WORKDAY(A32,B32)</f>
        <v>62</v>
      </c>
      <c r="D32" s="15">
        <f t="shared" ref="D32:D53" si="10">WORKDAY.INTL(A32,B32)</f>
        <v>62</v>
      </c>
      <c r="E32" s="12" t="s">
        <v>90</v>
      </c>
      <c r="F32">
        <v>5</v>
      </c>
      <c r="H32" s="7">
        <f>WORKDAY(DATE(2025,1,10),J32,K32:K32)</f>
        <v>45670</v>
      </c>
      <c r="I32" s="7">
        <f>WORKDAY.INTL(DATE(2025,1,10),J32,,K32:K32)</f>
        <v>45670</v>
      </c>
      <c r="J32">
        <v>1</v>
      </c>
      <c r="K32" s="4">
        <f>DATE(2025,1,10)</f>
        <v>45667</v>
      </c>
      <c r="L32" t="s">
        <v>52</v>
      </c>
    </row>
    <row r="33" spans="1:12" x14ac:dyDescent="0.35">
      <c r="A33" s="13">
        <f>DATE(1900,3,1)</f>
        <v>61</v>
      </c>
      <c r="B33" s="10">
        <v>-65</v>
      </c>
      <c r="C33" s="14" t="e">
        <f t="shared" si="9"/>
        <v>#NUM!</v>
      </c>
      <c r="D33" s="15" t="e">
        <f t="shared" si="10"/>
        <v>#NUM!</v>
      </c>
      <c r="E33" s="12" t="s">
        <v>59</v>
      </c>
      <c r="H33" s="7" t="e">
        <f t="shared" ref="H33:H38" si="11">WORKDAY(DATE(2025,1,10),10,K33)</f>
        <v>#VALUE!</v>
      </c>
      <c r="I33" s="7" t="e">
        <f t="shared" ref="I33:I38" si="12">WORKDAY.INTL(DATE(2025,1,10),10,J33,K33)</f>
        <v>#VALUE!</v>
      </c>
      <c r="J33">
        <v>1</v>
      </c>
      <c r="K33" t="s">
        <v>19</v>
      </c>
      <c r="L33" t="s">
        <v>20</v>
      </c>
    </row>
    <row r="34" spans="1:12" x14ac:dyDescent="0.35">
      <c r="A34" s="13">
        <f>DATE(9999,12,31)</f>
        <v>2958465</v>
      </c>
      <c r="B34" s="10">
        <v>-1</v>
      </c>
      <c r="C34" s="14">
        <f t="shared" si="9"/>
        <v>2958464</v>
      </c>
      <c r="D34" s="15">
        <f t="shared" si="10"/>
        <v>2958464</v>
      </c>
      <c r="E34" s="12" t="s">
        <v>60</v>
      </c>
      <c r="H34" s="7" t="e">
        <f t="shared" si="11"/>
        <v>#VALUE!</v>
      </c>
      <c r="I34" s="7" t="e">
        <f t="shared" si="12"/>
        <v>#VALUE!</v>
      </c>
      <c r="J34">
        <v>1</v>
      </c>
      <c r="K34" t="b">
        <v>1</v>
      </c>
      <c r="L34" t="s">
        <v>22</v>
      </c>
    </row>
    <row r="35" spans="1:12" x14ac:dyDescent="0.35">
      <c r="A35" s="13">
        <f>DATE(9999,12,25)</f>
        <v>2958459</v>
      </c>
      <c r="B35" s="10">
        <v>1</v>
      </c>
      <c r="C35" s="14">
        <f t="shared" si="9"/>
        <v>2958461</v>
      </c>
      <c r="D35" s="15">
        <f t="shared" si="10"/>
        <v>2958461</v>
      </c>
      <c r="E35" s="12" t="s">
        <v>61</v>
      </c>
      <c r="H35" s="7">
        <f t="shared" si="11"/>
        <v>45681</v>
      </c>
      <c r="I35" s="7">
        <f t="shared" si="12"/>
        <v>45681</v>
      </c>
      <c r="J35">
        <v>1</v>
      </c>
      <c r="K35">
        <v>1.25</v>
      </c>
      <c r="L35" t="s">
        <v>23</v>
      </c>
    </row>
    <row r="36" spans="1:12" x14ac:dyDescent="0.35">
      <c r="A36">
        <v>-1</v>
      </c>
      <c r="B36" s="10">
        <v>1</v>
      </c>
      <c r="C36" s="14" t="e">
        <f t="shared" si="9"/>
        <v>#NUM!</v>
      </c>
      <c r="D36" s="15" t="e">
        <f t="shared" si="10"/>
        <v>#NUM!</v>
      </c>
      <c r="E36" s="12" t="s">
        <v>62</v>
      </c>
      <c r="H36" s="7" t="e">
        <f t="shared" si="11"/>
        <v>#NUM!</v>
      </c>
      <c r="I36" s="7" t="e">
        <f t="shared" si="12"/>
        <v>#NUM!</v>
      </c>
      <c r="J36">
        <v>1</v>
      </c>
      <c r="K36">
        <v>-2</v>
      </c>
      <c r="L36" t="s">
        <v>24</v>
      </c>
    </row>
    <row r="37" spans="1:12" x14ac:dyDescent="0.35">
      <c r="A37" s="13">
        <f t="shared" ref="A37:A42" si="13">DATE(2025,1,10)</f>
        <v>45667</v>
      </c>
      <c r="B37" s="10">
        <v>1000000000000000</v>
      </c>
      <c r="C37" s="17" t="e">
        <f t="shared" si="9"/>
        <v>#NUM!</v>
      </c>
      <c r="D37" s="18" t="e">
        <f t="shared" si="10"/>
        <v>#NUM!</v>
      </c>
      <c r="E37" s="12" t="s">
        <v>63</v>
      </c>
      <c r="H37" s="16">
        <f>WORKDAY(DATE(2025,1,10),J37,K37)</f>
        <v>45667</v>
      </c>
      <c r="I37" s="15">
        <f>WORKDAY.INTL(DATE(2025,1,10),J37,1,K37)</f>
        <v>45667</v>
      </c>
      <c r="J37" s="12">
        <v>0</v>
      </c>
      <c r="K37" s="13">
        <f>DATE(2025,1,10)</f>
        <v>45667</v>
      </c>
      <c r="L37" t="s">
        <v>82</v>
      </c>
    </row>
    <row r="38" spans="1:12" x14ac:dyDescent="0.35">
      <c r="A38" s="13">
        <f t="shared" si="13"/>
        <v>45667</v>
      </c>
      <c r="B38" s="10">
        <v>-1000000000000000</v>
      </c>
      <c r="C38" s="17" t="e">
        <f t="shared" si="9"/>
        <v>#NUM!</v>
      </c>
      <c r="D38" s="18" t="e">
        <f t="shared" si="10"/>
        <v>#NUM!</v>
      </c>
      <c r="E38" s="12" t="s">
        <v>64</v>
      </c>
      <c r="F38" s="4"/>
      <c r="H38" s="16">
        <f>WORKDAY(DATE(2025,1,10),J38,K38:K39)</f>
        <v>45672</v>
      </c>
      <c r="I38" s="15">
        <f>WORKDAY.INTL(DATE(2025,1,10),J38,1,K38:K39)</f>
        <v>45672</v>
      </c>
      <c r="J38" s="12">
        <v>3</v>
      </c>
      <c r="K38" s="13">
        <f>DATE(2025,1,11)</f>
        <v>45668</v>
      </c>
      <c r="L38" t="s">
        <v>83</v>
      </c>
    </row>
    <row r="39" spans="1:12" x14ac:dyDescent="0.35">
      <c r="A39" s="13">
        <f t="shared" si="13"/>
        <v>45667</v>
      </c>
      <c r="B39" s="10">
        <v>0.99999990000000005</v>
      </c>
      <c r="C39" s="14">
        <f t="shared" si="9"/>
        <v>45667</v>
      </c>
      <c r="D39" s="15">
        <f t="shared" si="10"/>
        <v>45667</v>
      </c>
      <c r="E39" s="12" t="s">
        <v>65</v>
      </c>
      <c r="F39" s="4"/>
      <c r="J39" s="19"/>
      <c r="K39" s="13">
        <f>DATE(2025,1,12)</f>
        <v>45669</v>
      </c>
    </row>
    <row r="40" spans="1:12" x14ac:dyDescent="0.35">
      <c r="A40" s="13">
        <f t="shared" si="13"/>
        <v>45667</v>
      </c>
      <c r="B40" s="10">
        <v>-0.99999990000000005</v>
      </c>
      <c r="C40" s="14">
        <f t="shared" si="9"/>
        <v>45666</v>
      </c>
      <c r="D40" s="14">
        <f t="shared" si="10"/>
        <v>45666</v>
      </c>
      <c r="E40" s="12" t="s">
        <v>66</v>
      </c>
      <c r="H40" s="16">
        <f t="shared" ref="H40:H46" si="14">WORKDAY(DATE(2025,1,10),J40,K40)</f>
        <v>45672</v>
      </c>
      <c r="I40" s="15">
        <f>WORKDAY.INTL(DATE(2025,1,10),J40,1,K40)</f>
        <v>45672</v>
      </c>
      <c r="J40" s="12">
        <v>3</v>
      </c>
      <c r="K40" s="13">
        <f>DATE(3000,12,31)</f>
        <v>402133</v>
      </c>
      <c r="L40" t="s">
        <v>84</v>
      </c>
    </row>
    <row r="41" spans="1:12" x14ac:dyDescent="0.35">
      <c r="A41" s="13">
        <f t="shared" si="13"/>
        <v>45667</v>
      </c>
      <c r="B41" s="10">
        <v>1.0000000000000001E-9</v>
      </c>
      <c r="C41" s="14">
        <f t="shared" si="9"/>
        <v>45667</v>
      </c>
      <c r="D41" s="14">
        <f t="shared" si="10"/>
        <v>45667</v>
      </c>
      <c r="E41" s="12" t="s">
        <v>67</v>
      </c>
      <c r="H41" s="16">
        <f t="shared" si="14"/>
        <v>45673</v>
      </c>
      <c r="I41" s="15">
        <f>WORKDAY.INTL(DATE(2025,1,10),J41,1,K41)</f>
        <v>45673</v>
      </c>
      <c r="J41" s="12">
        <v>3</v>
      </c>
      <c r="K41" s="13">
        <f>DATE(2025,1,13)+0.75</f>
        <v>45670.75</v>
      </c>
      <c r="L41" t="s">
        <v>85</v>
      </c>
    </row>
    <row r="42" spans="1:12" x14ac:dyDescent="0.35">
      <c r="A42" s="13">
        <f t="shared" si="13"/>
        <v>45667</v>
      </c>
      <c r="B42" s="10">
        <v>-1.0000000000000001E-9</v>
      </c>
      <c r="C42" s="14">
        <f t="shared" si="9"/>
        <v>45666</v>
      </c>
      <c r="D42" s="14">
        <f t="shared" si="10"/>
        <v>45666</v>
      </c>
      <c r="E42" s="12" t="s">
        <v>68</v>
      </c>
    </row>
    <row r="43" spans="1:12" x14ac:dyDescent="0.35">
      <c r="A43" s="13">
        <f>DATE(2025,1,11)</f>
        <v>45668</v>
      </c>
      <c r="B43" s="10">
        <v>0</v>
      </c>
      <c r="C43" s="14">
        <f t="shared" si="9"/>
        <v>45668</v>
      </c>
      <c r="D43" s="15">
        <f t="shared" si="10"/>
        <v>45668</v>
      </c>
      <c r="E43" s="12" t="s">
        <v>69</v>
      </c>
      <c r="H43" s="16">
        <f t="shared" si="14"/>
        <v>46020</v>
      </c>
      <c r="I43" s="15">
        <f>WORKDAY.INTL(DATE(2025,1,10),J43,1,K43)</f>
        <v>46020</v>
      </c>
      <c r="J43" s="12">
        <v>250</v>
      </c>
      <c r="K43" s="13">
        <f>DATE(2025,1,13)</f>
        <v>45670</v>
      </c>
      <c r="L43" t="s">
        <v>86</v>
      </c>
    </row>
    <row r="44" spans="1:12" x14ac:dyDescent="0.35">
      <c r="A44" s="13">
        <f>DATE(2025,1,12)</f>
        <v>45669</v>
      </c>
      <c r="B44" s="10">
        <v>0</v>
      </c>
      <c r="C44" s="14">
        <f t="shared" si="9"/>
        <v>45669</v>
      </c>
      <c r="D44" s="15">
        <f t="shared" si="10"/>
        <v>45669</v>
      </c>
      <c r="E44" s="12" t="s">
        <v>70</v>
      </c>
      <c r="H44" s="16">
        <f t="shared" si="14"/>
        <v>45673</v>
      </c>
      <c r="I44" s="15">
        <f>WORKDAY.INTL(DATE(2025,1,10),J44,17,K44)</f>
        <v>45672</v>
      </c>
      <c r="J44" s="12">
        <v>3</v>
      </c>
      <c r="K44" s="13">
        <f>DATE(2025,1,13)</f>
        <v>45670</v>
      </c>
      <c r="L44" t="s">
        <v>87</v>
      </c>
    </row>
    <row r="45" spans="1:12" x14ac:dyDescent="0.35">
      <c r="A45" s="13">
        <f>DATE(2025,1,11)</f>
        <v>45668</v>
      </c>
      <c r="B45" s="10">
        <v>1</v>
      </c>
      <c r="C45" s="14">
        <f t="shared" si="9"/>
        <v>45670</v>
      </c>
      <c r="D45" s="15">
        <f t="shared" si="10"/>
        <v>45670</v>
      </c>
      <c r="E45" s="12" t="s">
        <v>71</v>
      </c>
      <c r="H45" s="16">
        <f t="shared" si="14"/>
        <v>45673</v>
      </c>
      <c r="I45" s="15">
        <f>WORKDAY.INTL(DATE(2025,1,10),J45,"0000000",K45)</f>
        <v>45671</v>
      </c>
      <c r="J45" s="12">
        <v>3</v>
      </c>
      <c r="K45" s="13">
        <f>DATE(2025,1,13)</f>
        <v>45670</v>
      </c>
      <c r="L45" t="s">
        <v>88</v>
      </c>
    </row>
    <row r="46" spans="1:12" x14ac:dyDescent="0.35">
      <c r="A46" s="13">
        <f>DATE(2025,1,12)</f>
        <v>45669</v>
      </c>
      <c r="B46" s="10">
        <v>-1</v>
      </c>
      <c r="C46" s="14">
        <f t="shared" si="9"/>
        <v>45667</v>
      </c>
      <c r="D46" s="15">
        <f t="shared" si="10"/>
        <v>45667</v>
      </c>
      <c r="E46" s="12" t="s">
        <v>72</v>
      </c>
      <c r="H46" s="16">
        <f t="shared" si="14"/>
        <v>45673</v>
      </c>
      <c r="I46" s="15">
        <f>WORKDAY.INTL(DATE(2025,1,10),J46,"1111110",K46)</f>
        <v>45683</v>
      </c>
      <c r="J46" s="12">
        <v>3</v>
      </c>
      <c r="K46" s="13">
        <f>DATE(2025,1,13)</f>
        <v>45670</v>
      </c>
      <c r="L46" t="s">
        <v>89</v>
      </c>
    </row>
    <row r="47" spans="1:12" x14ac:dyDescent="0.35">
      <c r="A47" s="13">
        <f>DATE(2025,1,10)+0.9999999</f>
        <v>45667.999999899999</v>
      </c>
      <c r="B47" s="10">
        <v>1</v>
      </c>
      <c r="C47" s="14">
        <f t="shared" si="9"/>
        <v>45670</v>
      </c>
      <c r="D47" s="15">
        <f t="shared" si="10"/>
        <v>45670</v>
      </c>
      <c r="E47" s="12" t="s">
        <v>73</v>
      </c>
    </row>
    <row r="48" spans="1:12" x14ac:dyDescent="0.35">
      <c r="A48" s="13">
        <f>DATE(2024,2,29)</f>
        <v>45351</v>
      </c>
      <c r="B48" s="10">
        <v>1</v>
      </c>
      <c r="C48" s="14">
        <f t="shared" si="9"/>
        <v>45352</v>
      </c>
      <c r="D48" s="15">
        <f t="shared" si="10"/>
        <v>45352</v>
      </c>
      <c r="E48" s="12" t="s">
        <v>74</v>
      </c>
    </row>
    <row r="49" spans="1:5" x14ac:dyDescent="0.35">
      <c r="A49" s="13">
        <f>DATE(2025,12,31)</f>
        <v>46022</v>
      </c>
      <c r="B49" s="10">
        <v>1</v>
      </c>
      <c r="C49" s="14">
        <f t="shared" si="9"/>
        <v>46023</v>
      </c>
      <c r="D49" s="15">
        <f t="shared" si="10"/>
        <v>46023</v>
      </c>
      <c r="E49" s="12" t="s">
        <v>75</v>
      </c>
    </row>
    <row r="50" spans="1:5" x14ac:dyDescent="0.35">
      <c r="A50" s="13" t="e">
        <f>NA()</f>
        <v>#N/A</v>
      </c>
      <c r="B50" s="10">
        <v>1</v>
      </c>
      <c r="C50" s="14" t="e">
        <f t="shared" si="9"/>
        <v>#N/A</v>
      </c>
      <c r="D50" s="15" t="e">
        <f t="shared" si="10"/>
        <v>#N/A</v>
      </c>
      <c r="E50" s="12" t="s">
        <v>76</v>
      </c>
    </row>
    <row r="51" spans="1:5" x14ac:dyDescent="0.35">
      <c r="A51" s="13">
        <f>DATE(2025,1,10)</f>
        <v>45667</v>
      </c>
      <c r="B51" s="10" t="e">
        <f>NA()</f>
        <v>#N/A</v>
      </c>
      <c r="C51" s="14" t="e">
        <f t="shared" si="9"/>
        <v>#N/A</v>
      </c>
      <c r="D51" s="15" t="e">
        <f t="shared" si="10"/>
        <v>#N/A</v>
      </c>
      <c r="E51" s="12" t="s">
        <v>77</v>
      </c>
    </row>
    <row r="52" spans="1:5" x14ac:dyDescent="0.35">
      <c r="A52" s="6" t="s">
        <v>78</v>
      </c>
      <c r="B52" s="10">
        <v>5</v>
      </c>
      <c r="C52" s="14">
        <f t="shared" si="9"/>
        <v>45665</v>
      </c>
      <c r="D52" s="15">
        <f t="shared" si="10"/>
        <v>45665</v>
      </c>
      <c r="E52" s="12" t="s">
        <v>79</v>
      </c>
    </row>
    <row r="53" spans="1:5" x14ac:dyDescent="0.35">
      <c r="A53">
        <f>DATE(2025,1,10)</f>
        <v>45667</v>
      </c>
      <c r="B53" s="11" t="s">
        <v>80</v>
      </c>
      <c r="C53" s="14">
        <f t="shared" si="9"/>
        <v>45674</v>
      </c>
      <c r="D53" s="15">
        <f t="shared" si="10"/>
        <v>45674</v>
      </c>
      <c r="E53" s="12" t="s">
        <v>81</v>
      </c>
    </row>
  </sheetData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2026-08-13T13:00:49Z</dcterms:modified>
  <cp:category/>
  <cp:contentStatus/>
</cp:coreProperties>
</file>