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A276FD5E-F6BF-4EE5-97FD-F37912C7E85C}" xr6:coauthVersionLast="47" xr6:coauthVersionMax="47" xr10:uidLastSave="{00000000-0000-0000-0000-000000000000}"/>
  <bookViews>
    <workbookView xWindow="380" yWindow="380" windowWidth="28800" windowHeight="15290" xr2:uid="{F5EF1803-C89D-8542-8C3F-E05EFF447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51" i="1"/>
  <c r="D52" i="1"/>
  <c r="D23" i="1"/>
  <c r="D22" i="1"/>
  <c r="D21" i="1"/>
  <c r="D20" i="1"/>
  <c r="D18" i="1"/>
  <c r="D19" i="1"/>
  <c r="D17" i="1"/>
  <c r="D12" i="1"/>
  <c r="D11" i="1"/>
  <c r="D10" i="1"/>
  <c r="D9" i="1"/>
  <c r="D8" i="1"/>
  <c r="D7" i="1"/>
  <c r="D6" i="1"/>
  <c r="D5" i="1"/>
  <c r="D4" i="1"/>
  <c r="D3" i="1"/>
  <c r="D65" i="1"/>
  <c r="D64" i="1"/>
  <c r="D63" i="1"/>
  <c r="D62" i="1"/>
  <c r="D16" i="1"/>
  <c r="D61" i="1"/>
  <c r="D60" i="1"/>
  <c r="D59" i="1"/>
  <c r="D58" i="1"/>
  <c r="C57" i="1"/>
  <c r="D57" i="1" s="1"/>
  <c r="B56" i="1"/>
  <c r="D56" i="1" s="1"/>
  <c r="A55" i="1"/>
  <c r="D55" i="1" s="1"/>
  <c r="D54" i="1"/>
  <c r="D53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15" i="1"/>
</calcChain>
</file>

<file path=xl/sharedStrings.xml><?xml version="1.0" encoding="utf-8"?>
<sst xmlns="http://schemas.openxmlformats.org/spreadsheetml/2006/main" count="104" uniqueCount="95">
  <si>
    <t>NOTES</t>
  </si>
  <si>
    <t>DATE</t>
  </si>
  <si>
    <t>YEAR</t>
  </si>
  <si>
    <t>MONTH</t>
  </si>
  <si>
    <t>DAY</t>
  </si>
  <si>
    <t>Smoke test</t>
  </si>
  <si>
    <t>Category</t>
  </si>
  <si>
    <t>Description</t>
  </si>
  <si>
    <t>Notes</t>
  </si>
  <si>
    <t>TIME normalization</t>
  </si>
  <si>
    <t>Overflow seconds roll over to the next day</t>
  </si>
  <si>
    <t>Normalizes to exactly 24:00, so Excel returns the serial 1.0.</t>
  </si>
  <si>
    <t>Overflow minutes propagate into hours and days</t>
  </si>
  <si>
    <t>Equivalent to 25:00; Excel yields 1 day + 1 hour (1 + 1/24).</t>
  </si>
  <si>
    <t>TIME errors</t>
  </si>
  <si>
    <t>Negative seconds trigger a #NUM! error</t>
  </si>
  <si>
    <t>Excel rejects negative time components.</t>
  </si>
  <si>
    <t>TIMEVALUE normalization</t>
  </si>
  <si>
    <t>24:00 text is accepted</t>
  </si>
  <si>
    <t>Excel treats 24:00 as midnight on the following day.</t>
  </si>
  <si>
    <t>Leading/trailing spaces are ignored</t>
  </si>
  <si>
    <t>1 hour 30 minutes equals 1.5/24 = 0.0625.</t>
  </si>
  <si>
    <t>TIMEVALUE AM/PM</t>
  </si>
  <si>
    <t>Noon parses correctly</t>
  </si>
  <si>
    <t>Excel distinguishes 12 PM (0.5) from 12 AM (0).</t>
  </si>
  <si>
    <t>DATEVALUE 1900 bug</t>
  </si>
  <si>
    <t>Phantom 29-Feb-1900 exists</t>
  </si>
  <si>
    <t>Excel's 1900 leap-year bug exposes this non-existent date.</t>
  </si>
  <si>
    <t>Day after phantom date</t>
  </si>
  <si>
    <t>Serial sequence jumps from 59 -&gt; 61 because 60 is reserved for 29-Feb-1900.</t>
  </si>
  <si>
    <t>DATEVALUE with time</t>
  </si>
  <si>
    <t>Time portion is discarded</t>
  </si>
  <si>
    <t>DATEVALUE strips time and returns the same serial as the pure date.</t>
  </si>
  <si>
    <t>Combined serial</t>
  </si>
  <si>
    <t>Date + time serial reconstruction</t>
  </si>
  <si>
    <t>Combining the serials yields 6:00 AM on 2024-02-29.</t>
  </si>
  <si>
    <t>Year 1, offset to 1901</t>
  </si>
  <si>
    <t>Year 99, offset to 1999</t>
  </si>
  <si>
    <t>Year 100, offset to 2000</t>
  </si>
  <si>
    <t>Maximum year, last day</t>
  </si>
  <si>
    <t>Year beyond the 9999 maximum bound</t>
  </si>
  <si>
    <t>Negative year</t>
  </si>
  <si>
    <t>Month zero rolls back into 1899</t>
  </si>
  <si>
    <t>Negative month below the minimum date</t>
  </si>
  <si>
    <t>Month beyond 12 rolls into the next year</t>
  </si>
  <si>
    <t>Month far beyond 12</t>
  </si>
  <si>
    <t>Month and day both zero</t>
  </si>
  <si>
    <t>Day beyond the month length</t>
  </si>
  <si>
    <t>Day 29 in a non-leap February</t>
  </si>
  <si>
    <t>Day 29 in a leap February</t>
  </si>
  <si>
    <t>Day 30 in February rolls into March</t>
  </si>
  <si>
    <t>Day zero rolls back to the previous month</t>
  </si>
  <si>
    <t>Negative day rolls further back</t>
  </si>
  <si>
    <t>Day far beyond the month length</t>
  </si>
  <si>
    <t>Fractional year truncates</t>
  </si>
  <si>
    <t>Fractional month truncates</t>
  </si>
  <si>
    <t>Fractional day truncates</t>
  </si>
  <si>
    <t>Month as an extremely small positive value</t>
  </si>
  <si>
    <t>Day as an extremely small positive value</t>
  </si>
  <si>
    <t>All arguments extremely small positive</t>
  </si>
  <si>
    <t>All arguments extremely small negative</t>
  </si>
  <si>
    <t>All arguments boolean FALSE</t>
  </si>
  <si>
    <t>Boolean month and day</t>
  </si>
  <si>
    <t>Boolean year</t>
  </si>
  <si>
    <t>2025</t>
  </si>
  <si>
    <t>6</t>
  </si>
  <si>
    <t>15</t>
  </si>
  <si>
    <t>All arguments as numeric text</t>
  </si>
  <si>
    <t>abc</t>
  </si>
  <si>
    <t>Year as non-numeric text</t>
  </si>
  <si>
    <t>Month as non-numeric text</t>
  </si>
  <si>
    <t>Day as non-numeric text</t>
  </si>
  <si>
    <t>Error propagation in year</t>
  </si>
  <si>
    <t>Error propagation in month</t>
  </si>
  <si>
    <t>Error propagation in day</t>
  </si>
  <si>
    <t>Empty year cell</t>
  </si>
  <si>
    <t>Empty month cell</t>
  </si>
  <si>
    <t>Empty day cell</t>
  </si>
  <si>
    <t>All arguments empty</t>
  </si>
  <si>
    <t>All zero</t>
  </si>
  <si>
    <t>Empty year (direct ref)</t>
  </si>
  <si>
    <t>Empty month (direct ref)</t>
  </si>
  <si>
    <t>Empty day (direct ref)</t>
  </si>
  <si>
    <t>All arguments empty (direct ref)</t>
  </si>
  <si>
    <t>All arguments as numeric text in quotes</t>
  </si>
  <si>
    <t>"2025"</t>
  </si>
  <si>
    <t>"6"</t>
  </si>
  <si>
    <t>"15"</t>
  </si>
  <si>
    <t>Smoke tests from old file</t>
  </si>
  <si>
    <t>DATE function</t>
  </si>
  <si>
    <t>One day beyond the maximum date</t>
  </si>
  <si>
    <t>Year 0</t>
  </si>
  <si>
    <t>Month 0</t>
  </si>
  <si>
    <t>Day 0</t>
  </si>
  <si>
    <t>Year 1800, offset to 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</si>
</sst>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6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A7D00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164" fontId="4" fillId="0" borderId="0" xfId="0" applyNumberFormat="1" applyFont="1"/>
    <xf numFmtId="164" fontId="2" fillId="0" borderId="0" xfId="0" applyNumberFormat="1" applyFont="1"/>
    <xf numFmtId="14" fontId="3" fillId="2" borderId="1" xfId="1" applyNumberFormat="1" applyFont="1"/>
    <xf numFmtId="49" fontId="2" fillId="0" borderId="0" xfId="0" applyNumberFormat="1" applyFont="1"/>
    <xf numFmtId="0" fontId="3" fillId="2" borderId="1" xfId="1" applyNumberFormat="1" applyFont="1"/>
    <xf numFmtId="0" fontId="5" fillId="0" borderId="0" xfId="0" applyFont="1"/>
    <xf numFmtId="164" fontId="5" fillId="0" borderId="0" xfId="0" applyNumberFormat="1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F010F7-E038-4299-9ABC-6B7FD165E11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59a215b-68d0-4a32-b792-08a4fe5196a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3771-C859-F046-B681-A08AFC84A35B}">
  <dimension ref="A1:G65"/>
  <sheetViews>
    <sheetView tabSelected="1" topLeftCell="A40" zoomScaleNormal="100" workbookViewId="0">
      <selection activeCell="E55" sqref="E55"/>
    </sheetView>
  </sheetViews>
  <sheetFormatPr defaultColWidth="11" defaultRowHeight="15" customHeight="1" x14ac:dyDescent="0.35"/>
  <cols>
    <col min="1" max="1" width="12.6640625" style="1" customWidth="1"/>
    <col min="2" max="2" width="11" style="1"/>
    <col min="3" max="3" width="12.25" style="1" bestFit="1" customWidth="1"/>
    <col min="4" max="4" width="11" style="4"/>
    <col min="5" max="5" width="35.08203125" style="1" customWidth="1"/>
    <col min="6" max="6" width="21.4140625" style="1" customWidth="1"/>
    <col min="7" max="7" width="21" style="1" customWidth="1"/>
    <col min="8" max="8" width="39.1640625" style="1" customWidth="1"/>
    <col min="9" max="16384" width="11" style="1"/>
  </cols>
  <sheetData>
    <row r="1" spans="1:7" ht="15" customHeight="1" x14ac:dyDescent="0.35">
      <c r="A1" s="9" t="s">
        <v>88</v>
      </c>
    </row>
    <row r="2" spans="1:7" ht="15.5" x14ac:dyDescent="0.35">
      <c r="A2" s="3" t="s">
        <v>2</v>
      </c>
      <c r="B2" s="3" t="s">
        <v>3</v>
      </c>
      <c r="C2" s="3" t="s">
        <v>4</v>
      </c>
      <c r="D2" s="2" t="s">
        <v>1</v>
      </c>
      <c r="E2" s="2" t="s">
        <v>7</v>
      </c>
      <c r="F2" s="2" t="s">
        <v>6</v>
      </c>
      <c r="G2" s="2" t="s">
        <v>8</v>
      </c>
    </row>
    <row r="3" spans="1:7" ht="15" customHeight="1" x14ac:dyDescent="0.35">
      <c r="A3" s="1">
        <v>23</v>
      </c>
      <c r="B3" s="1">
        <v>59</v>
      </c>
      <c r="C3" s="1">
        <v>60</v>
      </c>
      <c r="D3" s="7">
        <f>TIME(A3,B3,C3)</f>
        <v>0</v>
      </c>
      <c r="E3" s="1" t="s">
        <v>10</v>
      </c>
      <c r="F3" s="1" t="s">
        <v>9</v>
      </c>
      <c r="G3" s="1" t="s">
        <v>11</v>
      </c>
    </row>
    <row r="4" spans="1:7" ht="15" customHeight="1" x14ac:dyDescent="0.35">
      <c r="A4" s="1">
        <v>23</v>
      </c>
      <c r="B4" s="1">
        <v>120</v>
      </c>
      <c r="C4" s="1">
        <v>0</v>
      </c>
      <c r="D4" s="7">
        <f>TIME(A4,B4,C4)</f>
        <v>4.1666666666666741E-2</v>
      </c>
      <c r="E4" s="1" t="s">
        <v>12</v>
      </c>
      <c r="F4" s="1" t="s">
        <v>9</v>
      </c>
      <c r="G4" s="1" t="s">
        <v>13</v>
      </c>
    </row>
    <row r="5" spans="1:7" ht="15" customHeight="1" x14ac:dyDescent="0.35">
      <c r="A5" s="1">
        <v>0</v>
      </c>
      <c r="B5" s="1">
        <v>0</v>
      </c>
      <c r="C5" s="1">
        <v>-1</v>
      </c>
      <c r="D5" s="7" t="e">
        <f>TIME(A5,B5,C5)</f>
        <v>#NUM!</v>
      </c>
      <c r="E5" s="1" t="s">
        <v>15</v>
      </c>
      <c r="F5" s="1" t="s">
        <v>14</v>
      </c>
      <c r="G5" s="1" t="s">
        <v>16</v>
      </c>
    </row>
    <row r="6" spans="1:7" ht="15" customHeight="1" x14ac:dyDescent="0.35">
      <c r="D6" s="7">
        <f>TIMEVALUE("24:00")</f>
        <v>0</v>
      </c>
      <c r="E6" s="1" t="s">
        <v>18</v>
      </c>
      <c r="F6" s="1" t="s">
        <v>17</v>
      </c>
      <c r="G6" s="1" t="s">
        <v>19</v>
      </c>
    </row>
    <row r="7" spans="1:7" ht="15" customHeight="1" x14ac:dyDescent="0.35">
      <c r="D7" s="7">
        <f>TIMEVALUE(" 1:30 ")</f>
        <v>6.25E-2</v>
      </c>
      <c r="E7" s="1" t="s">
        <v>20</v>
      </c>
      <c r="F7" s="1" t="s">
        <v>17</v>
      </c>
      <c r="G7" s="1" t="s">
        <v>21</v>
      </c>
    </row>
    <row r="8" spans="1:7" ht="15" customHeight="1" x14ac:dyDescent="0.35">
      <c r="D8" s="7">
        <f>TIMEVALUE("12:00 PM")</f>
        <v>0.5</v>
      </c>
      <c r="E8" s="1" t="s">
        <v>23</v>
      </c>
      <c r="F8" s="1" t="s">
        <v>22</v>
      </c>
      <c r="G8" s="1" t="s">
        <v>24</v>
      </c>
    </row>
    <row r="9" spans="1:7" ht="15" customHeight="1" x14ac:dyDescent="0.35">
      <c r="D9" s="7">
        <f>DATEVALUE("29-Feb-1900")</f>
        <v>60</v>
      </c>
      <c r="E9" s="1" t="s">
        <v>26</v>
      </c>
      <c r="F9" s="1" t="s">
        <v>25</v>
      </c>
      <c r="G9" s="1" t="s">
        <v>27</v>
      </c>
    </row>
    <row r="10" spans="1:7" ht="15" customHeight="1" x14ac:dyDescent="0.35">
      <c r="D10" s="7">
        <f>DATEVALUE("1-Mar-1900")</f>
        <v>61</v>
      </c>
      <c r="E10" s="1" t="s">
        <v>28</v>
      </c>
      <c r="F10" s="1" t="s">
        <v>25</v>
      </c>
      <c r="G10" s="1" t="s">
        <v>29</v>
      </c>
    </row>
    <row r="11" spans="1:7" ht="15" customHeight="1" x14ac:dyDescent="0.35">
      <c r="D11" s="7">
        <f>DATEVALUE("2024-02-29 06:00")</f>
        <v>45351</v>
      </c>
      <c r="E11" s="1" t="s">
        <v>31</v>
      </c>
      <c r="F11" s="1" t="s">
        <v>30</v>
      </c>
      <c r="G11" s="1" t="s">
        <v>32</v>
      </c>
    </row>
    <row r="12" spans="1:7" ht="15" customHeight="1" x14ac:dyDescent="0.35">
      <c r="D12" s="7">
        <f>DATEVALUE("2024-02-29")+TIMEVALUE("6:00")</f>
        <v>45351.25</v>
      </c>
      <c r="E12" s="1" t="s">
        <v>34</v>
      </c>
      <c r="F12" s="1" t="s">
        <v>33</v>
      </c>
      <c r="G12" s="1" t="s">
        <v>35</v>
      </c>
    </row>
    <row r="13" spans="1:7" ht="15" customHeight="1" x14ac:dyDescent="0.35">
      <c r="A13" s="8" t="s">
        <v>89</v>
      </c>
      <c r="D13" s="1"/>
    </row>
    <row r="14" spans="1:7" ht="15" customHeight="1" x14ac:dyDescent="0.35">
      <c r="A14" s="3" t="s">
        <v>2</v>
      </c>
      <c r="B14" s="3" t="s">
        <v>3</v>
      </c>
      <c r="C14" s="3" t="s">
        <v>4</v>
      </c>
      <c r="D14" s="2" t="s">
        <v>1</v>
      </c>
      <c r="E14" s="2" t="s">
        <v>0</v>
      </c>
    </row>
    <row r="15" spans="1:7" ht="14.5" x14ac:dyDescent="0.35">
      <c r="A15" s="1">
        <v>2026</v>
      </c>
      <c r="B15" s="1">
        <v>8</v>
      </c>
      <c r="C15" s="1">
        <v>17</v>
      </c>
      <c r="D15" s="5">
        <f t="shared" ref="D15:D39" si="0">DATE(A15,B15,C15)</f>
        <v>46251</v>
      </c>
      <c r="E15" s="1" t="s">
        <v>5</v>
      </c>
    </row>
    <row r="16" spans="1:7" ht="14.5" x14ac:dyDescent="0.35">
      <c r="A16" s="1">
        <v>0</v>
      </c>
      <c r="B16" s="1">
        <v>0</v>
      </c>
      <c r="C16" s="1">
        <v>0</v>
      </c>
      <c r="D16" s="5" t="e">
        <f t="shared" si="0"/>
        <v>#NUM!</v>
      </c>
      <c r="E16" s="1" t="s">
        <v>79</v>
      </c>
    </row>
    <row r="17" spans="1:5" ht="14.5" x14ac:dyDescent="0.35">
      <c r="A17" s="1">
        <v>0</v>
      </c>
      <c r="B17" s="1">
        <v>8</v>
      </c>
      <c r="C17" s="1">
        <v>17</v>
      </c>
      <c r="D17" s="5">
        <f t="shared" ref="D17" si="1">DATE(A17,B17,C17)</f>
        <v>230</v>
      </c>
      <c r="E17" s="1" t="s">
        <v>91</v>
      </c>
    </row>
    <row r="18" spans="1:5" ht="14.5" x14ac:dyDescent="0.35">
      <c r="A18" s="1">
        <v>2026</v>
      </c>
      <c r="B18" s="1">
        <v>0</v>
      </c>
      <c r="C18" s="1">
        <v>17</v>
      </c>
      <c r="D18" s="5">
        <f t="shared" ref="D18:D23" si="2">DATE(A18,B18,C18)</f>
        <v>46008</v>
      </c>
      <c r="E18" s="1" t="s">
        <v>92</v>
      </c>
    </row>
    <row r="19" spans="1:5" ht="14.5" x14ac:dyDescent="0.35">
      <c r="A19" s="1">
        <v>2026</v>
      </c>
      <c r="B19" s="1">
        <v>8</v>
      </c>
      <c r="C19" s="1">
        <v>0</v>
      </c>
      <c r="D19" s="5">
        <f t="shared" si="2"/>
        <v>46234</v>
      </c>
      <c r="E19" s="1" t="s">
        <v>93</v>
      </c>
    </row>
    <row r="20" spans="1:5" ht="14.5" x14ac:dyDescent="0.35">
      <c r="A20" s="1">
        <v>1</v>
      </c>
      <c r="B20" s="1">
        <v>1</v>
      </c>
      <c r="C20" s="1">
        <v>1</v>
      </c>
      <c r="D20" s="5">
        <f t="shared" si="2"/>
        <v>367</v>
      </c>
      <c r="E20" s="1" t="s">
        <v>36</v>
      </c>
    </row>
    <row r="21" spans="1:5" ht="14.5" x14ac:dyDescent="0.35">
      <c r="A21" s="1">
        <v>99</v>
      </c>
      <c r="B21" s="1">
        <v>1</v>
      </c>
      <c r="C21" s="1">
        <v>1</v>
      </c>
      <c r="D21" s="5">
        <f t="shared" si="2"/>
        <v>36161</v>
      </c>
      <c r="E21" s="1" t="s">
        <v>37</v>
      </c>
    </row>
    <row r="22" spans="1:5" ht="14.5" x14ac:dyDescent="0.35">
      <c r="A22" s="1">
        <v>100</v>
      </c>
      <c r="B22" s="1">
        <v>1</v>
      </c>
      <c r="C22" s="1">
        <v>1</v>
      </c>
      <c r="D22" s="5">
        <f t="shared" si="2"/>
        <v>36526</v>
      </c>
      <c r="E22" s="1" t="s">
        <v>38</v>
      </c>
    </row>
    <row r="23" spans="1:5" ht="14.5" x14ac:dyDescent="0.35">
      <c r="A23" s="1">
        <v>1800</v>
      </c>
      <c r="B23" s="1">
        <v>1</v>
      </c>
      <c r="C23" s="1">
        <v>1</v>
      </c>
      <c r="D23" s="5">
        <f t="shared" si="2"/>
        <v>657439</v>
      </c>
      <c r="E23" s="1" t="s">
        <v>94</v>
      </c>
    </row>
    <row r="24" spans="1:5" ht="14.5" x14ac:dyDescent="0.35">
      <c r="A24" s="1">
        <v>9999</v>
      </c>
      <c r="B24" s="1">
        <v>12</v>
      </c>
      <c r="C24" s="1">
        <v>31</v>
      </c>
      <c r="D24" s="5">
        <f t="shared" si="0"/>
        <v>2958465</v>
      </c>
      <c r="E24" s="1" t="s">
        <v>39</v>
      </c>
    </row>
    <row r="25" spans="1:5" ht="14.5" x14ac:dyDescent="0.35">
      <c r="A25" s="1">
        <v>9999</v>
      </c>
      <c r="B25" s="1">
        <v>12</v>
      </c>
      <c r="C25" s="1">
        <v>32</v>
      </c>
      <c r="D25" s="5" t="e">
        <f t="shared" si="0"/>
        <v>#NUM!</v>
      </c>
      <c r="E25" s="1" t="s">
        <v>90</v>
      </c>
    </row>
    <row r="26" spans="1:5" ht="14.5" x14ac:dyDescent="0.35">
      <c r="A26" s="1">
        <v>10000</v>
      </c>
      <c r="B26" s="1">
        <v>1</v>
      </c>
      <c r="C26" s="1">
        <v>1</v>
      </c>
      <c r="D26" s="5" t="e">
        <f t="shared" si="0"/>
        <v>#NUM!</v>
      </c>
      <c r="E26" s="1" t="s">
        <v>40</v>
      </c>
    </row>
    <row r="27" spans="1:5" ht="15" customHeight="1" x14ac:dyDescent="0.35">
      <c r="A27" s="1">
        <v>-1</v>
      </c>
      <c r="B27" s="1">
        <v>1</v>
      </c>
      <c r="C27" s="1">
        <v>1</v>
      </c>
      <c r="D27" s="5" t="e">
        <f t="shared" si="0"/>
        <v>#NUM!</v>
      </c>
      <c r="E27" s="1" t="s">
        <v>41</v>
      </c>
    </row>
    <row r="28" spans="1:5" ht="15" customHeight="1" x14ac:dyDescent="0.35">
      <c r="A28" s="1">
        <v>1900</v>
      </c>
      <c r="B28" s="1">
        <v>0</v>
      </c>
      <c r="C28" s="1">
        <v>1</v>
      </c>
      <c r="D28" s="5" t="e">
        <f t="shared" si="0"/>
        <v>#NUM!</v>
      </c>
      <c r="E28" s="1" t="s">
        <v>42</v>
      </c>
    </row>
    <row r="29" spans="1:5" ht="15" customHeight="1" x14ac:dyDescent="0.35">
      <c r="A29" s="1">
        <v>1900</v>
      </c>
      <c r="B29" s="1">
        <v>-1</v>
      </c>
      <c r="C29" s="1">
        <v>1</v>
      </c>
      <c r="D29" s="5" t="e">
        <f t="shared" si="0"/>
        <v>#NUM!</v>
      </c>
      <c r="E29" s="1" t="s">
        <v>43</v>
      </c>
    </row>
    <row r="30" spans="1:5" ht="15" customHeight="1" x14ac:dyDescent="0.35">
      <c r="A30" s="1">
        <v>2025</v>
      </c>
      <c r="B30" s="1">
        <v>13</v>
      </c>
      <c r="C30" s="1">
        <v>1</v>
      </c>
      <c r="D30" s="5">
        <f t="shared" si="0"/>
        <v>46023</v>
      </c>
      <c r="E30" s="1" t="s">
        <v>44</v>
      </c>
    </row>
    <row r="31" spans="1:5" ht="15" customHeight="1" x14ac:dyDescent="0.35">
      <c r="A31" s="1">
        <v>2025</v>
      </c>
      <c r="B31" s="1">
        <v>25</v>
      </c>
      <c r="C31" s="1">
        <v>1</v>
      </c>
      <c r="D31" s="5">
        <f t="shared" si="0"/>
        <v>46388</v>
      </c>
      <c r="E31" s="1" t="s">
        <v>45</v>
      </c>
    </row>
    <row r="32" spans="1:5" ht="15" customHeight="1" x14ac:dyDescent="0.35">
      <c r="A32" s="1">
        <v>2025</v>
      </c>
      <c r="B32" s="1">
        <v>0</v>
      </c>
      <c r="C32" s="1">
        <v>0</v>
      </c>
      <c r="D32" s="5">
        <f t="shared" si="0"/>
        <v>45626</v>
      </c>
      <c r="E32" s="1" t="s">
        <v>46</v>
      </c>
    </row>
    <row r="33" spans="1:5" ht="15" customHeight="1" x14ac:dyDescent="0.35">
      <c r="A33" s="1">
        <v>2025</v>
      </c>
      <c r="B33" s="1">
        <v>12</v>
      </c>
      <c r="C33" s="1">
        <v>32</v>
      </c>
      <c r="D33" s="5">
        <f t="shared" si="0"/>
        <v>46023</v>
      </c>
      <c r="E33" s="1" t="s">
        <v>47</v>
      </c>
    </row>
    <row r="34" spans="1:5" ht="15" customHeight="1" x14ac:dyDescent="0.35">
      <c r="A34" s="1">
        <v>2025</v>
      </c>
      <c r="B34" s="1">
        <v>2</v>
      </c>
      <c r="C34" s="1">
        <v>29</v>
      </c>
      <c r="D34" s="5">
        <f t="shared" si="0"/>
        <v>45717</v>
      </c>
      <c r="E34" s="1" t="s">
        <v>48</v>
      </c>
    </row>
    <row r="35" spans="1:5" ht="15" customHeight="1" x14ac:dyDescent="0.35">
      <c r="A35" s="1">
        <v>2024</v>
      </c>
      <c r="B35" s="1">
        <v>2</v>
      </c>
      <c r="C35" s="1">
        <v>29</v>
      </c>
      <c r="D35" s="5">
        <f t="shared" si="0"/>
        <v>45351</v>
      </c>
      <c r="E35" s="1" t="s">
        <v>49</v>
      </c>
    </row>
    <row r="36" spans="1:5" ht="15" customHeight="1" x14ac:dyDescent="0.35">
      <c r="A36" s="1">
        <v>2025</v>
      </c>
      <c r="B36" s="1">
        <v>2</v>
      </c>
      <c r="C36" s="1">
        <v>30</v>
      </c>
      <c r="D36" s="5">
        <f t="shared" si="0"/>
        <v>45718</v>
      </c>
      <c r="E36" s="1" t="s">
        <v>50</v>
      </c>
    </row>
    <row r="37" spans="1:5" ht="15" customHeight="1" x14ac:dyDescent="0.35">
      <c r="A37" s="1">
        <v>2025</v>
      </c>
      <c r="B37" s="1">
        <v>1</v>
      </c>
      <c r="C37" s="1">
        <v>0</v>
      </c>
      <c r="D37" s="5">
        <f t="shared" si="0"/>
        <v>45657</v>
      </c>
      <c r="E37" s="1" t="s">
        <v>51</v>
      </c>
    </row>
    <row r="38" spans="1:5" ht="15" customHeight="1" x14ac:dyDescent="0.35">
      <c r="A38" s="1">
        <v>2025</v>
      </c>
      <c r="B38" s="1">
        <v>1</v>
      </c>
      <c r="C38" s="1">
        <v>-1</v>
      </c>
      <c r="D38" s="5">
        <f t="shared" si="0"/>
        <v>45656</v>
      </c>
      <c r="E38" s="1" t="s">
        <v>52</v>
      </c>
    </row>
    <row r="39" spans="1:5" ht="15" customHeight="1" x14ac:dyDescent="0.35">
      <c r="A39" s="1">
        <v>2025</v>
      </c>
      <c r="B39" s="1">
        <v>1</v>
      </c>
      <c r="C39" s="1">
        <v>400</v>
      </c>
      <c r="D39" s="5">
        <f t="shared" si="0"/>
        <v>46057</v>
      </c>
      <c r="E39" s="1" t="s">
        <v>53</v>
      </c>
    </row>
    <row r="40" spans="1:5" ht="15" customHeight="1" x14ac:dyDescent="0.35">
      <c r="A40" s="1">
        <v>2025.9</v>
      </c>
      <c r="B40" s="1">
        <v>6</v>
      </c>
      <c r="C40" s="1">
        <v>15</v>
      </c>
      <c r="D40" s="5">
        <f t="shared" ref="D40:D61" si="3">DATE(A40,B40,C40)</f>
        <v>45823</v>
      </c>
      <c r="E40" s="1" t="s">
        <v>54</v>
      </c>
    </row>
    <row r="41" spans="1:5" ht="15" customHeight="1" x14ac:dyDescent="0.35">
      <c r="A41" s="1">
        <v>2025</v>
      </c>
      <c r="B41" s="1">
        <v>6.9</v>
      </c>
      <c r="C41" s="1">
        <v>15</v>
      </c>
      <c r="D41" s="5">
        <f t="shared" si="3"/>
        <v>45823</v>
      </c>
      <c r="E41" s="1" t="s">
        <v>55</v>
      </c>
    </row>
    <row r="42" spans="1:5" ht="15" customHeight="1" x14ac:dyDescent="0.35">
      <c r="A42" s="1">
        <v>2025</v>
      </c>
      <c r="B42" s="1">
        <v>6</v>
      </c>
      <c r="C42" s="1">
        <v>15.9</v>
      </c>
      <c r="D42" s="5">
        <f t="shared" si="3"/>
        <v>45823</v>
      </c>
      <c r="E42" s="1" t="s">
        <v>56</v>
      </c>
    </row>
    <row r="43" spans="1:5" ht="15" customHeight="1" x14ac:dyDescent="0.35">
      <c r="A43" s="1">
        <v>2025</v>
      </c>
      <c r="B43" s="1">
        <v>9.9999999999999995E-8</v>
      </c>
      <c r="C43" s="1">
        <v>1</v>
      </c>
      <c r="D43" s="5">
        <f t="shared" si="3"/>
        <v>45627</v>
      </c>
      <c r="E43" s="1" t="s">
        <v>57</v>
      </c>
    </row>
    <row r="44" spans="1:5" ht="15" customHeight="1" x14ac:dyDescent="0.35">
      <c r="A44" s="1">
        <v>2025</v>
      </c>
      <c r="B44" s="1">
        <v>6</v>
      </c>
      <c r="C44" s="1">
        <v>9.9999999999999995E-8</v>
      </c>
      <c r="D44" s="5">
        <f t="shared" si="3"/>
        <v>45808</v>
      </c>
      <c r="E44" s="1" t="s">
        <v>58</v>
      </c>
    </row>
    <row r="45" spans="1:5" ht="15" customHeight="1" x14ac:dyDescent="0.35">
      <c r="A45" s="1">
        <v>9.9999999999999995E-8</v>
      </c>
      <c r="B45" s="1">
        <v>9.9999999999999995E-8</v>
      </c>
      <c r="C45" s="1">
        <v>9.9999999999999995E-8</v>
      </c>
      <c r="D45" s="5" t="e">
        <f t="shared" si="3"/>
        <v>#NUM!</v>
      </c>
      <c r="E45" s="1" t="s">
        <v>59</v>
      </c>
    </row>
    <row r="46" spans="1:5" ht="15" customHeight="1" x14ac:dyDescent="0.35">
      <c r="A46" s="1">
        <v>-9.9999999999999995E-8</v>
      </c>
      <c r="B46" s="1">
        <v>-9.9999999999999995E-8</v>
      </c>
      <c r="C46" s="1">
        <v>-9.9999999999999995E-8</v>
      </c>
      <c r="D46" s="5" t="e">
        <f t="shared" si="3"/>
        <v>#NUM!</v>
      </c>
      <c r="E46" s="1" t="s">
        <v>60</v>
      </c>
    </row>
    <row r="47" spans="1:5" ht="15" customHeight="1" x14ac:dyDescent="0.35">
      <c r="A47" s="1" t="b">
        <v>0</v>
      </c>
      <c r="B47" s="1" t="b">
        <v>0</v>
      </c>
      <c r="C47" s="1" t="b">
        <v>0</v>
      </c>
      <c r="D47" s="5" t="e">
        <f t="shared" si="3"/>
        <v>#NUM!</v>
      </c>
      <c r="E47" s="1" t="s">
        <v>61</v>
      </c>
    </row>
    <row r="48" spans="1:5" ht="15" customHeight="1" x14ac:dyDescent="0.35">
      <c r="A48" s="1">
        <v>2025</v>
      </c>
      <c r="B48" s="1" t="b">
        <v>1</v>
      </c>
      <c r="C48" s="1" t="b">
        <v>0</v>
      </c>
      <c r="D48" s="5">
        <f t="shared" si="3"/>
        <v>45657</v>
      </c>
      <c r="E48" s="1" t="s">
        <v>62</v>
      </c>
    </row>
    <row r="49" spans="1:5" ht="15" customHeight="1" x14ac:dyDescent="0.35">
      <c r="A49" s="1" t="b">
        <v>1</v>
      </c>
      <c r="B49" s="1">
        <v>6</v>
      </c>
      <c r="C49" s="1">
        <v>15</v>
      </c>
      <c r="D49" s="5">
        <f t="shared" si="3"/>
        <v>532</v>
      </c>
      <c r="E49" s="1" t="s">
        <v>63</v>
      </c>
    </row>
    <row r="50" spans="1:5" ht="15" customHeight="1" x14ac:dyDescent="0.35">
      <c r="A50" s="6" t="s">
        <v>64</v>
      </c>
      <c r="B50" s="6" t="s">
        <v>65</v>
      </c>
      <c r="C50" s="6" t="s">
        <v>66</v>
      </c>
      <c r="D50" s="5">
        <f t="shared" si="3"/>
        <v>45823</v>
      </c>
      <c r="E50" s="1" t="s">
        <v>67</v>
      </c>
    </row>
    <row r="51" spans="1:5" ht="15" customHeight="1" x14ac:dyDescent="0.35">
      <c r="A51" s="6" t="s">
        <v>85</v>
      </c>
      <c r="B51" s="6" t="s">
        <v>86</v>
      </c>
      <c r="C51" s="6" t="s">
        <v>87</v>
      </c>
      <c r="D51" s="5" t="e">
        <f t="shared" si="3"/>
        <v>#VALUE!</v>
      </c>
      <c r="E51" s="1" t="s">
        <v>84</v>
      </c>
    </row>
    <row r="52" spans="1:5" ht="15" customHeight="1" x14ac:dyDescent="0.35">
      <c r="A52" s="6" t="s">
        <v>68</v>
      </c>
      <c r="B52" s="1">
        <v>6</v>
      </c>
      <c r="C52" s="1">
        <v>15</v>
      </c>
      <c r="D52" s="5" t="e">
        <f t="shared" si="3"/>
        <v>#VALUE!</v>
      </c>
      <c r="E52" s="1" t="s">
        <v>69</v>
      </c>
    </row>
    <row r="53" spans="1:5" ht="15" customHeight="1" x14ac:dyDescent="0.35">
      <c r="A53" s="1">
        <v>2025</v>
      </c>
      <c r="B53" s="6" t="s">
        <v>68</v>
      </c>
      <c r="C53" s="1">
        <v>15</v>
      </c>
      <c r="D53" s="5" t="e">
        <f t="shared" si="3"/>
        <v>#VALUE!</v>
      </c>
      <c r="E53" s="1" t="s">
        <v>70</v>
      </c>
    </row>
    <row r="54" spans="1:5" ht="15" customHeight="1" x14ac:dyDescent="0.35">
      <c r="A54" s="1">
        <v>2025</v>
      </c>
      <c r="B54" s="1">
        <v>6</v>
      </c>
      <c r="C54" s="6" t="s">
        <v>68</v>
      </c>
      <c r="D54" s="5" t="e">
        <f t="shared" si="3"/>
        <v>#VALUE!</v>
      </c>
      <c r="E54" s="1" t="s">
        <v>71</v>
      </c>
    </row>
    <row r="55" spans="1:5" ht="15" customHeight="1" x14ac:dyDescent="0.35">
      <c r="A55" s="1" t="e">
        <f>1/0</f>
        <v>#DIV/0!</v>
      </c>
      <c r="B55" s="1">
        <v>6</v>
      </c>
      <c r="C55" s="1">
        <v>15</v>
      </c>
      <c r="D55" s="5" t="e">
        <f t="shared" si="3"/>
        <v>#DIV/0!</v>
      </c>
      <c r="E55" s="1" t="s">
        <v>72</v>
      </c>
    </row>
    <row r="56" spans="1:5" ht="15" customHeight="1" x14ac:dyDescent="0.35">
      <c r="A56" s="1">
        <v>2025</v>
      </c>
      <c r="B56" s="1" t="e">
        <f>1/0</f>
        <v>#DIV/0!</v>
      </c>
      <c r="C56" s="1">
        <v>15</v>
      </c>
      <c r="D56" s="5" t="e">
        <f t="shared" si="3"/>
        <v>#DIV/0!</v>
      </c>
      <c r="E56" s="1" t="s">
        <v>73</v>
      </c>
    </row>
    <row r="57" spans="1:5" ht="15" customHeight="1" x14ac:dyDescent="0.35">
      <c r="A57" s="1">
        <v>2025</v>
      </c>
      <c r="B57" s="1">
        <v>6</v>
      </c>
      <c r="C57" s="1" t="e">
        <f>NA()</f>
        <v>#N/A</v>
      </c>
      <c r="D57" s="5" t="e">
        <f t="shared" si="3"/>
        <v>#N/A</v>
      </c>
      <c r="E57" s="1" t="s">
        <v>74</v>
      </c>
    </row>
    <row r="58" spans="1:5" ht="15" customHeight="1" x14ac:dyDescent="0.35">
      <c r="B58" s="1">
        <v>6</v>
      </c>
      <c r="C58" s="1">
        <v>15</v>
      </c>
      <c r="D58" s="5">
        <f t="shared" si="3"/>
        <v>167</v>
      </c>
      <c r="E58" s="1" t="s">
        <v>75</v>
      </c>
    </row>
    <row r="59" spans="1:5" ht="15" customHeight="1" x14ac:dyDescent="0.35">
      <c r="A59" s="1">
        <v>2025</v>
      </c>
      <c r="C59" s="1">
        <v>15</v>
      </c>
      <c r="D59" s="5">
        <f t="shared" si="3"/>
        <v>45641</v>
      </c>
      <c r="E59" s="1" t="s">
        <v>76</v>
      </c>
    </row>
    <row r="60" spans="1:5" ht="15" customHeight="1" x14ac:dyDescent="0.35">
      <c r="A60" s="1">
        <v>2025</v>
      </c>
      <c r="B60" s="1">
        <v>6</v>
      </c>
      <c r="D60" s="5">
        <f t="shared" si="3"/>
        <v>45808</v>
      </c>
      <c r="E60" s="1" t="s">
        <v>77</v>
      </c>
    </row>
    <row r="61" spans="1:5" ht="15" customHeight="1" x14ac:dyDescent="0.35">
      <c r="D61" s="5" t="e">
        <f t="shared" si="3"/>
        <v>#NUM!</v>
      </c>
      <c r="E61" s="1" t="s">
        <v>78</v>
      </c>
    </row>
    <row r="62" spans="1:5" ht="15" customHeight="1" x14ac:dyDescent="0.35">
      <c r="B62" s="1">
        <v>6</v>
      </c>
      <c r="C62" s="1">
        <v>15</v>
      </c>
      <c r="D62" s="5">
        <f>DATE(,B62,C62)</f>
        <v>167</v>
      </c>
      <c r="E62" s="1" t="s">
        <v>80</v>
      </c>
    </row>
    <row r="63" spans="1:5" ht="15" customHeight="1" x14ac:dyDescent="0.35">
      <c r="A63" s="1">
        <v>2025</v>
      </c>
      <c r="C63" s="1">
        <v>15</v>
      </c>
      <c r="D63" s="5">
        <f>DATE(A63,,C63)</f>
        <v>45641</v>
      </c>
      <c r="E63" s="1" t="s">
        <v>81</v>
      </c>
    </row>
    <row r="64" spans="1:5" ht="15" customHeight="1" x14ac:dyDescent="0.35">
      <c r="A64" s="1">
        <v>2025</v>
      </c>
      <c r="B64" s="1">
        <v>6</v>
      </c>
      <c r="D64" s="5">
        <f>DATE(A64,B64,)</f>
        <v>45808</v>
      </c>
      <c r="E64" s="1" t="s">
        <v>82</v>
      </c>
    </row>
    <row r="65" spans="4:5" ht="15" customHeight="1" x14ac:dyDescent="0.35">
      <c r="D65" s="5" t="e">
        <f>DATE(,,)</f>
        <v>#NUM!</v>
      </c>
      <c r="E65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microsoft-image@theuniverse.today</dc:creator>
  <cp:keywords/>
  <dc:description/>
  <cp:lastModifiedBy>Elsa Minsut</cp:lastModifiedBy>
  <cp:revision/>
  <dcterms:created xsi:type="dcterms:W3CDTF">2025-09-27T08:27:48Z</dcterms:created>
  <dcterms:modified xsi:type="dcterms:W3CDTF">2026-08-18T18:27:03Z</dcterms:modified>
  <cp:category/>
  <cp:contentStatus/>
</cp:coreProperties>
</file>