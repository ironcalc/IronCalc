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6A65AE65-9E6B-4303-B4E2-3BA683F1F58B}" xr6:coauthVersionLast="47" xr6:coauthVersionMax="47" xr10:uidLastSave="{00000000-0000-0000-0000-000000000000}"/>
  <bookViews>
    <workbookView xWindow="7600" yWindow="5030" windowWidth="21590" windowHeight="1277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3" l="1"/>
  <c r="I31" i="3"/>
  <c r="I32" i="3"/>
  <c r="I33" i="3"/>
  <c r="I34" i="3"/>
  <c r="I35" i="3"/>
  <c r="I36" i="3"/>
  <c r="I29" i="3"/>
  <c r="B35" i="3"/>
  <c r="B34" i="3"/>
  <c r="A37" i="3"/>
  <c r="A36" i="3"/>
  <c r="C35" i="3"/>
  <c r="I41" i="3"/>
  <c r="H41" i="3"/>
  <c r="I38" i="3"/>
  <c r="K38" i="3"/>
  <c r="H38" i="3" s="1"/>
  <c r="K37" i="3"/>
  <c r="I37" i="3" s="1"/>
  <c r="I16" i="3"/>
  <c r="I10" i="3"/>
  <c r="H26" i="3"/>
  <c r="H27" i="3"/>
  <c r="H28" i="3"/>
  <c r="H25" i="3"/>
  <c r="K24" i="3"/>
  <c r="K23" i="3"/>
  <c r="K22" i="3"/>
  <c r="H22" i="3" s="1"/>
  <c r="K21" i="3"/>
  <c r="H21" i="3" s="1"/>
  <c r="I28" i="3"/>
  <c r="I27" i="3"/>
  <c r="I26" i="3"/>
  <c r="I25" i="3"/>
  <c r="I22" i="3"/>
  <c r="I20" i="3"/>
  <c r="I19" i="3"/>
  <c r="I18" i="3"/>
  <c r="I17" i="3"/>
  <c r="I15" i="3"/>
  <c r="I14" i="3"/>
  <c r="I13" i="3"/>
  <c r="I12" i="3"/>
  <c r="I11" i="3"/>
  <c r="I9" i="3"/>
  <c r="I8" i="3"/>
  <c r="I7" i="3"/>
  <c r="I6" i="3"/>
  <c r="I5" i="3"/>
  <c r="I4" i="3"/>
  <c r="I3" i="3"/>
  <c r="I2" i="3"/>
  <c r="I21" i="3"/>
  <c r="C59" i="3"/>
  <c r="D59" i="3"/>
  <c r="C60" i="3"/>
  <c r="D60" i="3"/>
  <c r="C61" i="3"/>
  <c r="D61" i="3"/>
  <c r="C62" i="3"/>
  <c r="D62" i="3"/>
  <c r="C63" i="3"/>
  <c r="D63" i="3"/>
  <c r="C64" i="3"/>
  <c r="D64" i="3"/>
  <c r="D39" i="3"/>
  <c r="C39" i="3"/>
  <c r="D38" i="3"/>
  <c r="C38" i="3"/>
  <c r="C22" i="3"/>
  <c r="D22" i="3"/>
  <c r="C24" i="3"/>
  <c r="D24" i="3"/>
  <c r="C25" i="3"/>
  <c r="D25" i="3"/>
  <c r="C30" i="3"/>
  <c r="D30" i="3"/>
  <c r="C31" i="3"/>
  <c r="D31" i="3"/>
  <c r="C32" i="3"/>
  <c r="D32" i="3"/>
  <c r="C33" i="3"/>
  <c r="D33" i="3"/>
  <c r="D35" i="3"/>
  <c r="C36" i="3"/>
  <c r="D36" i="3"/>
  <c r="C37" i="3"/>
  <c r="D37" i="3"/>
  <c r="B7" i="3"/>
  <c r="A7" i="3"/>
  <c r="B71" i="3"/>
  <c r="A71" i="3"/>
  <c r="B70" i="3"/>
  <c r="A70" i="3"/>
  <c r="B69" i="3"/>
  <c r="A69" i="3"/>
  <c r="B68" i="3"/>
  <c r="A68" i="3"/>
  <c r="B67" i="3"/>
  <c r="A67" i="3"/>
  <c r="B66" i="3"/>
  <c r="A66" i="3"/>
  <c r="B58" i="3"/>
  <c r="A58" i="3"/>
  <c r="B57" i="3"/>
  <c r="A57" i="3"/>
  <c r="B56" i="3"/>
  <c r="A56" i="3"/>
  <c r="B55" i="3"/>
  <c r="B54" i="3"/>
  <c r="A54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B23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6" i="3"/>
  <c r="A6" i="3"/>
  <c r="B5" i="3"/>
  <c r="A5" i="3"/>
  <c r="B4" i="3"/>
  <c r="A4" i="3"/>
  <c r="B3" i="3"/>
  <c r="A3" i="3"/>
  <c r="B2" i="3"/>
  <c r="A2" i="3"/>
  <c r="B29" i="3"/>
  <c r="A31" i="3"/>
  <c r="A30" i="3"/>
  <c r="A29" i="3"/>
  <c r="D41" i="3" l="1"/>
  <c r="C41" i="3"/>
  <c r="D66" i="3"/>
  <c r="C66" i="3"/>
  <c r="D23" i="3"/>
  <c r="C23" i="3"/>
  <c r="D34" i="3"/>
  <c r="C34" i="3"/>
  <c r="C58" i="3"/>
  <c r="D58" i="3"/>
  <c r="C57" i="3"/>
  <c r="D57" i="3"/>
  <c r="C56" i="3"/>
  <c r="D56" i="3"/>
  <c r="D55" i="3"/>
  <c r="C55" i="3"/>
  <c r="C54" i="3"/>
  <c r="D54" i="3"/>
  <c r="D42" i="3"/>
  <c r="C42" i="3"/>
  <c r="C43" i="3"/>
  <c r="D43" i="3"/>
  <c r="D44" i="3"/>
  <c r="C44" i="3"/>
  <c r="C45" i="3"/>
  <c r="D45" i="3"/>
  <c r="C46" i="3"/>
  <c r="D46" i="3"/>
  <c r="C47" i="3"/>
  <c r="D47" i="3"/>
  <c r="D48" i="3"/>
  <c r="C48" i="3"/>
  <c r="D49" i="3"/>
  <c r="C49" i="3"/>
  <c r="D50" i="3"/>
  <c r="C50" i="3"/>
  <c r="D51" i="3"/>
  <c r="C51" i="3"/>
  <c r="D52" i="3"/>
  <c r="C52" i="3"/>
  <c r="C53" i="3"/>
  <c r="D53" i="3"/>
  <c r="D21" i="3"/>
  <c r="C21" i="3"/>
  <c r="C20" i="3"/>
  <c r="D20" i="3"/>
  <c r="D19" i="3"/>
  <c r="C19" i="3"/>
  <c r="D18" i="3"/>
  <c r="C18" i="3"/>
  <c r="D17" i="3"/>
  <c r="C17" i="3"/>
  <c r="D16" i="3"/>
  <c r="C16" i="3"/>
  <c r="C15" i="3"/>
  <c r="D15" i="3"/>
  <c r="D14" i="3"/>
  <c r="C14" i="3"/>
  <c r="D13" i="3"/>
  <c r="C13" i="3"/>
  <c r="D12" i="3"/>
  <c r="C12" i="3"/>
  <c r="C11" i="3"/>
  <c r="D11" i="3"/>
  <c r="D10" i="3"/>
  <c r="C10" i="3"/>
  <c r="D9" i="3"/>
  <c r="C9" i="3"/>
  <c r="C8" i="3"/>
  <c r="D8" i="3"/>
  <c r="D6" i="3"/>
  <c r="C6" i="3"/>
  <c r="D5" i="3"/>
  <c r="C5" i="3"/>
  <c r="D4" i="3"/>
  <c r="C4" i="3"/>
  <c r="D3" i="3"/>
  <c r="C3" i="3"/>
  <c r="D2" i="3"/>
  <c r="C2" i="3"/>
  <c r="D29" i="3"/>
  <c r="C29" i="3"/>
  <c r="C7" i="3"/>
  <c r="D7" i="3"/>
  <c r="D71" i="3"/>
  <c r="C71" i="3"/>
  <c r="C70" i="3"/>
  <c r="D70" i="3"/>
  <c r="C69" i="3"/>
  <c r="D69" i="3"/>
  <c r="C68" i="3"/>
  <c r="D68" i="3"/>
  <c r="C67" i="3"/>
  <c r="D67" i="3"/>
  <c r="A26" i="3"/>
  <c r="B26" i="3"/>
  <c r="B28" i="3"/>
  <c r="A27" i="3"/>
  <c r="D26" i="3" l="1"/>
  <c r="C26" i="3"/>
  <c r="C28" i="3"/>
  <c r="D28" i="3"/>
  <c r="C27" i="3"/>
  <c r="D27" i="3"/>
</calcChain>
</file>

<file path=xl/sharedStrings.xml><?xml version="1.0" encoding="utf-8"?>
<sst xmlns="http://schemas.openxmlformats.org/spreadsheetml/2006/main" count="128" uniqueCount="111">
  <si>
    <t>End date</t>
  </si>
  <si>
    <t>Start date</t>
  </si>
  <si>
    <t>NOTES</t>
  </si>
  <si>
    <t>Small range</t>
  </si>
  <si>
    <t>Large range</t>
  </si>
  <si>
    <t>Argument out of bounds</t>
  </si>
  <si>
    <t>Negative range</t>
  </si>
  <si>
    <t>abc</t>
  </si>
  <si>
    <t>Argument is string</t>
  </si>
  <si>
    <t>DATE function</t>
  </si>
  <si>
    <t>Argument is decimal number</t>
  </si>
  <si>
    <t>Same start &amp; end date</t>
  </si>
  <si>
    <t>Argument is negative number</t>
  </si>
  <si>
    <t>Leap year - Feb 29th</t>
  </si>
  <si>
    <t>Leap year - days in Feb</t>
  </si>
  <si>
    <t>Integer number</t>
  </si>
  <si>
    <t>Integer/date type mix</t>
  </si>
  <si>
    <t>Decimal number</t>
  </si>
  <si>
    <t>Error propagation</t>
  </si>
  <si>
    <t>def</t>
  </si>
  <si>
    <t>Number is boolean</t>
  </si>
  <si>
    <t>Implicit intersection in first argument</t>
  </si>
  <si>
    <t>Implicit intersection in second argument</t>
  </si>
  <si>
    <t>Year range</t>
  </si>
  <si>
    <t>Year range (leap year)</t>
  </si>
  <si>
    <t>Friday to Monday</t>
  </si>
  <si>
    <t>Saturday to Monday</t>
  </si>
  <si>
    <t>Sunday to Monday</t>
  </si>
  <si>
    <t>"07/01/2026"</t>
  </si>
  <si>
    <t>" 07/01/2026 "</t>
  </si>
  <si>
    <t>String</t>
  </si>
  <si>
    <t>Non-numerical string</t>
  </si>
  <si>
    <t>Negative number</t>
  </si>
  <si>
    <t>End of month to end of month</t>
  </si>
  <si>
    <t>End of month (31 days)</t>
  </si>
  <si>
    <t>Non-leap year - Feb 29th</t>
  </si>
  <si>
    <t>Days in Feb</t>
  </si>
  <si>
    <t>End of Feb to end of Feb (leap year)</t>
  </si>
  <si>
    <t>Date with time portion</t>
  </si>
  <si>
    <t>Date with time portion - same day</t>
  </si>
  <si>
    <t>Date with time portion - minutes into next day</t>
  </si>
  <si>
    <t>EOM: start on 31st into Feb (non-leap)</t>
  </si>
  <si>
    <t>EOM: start on 31st into Feb 29 (leap)</t>
  </si>
  <si>
    <t>EOM: Feb 28 to Mar 31 (non-leap)</t>
  </si>
  <si>
    <t>EOM: Feb 29 to Mar 31 (leap)</t>
  </si>
  <si>
    <t>EOM: 31st to 31st, two months apart</t>
  </si>
  <si>
    <t>EOM: 31st to 31st across a 30-day month</t>
  </si>
  <si>
    <t>EOM: start on 30th, end on 30th</t>
  </si>
  <si>
    <t>EOM: start 31st vs 30th, same end date</t>
  </si>
  <si>
    <t>EOM: 30th to 31st within one month</t>
  </si>
  <si>
    <t>EOM: full year ending on the 31st</t>
  </si>
  <si>
    <t>EOM: 31st crossing the year boundary</t>
  </si>
  <si>
    <t>EOM: same date, both end of a 30-day month</t>
  </si>
  <si>
    <t>EOM: same date, both end of Feb</t>
  </si>
  <si>
    <t>Serial boundary: max supported date</t>
  </si>
  <si>
    <t>Serial boundary: one past max date</t>
  </si>
  <si>
    <t>Fractional serials within the same day</t>
  </si>
  <si>
    <t>Fractional serials straddling midnight</t>
  </si>
  <si>
    <t>Negative fractional serials</t>
  </si>
  <si>
    <t>2026-07-01</t>
  </si>
  <si>
    <t>July 1, 2026</t>
  </si>
  <si>
    <t>1/1/29</t>
  </si>
  <si>
    <t>1/1/30</t>
  </si>
  <si>
    <t>45000</t>
  </si>
  <si>
    <t>2025-02-29</t>
  </si>
  <si>
    <t>2026-06-01</t>
  </si>
  <si>
    <t>June 1, 2026</t>
  </si>
  <si>
    <t>1/1/28</t>
  </si>
  <si>
    <t>44999</t>
  </si>
  <si>
    <t>2025-02-01</t>
  </si>
  <si>
    <t>String: long month-name format</t>
  </si>
  <si>
    <t>String: 2-digit year below the 2029 pivot</t>
  </si>
  <si>
    <t>String: 2-digit year across the 2029/2030 pivot</t>
  </si>
  <si>
    <t>String: numeric text serial</t>
  </si>
  <si>
    <t>String: Feb 29 in a non-leap year</t>
  </si>
  <si>
    <t>Precision: near-full day inside one calendar day</t>
  </si>
  <si>
    <t>Precision: minimal span across midnight</t>
  </si>
  <si>
    <t>Precision: exact half-day offsets, one day apart</t>
  </si>
  <si>
    <t>Precision: just over one day, fractional both sides</t>
  </si>
  <si>
    <t>Precision: reversed fractional arguments</t>
  </si>
  <si>
    <t>Precision: end is whole day, start is late same day</t>
  </si>
  <si>
    <t>NETWORKDAYS</t>
  </si>
  <si>
    <t>NETWORKDAYS.INTL</t>
  </si>
  <si>
    <t>WEEKEND</t>
  </si>
  <si>
    <t>HOLIDAY</t>
  </si>
  <si>
    <t>Argument is boolean</t>
  </si>
  <si>
    <t>0000111</t>
  </si>
  <si>
    <t>Custom holiday pattern as string</t>
  </si>
  <si>
    <t>Date in 4th argument</t>
  </si>
  <si>
    <t>Date range in 4th argument</t>
  </si>
  <si>
    <t>String: ISO format</t>
  </si>
  <si>
    <t>Sat-Sun weekend pattern</t>
  </si>
  <si>
    <t>0000011</t>
  </si>
  <si>
    <t>0000012</t>
  </si>
  <si>
    <t>All working days weekend pattern</t>
  </si>
  <si>
    <t>No working days weekend pattern</t>
  </si>
  <si>
    <t>0000000</t>
  </si>
  <si>
    <t>1111111</t>
  </si>
  <si>
    <t>Longer weekend pattern</t>
  </si>
  <si>
    <t>Shorter weekend pattern</t>
  </si>
  <si>
    <t>00000111</t>
  </si>
  <si>
    <t>000001</t>
  </si>
  <si>
    <t>Invalid weekend pattern</t>
  </si>
  <si>
    <t>1100000</t>
  </si>
  <si>
    <t>Custom pattern - Monday Tuesday</t>
  </si>
  <si>
    <t>1101111</t>
  </si>
  <si>
    <t>Custom pattern - only one workday</t>
  </si>
  <si>
    <t>Holiday in end date</t>
  </si>
  <si>
    <t>Mixed holiday formats</t>
  </si>
  <si>
    <t>Mixed errors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</si>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</sst>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/>
    <xf numFmtId="0" fontId="1" fillId="2" borderId="1" xfId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0" fontId="3" fillId="0" borderId="0" xfId="0" quotePrefix="1" applyFont="1"/>
    <xf numFmtId="1" fontId="0" fillId="0" borderId="0" xfId="0" applyNumberFormat="1"/>
    <xf numFmtId="22" fontId="3" fillId="0" borderId="0" xfId="0" applyNumberFormat="1" applyFont="1"/>
    <xf numFmtId="164" fontId="0" fillId="0" borderId="0" xfId="0" applyNumberFormat="1"/>
    <xf numFmtId="14" fontId="0" fillId="0" borderId="0" xfId="0" quotePrefix="1" applyNumberFormat="1"/>
    <xf numFmtId="49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6A674C-B614-904F-A0CA-546DE22D6D5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19b96e0-13af-4550-9022-7fcfc58faa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L71"/>
  <sheetViews>
    <sheetView tabSelected="1" topLeftCell="A24" workbookViewId="0">
      <selection activeCell="F36" sqref="F36:F40"/>
    </sheetView>
  </sheetViews>
  <sheetFormatPr defaultColWidth="8.81640625" defaultRowHeight="14.5" x14ac:dyDescent="0.35"/>
  <cols>
    <col min="1" max="2" width="17.08984375" customWidth="1"/>
    <col min="3" max="4" width="20.1796875" customWidth="1"/>
    <col min="5" max="5" width="38.36328125" bestFit="1" customWidth="1"/>
    <col min="8" max="8" width="16.26953125" customWidth="1"/>
    <col min="9" max="9" width="22.36328125" customWidth="1"/>
    <col min="10" max="10" width="11.36328125" customWidth="1"/>
    <col min="11" max="11" width="12.7265625" customWidth="1"/>
    <col min="12" max="12" width="29.81640625" customWidth="1"/>
  </cols>
  <sheetData>
    <row r="1" spans="1:12" ht="19.5" customHeight="1" x14ac:dyDescent="0.35">
      <c r="A1" s="1" t="s">
        <v>0</v>
      </c>
      <c r="B1" s="1" t="s">
        <v>1</v>
      </c>
      <c r="C1" s="4" t="s">
        <v>81</v>
      </c>
      <c r="D1" s="4" t="s">
        <v>82</v>
      </c>
      <c r="E1" s="1" t="s">
        <v>2</v>
      </c>
      <c r="H1" s="4" t="s">
        <v>81</v>
      </c>
      <c r="I1" s="4" t="s">
        <v>82</v>
      </c>
      <c r="J1" s="1" t="s">
        <v>83</v>
      </c>
      <c r="K1" s="1" t="s">
        <v>84</v>
      </c>
      <c r="L1" s="1" t="s">
        <v>2</v>
      </c>
    </row>
    <row r="2" spans="1:12" x14ac:dyDescent="0.35">
      <c r="A2" s="3">
        <f>DATE(2025,1,10)</f>
        <v>45667</v>
      </c>
      <c r="B2" s="3">
        <f>DATE(2025,1,1)</f>
        <v>45658</v>
      </c>
      <c r="C2" s="2">
        <f>NETWORKDAYS(B2,A2)</f>
        <v>8</v>
      </c>
      <c r="D2" s="2">
        <f>NETWORKDAYS.INTL(B2,A2)</f>
        <v>8</v>
      </c>
      <c r="E2" t="s">
        <v>3</v>
      </c>
      <c r="I2" s="2">
        <f t="shared" ref="I2:I15" si="0">NETWORKDAYS.INTL(DATE(2025,1,1),DATE(2026,1,1),J2)</f>
        <v>262</v>
      </c>
      <c r="J2">
        <v>1</v>
      </c>
    </row>
    <row r="3" spans="1:12" x14ac:dyDescent="0.35">
      <c r="A3" s="3">
        <f>DATE(2026,1,1)</f>
        <v>46023</v>
      </c>
      <c r="B3" s="3">
        <f>DATE(2025,1,1)</f>
        <v>45658</v>
      </c>
      <c r="C3" s="2">
        <f t="shared" ref="C3:C27" si="1">NETWORKDAYS(B3,A3)</f>
        <v>262</v>
      </c>
      <c r="D3" s="2">
        <f t="shared" ref="D3:D27" si="2">NETWORKDAYS.INTL(B3,A3)</f>
        <v>262</v>
      </c>
      <c r="E3" t="s">
        <v>23</v>
      </c>
      <c r="I3" s="2">
        <f t="shared" si="0"/>
        <v>262</v>
      </c>
      <c r="J3">
        <v>2</v>
      </c>
    </row>
    <row r="4" spans="1:12" x14ac:dyDescent="0.35">
      <c r="A4" s="3">
        <f>DATE(2025,1,1)</f>
        <v>45658</v>
      </c>
      <c r="B4" s="3">
        <f>DATE(2024,1,1)</f>
        <v>45292</v>
      </c>
      <c r="C4" s="2">
        <f t="shared" si="1"/>
        <v>263</v>
      </c>
      <c r="D4" s="2">
        <f t="shared" si="2"/>
        <v>263</v>
      </c>
      <c r="E4" t="s">
        <v>24</v>
      </c>
      <c r="I4" s="2">
        <f t="shared" si="0"/>
        <v>262</v>
      </c>
      <c r="J4">
        <v>3</v>
      </c>
    </row>
    <row r="5" spans="1:12" x14ac:dyDescent="0.35">
      <c r="A5" s="3">
        <f>DATE(9990,5,12)</f>
        <v>2954945</v>
      </c>
      <c r="B5" s="3">
        <f>DATE(1990,5,12)</f>
        <v>33005</v>
      </c>
      <c r="C5" s="2">
        <f t="shared" si="1"/>
        <v>2087100</v>
      </c>
      <c r="D5" s="2">
        <f t="shared" si="2"/>
        <v>2087100</v>
      </c>
      <c r="E5" t="s">
        <v>4</v>
      </c>
      <c r="I5" s="2">
        <f t="shared" si="0"/>
        <v>261</v>
      </c>
      <c r="J5">
        <v>4</v>
      </c>
    </row>
    <row r="6" spans="1:12" x14ac:dyDescent="0.35">
      <c r="A6" s="3">
        <f>DATE(2025,1,1)</f>
        <v>45658</v>
      </c>
      <c r="B6" s="3">
        <f>DATE(2025,1,10)</f>
        <v>45667</v>
      </c>
      <c r="C6" s="2">
        <f t="shared" si="1"/>
        <v>-8</v>
      </c>
      <c r="D6" s="2">
        <f t="shared" si="2"/>
        <v>-8</v>
      </c>
      <c r="E6" t="s">
        <v>6</v>
      </c>
      <c r="I6" s="2">
        <f t="shared" si="0"/>
        <v>260</v>
      </c>
      <c r="J6">
        <v>5</v>
      </c>
    </row>
    <row r="7" spans="1:12" x14ac:dyDescent="0.35">
      <c r="A7" s="3">
        <f>DATE(2026,2,4)</f>
        <v>46057</v>
      </c>
      <c r="B7" s="3">
        <f>DATE(2025,10,12)</f>
        <v>45942</v>
      </c>
      <c r="C7" s="2">
        <f t="shared" si="1"/>
        <v>83</v>
      </c>
      <c r="D7" s="2">
        <f t="shared" si="2"/>
        <v>83</v>
      </c>
      <c r="E7" t="s">
        <v>9</v>
      </c>
      <c r="I7" s="2">
        <f t="shared" si="0"/>
        <v>261</v>
      </c>
      <c r="J7">
        <v>6</v>
      </c>
    </row>
    <row r="8" spans="1:12" x14ac:dyDescent="0.35">
      <c r="A8" s="3">
        <f>DATE(2025,12,8)</f>
        <v>45999</v>
      </c>
      <c r="B8" s="3">
        <f>DATE(2025,12,5)</f>
        <v>45996</v>
      </c>
      <c r="C8" s="2">
        <f t="shared" si="1"/>
        <v>2</v>
      </c>
      <c r="D8" s="2">
        <f t="shared" si="2"/>
        <v>2</v>
      </c>
      <c r="E8" t="s">
        <v>25</v>
      </c>
      <c r="I8" s="2">
        <f t="shared" si="0"/>
        <v>262</v>
      </c>
      <c r="J8">
        <v>7</v>
      </c>
    </row>
    <row r="9" spans="1:12" x14ac:dyDescent="0.35">
      <c r="A9" s="3">
        <f>DATE(2025,12,8)</f>
        <v>45999</v>
      </c>
      <c r="B9" s="3">
        <f>DATE(2025,12,6)</f>
        <v>45997</v>
      </c>
      <c r="C9" s="2">
        <f t="shared" si="1"/>
        <v>1</v>
      </c>
      <c r="D9" s="2">
        <f t="shared" si="2"/>
        <v>1</v>
      </c>
      <c r="E9" t="s">
        <v>26</v>
      </c>
      <c r="I9" s="2">
        <f t="shared" si="0"/>
        <v>314</v>
      </c>
      <c r="J9">
        <v>11</v>
      </c>
    </row>
    <row r="10" spans="1:12" x14ac:dyDescent="0.35">
      <c r="A10" s="3">
        <f>DATE(2025,12,8)</f>
        <v>45999</v>
      </c>
      <c r="B10" s="3">
        <f>DATE(2025,12,7)</f>
        <v>45998</v>
      </c>
      <c r="C10" s="2">
        <f t="shared" si="1"/>
        <v>1</v>
      </c>
      <c r="D10" s="2">
        <f t="shared" si="2"/>
        <v>1</v>
      </c>
      <c r="E10" t="s">
        <v>27</v>
      </c>
      <c r="I10" s="2">
        <f t="shared" si="0"/>
        <v>314</v>
      </c>
      <c r="J10">
        <v>12</v>
      </c>
    </row>
    <row r="11" spans="1:12" x14ac:dyDescent="0.35">
      <c r="A11" s="3">
        <f>DATE(2025,12,8)</f>
        <v>45999</v>
      </c>
      <c r="B11" s="3">
        <f>DATE(2025,12,8)</f>
        <v>45999</v>
      </c>
      <c r="C11" s="2">
        <f t="shared" si="1"/>
        <v>1</v>
      </c>
      <c r="D11" s="2">
        <f t="shared" si="2"/>
        <v>1</v>
      </c>
      <c r="E11" t="s">
        <v>11</v>
      </c>
      <c r="I11" s="2">
        <f t="shared" si="0"/>
        <v>314</v>
      </c>
      <c r="J11">
        <v>13</v>
      </c>
    </row>
    <row r="12" spans="1:12" x14ac:dyDescent="0.35">
      <c r="A12" s="3">
        <f>DATE(2024,3,1)</f>
        <v>45352</v>
      </c>
      <c r="B12" s="3">
        <f>DATE(2024,2,28)</f>
        <v>45350</v>
      </c>
      <c r="C12" s="2">
        <f t="shared" si="1"/>
        <v>3</v>
      </c>
      <c r="D12" s="2">
        <f t="shared" si="2"/>
        <v>3</v>
      </c>
      <c r="E12" t="s">
        <v>13</v>
      </c>
      <c r="I12" s="2">
        <f t="shared" si="0"/>
        <v>313</v>
      </c>
      <c r="J12">
        <v>14</v>
      </c>
    </row>
    <row r="13" spans="1:12" x14ac:dyDescent="0.35">
      <c r="A13" s="3">
        <f>DATE(2024,3,1)</f>
        <v>45352</v>
      </c>
      <c r="B13" s="3">
        <f>DATE(2024,2,1)</f>
        <v>45323</v>
      </c>
      <c r="C13" s="2">
        <f t="shared" si="1"/>
        <v>22</v>
      </c>
      <c r="D13" s="2">
        <f t="shared" si="2"/>
        <v>22</v>
      </c>
      <c r="E13" t="s">
        <v>14</v>
      </c>
      <c r="I13" s="2">
        <f t="shared" si="0"/>
        <v>313</v>
      </c>
      <c r="J13">
        <v>15</v>
      </c>
    </row>
    <row r="14" spans="1:12" x14ac:dyDescent="0.35">
      <c r="A14" s="3">
        <f>DATE(2025,2,28)</f>
        <v>45716</v>
      </c>
      <c r="B14" s="3">
        <f>DATE(2024,2,29)</f>
        <v>45351</v>
      </c>
      <c r="C14" s="2">
        <f t="shared" si="1"/>
        <v>262</v>
      </c>
      <c r="D14" s="2">
        <f t="shared" si="2"/>
        <v>262</v>
      </c>
      <c r="E14" t="s">
        <v>37</v>
      </c>
      <c r="I14" s="2">
        <f t="shared" si="0"/>
        <v>314</v>
      </c>
      <c r="J14">
        <v>16</v>
      </c>
    </row>
    <row r="15" spans="1:12" x14ac:dyDescent="0.35">
      <c r="A15" s="3">
        <f>DATE(2025,3,1)</f>
        <v>45717</v>
      </c>
      <c r="B15" s="3">
        <f>DATE(2025,2,28)</f>
        <v>45716</v>
      </c>
      <c r="C15" s="2">
        <f t="shared" si="1"/>
        <v>1</v>
      </c>
      <c r="D15" s="2">
        <f t="shared" si="2"/>
        <v>1</v>
      </c>
      <c r="E15" t="s">
        <v>35</v>
      </c>
      <c r="I15" s="2">
        <f t="shared" si="0"/>
        <v>314</v>
      </c>
      <c r="J15">
        <v>17</v>
      </c>
    </row>
    <row r="16" spans="1:12" x14ac:dyDescent="0.35">
      <c r="A16" s="3">
        <f>DATE(2025,7,31)</f>
        <v>45869</v>
      </c>
      <c r="B16" s="3">
        <f>DATE(2025,6,30)</f>
        <v>45838</v>
      </c>
      <c r="C16" s="2">
        <f t="shared" si="1"/>
        <v>24</v>
      </c>
      <c r="D16" s="2">
        <f t="shared" si="2"/>
        <v>24</v>
      </c>
      <c r="E16" t="s">
        <v>33</v>
      </c>
      <c r="I16" s="2" t="e">
        <f>NETWORKDAYS.INTL(DATE(2025,1,1),DATE(2026,1,1),J16)</f>
        <v>#NUM!</v>
      </c>
      <c r="J16">
        <v>18</v>
      </c>
      <c r="L16" t="s">
        <v>5</v>
      </c>
    </row>
    <row r="17" spans="1:12" x14ac:dyDescent="0.35">
      <c r="A17" s="3">
        <f>DATE(2025,7,31)</f>
        <v>45869</v>
      </c>
      <c r="B17" s="3">
        <f>DATE(2025,7,30)</f>
        <v>45868</v>
      </c>
      <c r="C17" s="2">
        <f t="shared" si="1"/>
        <v>2</v>
      </c>
      <c r="D17" s="2">
        <f t="shared" si="2"/>
        <v>2</v>
      </c>
      <c r="E17" t="s">
        <v>34</v>
      </c>
      <c r="I17" s="2" t="e">
        <f>NETWORKDAYS.INTL(DATE(2025,1,1),DATE(2026,1,1),J17)</f>
        <v>#NUM!</v>
      </c>
      <c r="J17">
        <v>0</v>
      </c>
      <c r="L17" t="s">
        <v>5</v>
      </c>
    </row>
    <row r="18" spans="1:12" x14ac:dyDescent="0.35">
      <c r="A18" s="3">
        <f>DATE(2024,2,28)</f>
        <v>45350</v>
      </c>
      <c r="B18" s="3">
        <f>DATE(2024,1,31)</f>
        <v>45322</v>
      </c>
      <c r="C18" s="2">
        <f t="shared" si="1"/>
        <v>21</v>
      </c>
      <c r="D18" s="2">
        <f t="shared" si="2"/>
        <v>21</v>
      </c>
      <c r="E18" t="s">
        <v>36</v>
      </c>
      <c r="I18" s="2" t="e">
        <f>NETWORKDAYS.INTL(DATE(2025,1,1),DATE(2026,1,1),J18)</f>
        <v>#VALUE!</v>
      </c>
      <c r="J18" t="s">
        <v>7</v>
      </c>
      <c r="L18" t="s">
        <v>8</v>
      </c>
    </row>
    <row r="19" spans="1:12" x14ac:dyDescent="0.35">
      <c r="A19" s="3">
        <f>DATE(2025,1,13)</f>
        <v>45670</v>
      </c>
      <c r="B19" s="7">
        <f>DATE(2025,1,10)+TIME(16,30,0)</f>
        <v>45667.6875</v>
      </c>
      <c r="C19" s="2">
        <f t="shared" si="1"/>
        <v>2</v>
      </c>
      <c r="D19" s="2">
        <f t="shared" si="2"/>
        <v>2</v>
      </c>
      <c r="E19" t="s">
        <v>38</v>
      </c>
      <c r="I19" s="2" t="e">
        <f>NETWORKDAYS.INTL(DATE(2025,1,1),DATE(2026,1,1),J19)</f>
        <v>#NUM!</v>
      </c>
      <c r="J19">
        <v>-2</v>
      </c>
      <c r="L19" t="s">
        <v>12</v>
      </c>
    </row>
    <row r="20" spans="1:12" x14ac:dyDescent="0.35">
      <c r="A20" s="7">
        <f>DATE(2025,1,10)+TIME(23,59,0)</f>
        <v>45667.999305555553</v>
      </c>
      <c r="B20" s="7">
        <f>DATE(2025,1,10)+TIME(0,1,0)</f>
        <v>45667.000694444447</v>
      </c>
      <c r="C20" s="2">
        <f t="shared" si="1"/>
        <v>1</v>
      </c>
      <c r="D20" s="2">
        <f t="shared" si="2"/>
        <v>1</v>
      </c>
      <c r="E20" t="s">
        <v>39</v>
      </c>
      <c r="I20" s="2">
        <f>NETWORKDAYS.INTL(DATE(2025,1,1),DATE(2026,1,1),J20)</f>
        <v>210</v>
      </c>
      <c r="J20" s="10" t="s">
        <v>86</v>
      </c>
      <c r="K20" s="10"/>
      <c r="L20" t="s">
        <v>87</v>
      </c>
    </row>
    <row r="21" spans="1:12" x14ac:dyDescent="0.35">
      <c r="A21" s="7">
        <f>DATE(2025,1,14)+TIME(0,1,0)</f>
        <v>45671.000694444447</v>
      </c>
      <c r="B21" s="7">
        <f>DATE(2025,1,13)+TIME(23,59,0)</f>
        <v>45670.999305555553</v>
      </c>
      <c r="C21" s="2">
        <f t="shared" si="1"/>
        <v>2</v>
      </c>
      <c r="D21" s="2">
        <f t="shared" si="2"/>
        <v>2</v>
      </c>
      <c r="E21" t="s">
        <v>40</v>
      </c>
      <c r="H21" s="2">
        <f>NETWORKDAYS(DATE(2025,1,1),DATE(2026,1,1),K21)</f>
        <v>261</v>
      </c>
      <c r="I21" s="2">
        <f>NETWORKDAYS.INTL(DATE(2025,1,1),DATE(2026,12,31),J21,K21)</f>
        <v>521</v>
      </c>
      <c r="J21">
        <v>1</v>
      </c>
      <c r="K21" s="3">
        <f>DATE(2025,5,1)</f>
        <v>45778</v>
      </c>
      <c r="L21" t="s">
        <v>88</v>
      </c>
    </row>
    <row r="22" spans="1:12" x14ac:dyDescent="0.35">
      <c r="A22">
        <v>9</v>
      </c>
      <c r="B22">
        <v>6</v>
      </c>
      <c r="C22" s="2">
        <f t="shared" si="1"/>
        <v>2</v>
      </c>
      <c r="D22" s="2">
        <f t="shared" si="2"/>
        <v>2</v>
      </c>
      <c r="E22" t="s">
        <v>15</v>
      </c>
      <c r="H22" s="2">
        <f>NETWORKDAYS(DATE(2025,1,1),DATE(2026,1,1),K22:K24)</f>
        <v>259</v>
      </c>
      <c r="I22" s="2">
        <f>NETWORKDAYS.INTL(DATE(2025,1,1),DATE(2026,12,31),1,K22:K24)</f>
        <v>519</v>
      </c>
      <c r="J22">
        <v>1</v>
      </c>
      <c r="K22" s="3">
        <f>DATE(2025,5,5)</f>
        <v>45782</v>
      </c>
      <c r="L22" t="s">
        <v>89</v>
      </c>
    </row>
    <row r="23" spans="1:12" x14ac:dyDescent="0.35">
      <c r="A23">
        <v>46000</v>
      </c>
      <c r="B23" s="3">
        <f>DATE(2025,12,1)</f>
        <v>45992</v>
      </c>
      <c r="C23" s="2">
        <f t="shared" si="1"/>
        <v>7</v>
      </c>
      <c r="D23" s="2">
        <f t="shared" si="2"/>
        <v>7</v>
      </c>
      <c r="E23" t="s">
        <v>16</v>
      </c>
      <c r="K23" s="3">
        <f>DATE(2025,5,6)</f>
        <v>45783</v>
      </c>
    </row>
    <row r="24" spans="1:12" x14ac:dyDescent="0.35">
      <c r="A24" s="8">
        <v>46000.999999</v>
      </c>
      <c r="B24" s="8">
        <v>45992.000001</v>
      </c>
      <c r="C24" s="2">
        <f t="shared" si="1"/>
        <v>7</v>
      </c>
      <c r="D24" s="2">
        <f t="shared" si="2"/>
        <v>7</v>
      </c>
      <c r="E24" t="s">
        <v>17</v>
      </c>
      <c r="K24" s="3">
        <f>DATE(2025,5,7)</f>
        <v>45784</v>
      </c>
    </row>
    <row r="25" spans="1:12" x14ac:dyDescent="0.35">
      <c r="A25">
        <v>-5</v>
      </c>
      <c r="B25" s="6">
        <v>-10</v>
      </c>
      <c r="C25" s="2" t="e">
        <f t="shared" si="1"/>
        <v>#NUM!</v>
      </c>
      <c r="D25" s="2" t="e">
        <f t="shared" si="2"/>
        <v>#NUM!</v>
      </c>
      <c r="E25" t="s">
        <v>32</v>
      </c>
      <c r="H25" s="2" t="e">
        <f>NETWORKDAYS(DATE(2025,1,1),DATE(2026,1,1),K25)</f>
        <v>#VALUE!</v>
      </c>
      <c r="I25" s="2" t="e">
        <f>NETWORKDAYS.INTL(DATE(2025,1,1),DATE(2026,12,31),J25,K25)</f>
        <v>#VALUE!</v>
      </c>
      <c r="J25">
        <v>1</v>
      </c>
      <c r="K25" t="s">
        <v>7</v>
      </c>
      <c r="L25" t="s">
        <v>8</v>
      </c>
    </row>
    <row r="26" spans="1:12" x14ac:dyDescent="0.35">
      <c r="A26" t="e">
        <f>1/0</f>
        <v>#DIV/0!</v>
      </c>
      <c r="B26" t="e">
        <f>1/0</f>
        <v>#DIV/0!</v>
      </c>
      <c r="C26" s="2" t="e">
        <f t="shared" ref="C26:C37" si="3">NETWORKDAYS(B26,A26)</f>
        <v>#DIV/0!</v>
      </c>
      <c r="D26" s="2" t="e">
        <f t="shared" ref="D26:D37" si="4">NETWORKDAYS.INTL(B26,A26)</f>
        <v>#DIV/0!</v>
      </c>
      <c r="E26" t="s">
        <v>18</v>
      </c>
      <c r="H26" s="2" t="e">
        <f t="shared" ref="H26:H28" si="5">NETWORKDAYS(DATE(2025,1,1),DATE(2026,1,1),K26)</f>
        <v>#VALUE!</v>
      </c>
      <c r="I26" s="2" t="e">
        <f>NETWORKDAYS.INTL(DATE(2025,1,1),DATE(2026,12,31),J26,K26)</f>
        <v>#VALUE!</v>
      </c>
      <c r="J26">
        <v>1</v>
      </c>
      <c r="K26" t="b">
        <v>1</v>
      </c>
      <c r="L26" t="s">
        <v>85</v>
      </c>
    </row>
    <row r="27" spans="1:12" x14ac:dyDescent="0.35">
      <c r="A27" t="e">
        <f>1/0</f>
        <v>#DIV/0!</v>
      </c>
      <c r="B27">
        <v>10</v>
      </c>
      <c r="C27" s="2" t="e">
        <f t="shared" si="3"/>
        <v>#DIV/0!</v>
      </c>
      <c r="D27" s="2" t="e">
        <f t="shared" si="4"/>
        <v>#DIV/0!</v>
      </c>
      <c r="E27" t="s">
        <v>18</v>
      </c>
      <c r="H27" s="2">
        <f t="shared" si="5"/>
        <v>262</v>
      </c>
      <c r="I27" s="2">
        <f>NETWORKDAYS.INTL(DATE(2025,1,1),DATE(2026,12,31),J27,K27)</f>
        <v>522</v>
      </c>
      <c r="J27">
        <v>1</v>
      </c>
      <c r="K27">
        <v>1.25</v>
      </c>
      <c r="L27" t="s">
        <v>10</v>
      </c>
    </row>
    <row r="28" spans="1:12" x14ac:dyDescent="0.35">
      <c r="A28">
        <v>10</v>
      </c>
      <c r="B28" t="e">
        <f>1/0</f>
        <v>#DIV/0!</v>
      </c>
      <c r="C28" s="2" t="e">
        <f t="shared" si="3"/>
        <v>#DIV/0!</v>
      </c>
      <c r="D28" s="2" t="e">
        <f t="shared" si="4"/>
        <v>#DIV/0!</v>
      </c>
      <c r="E28" t="s">
        <v>18</v>
      </c>
      <c r="H28" s="2" t="e">
        <f t="shared" si="5"/>
        <v>#NUM!</v>
      </c>
      <c r="I28" s="2" t="e">
        <f>NETWORKDAYS.INTL(DATE(2025,1,1),DATE(2026,12,31),J28,K28)</f>
        <v>#NUM!</v>
      </c>
      <c r="J28">
        <v>1</v>
      </c>
      <c r="K28">
        <v>-2</v>
      </c>
      <c r="L28" t="s">
        <v>12</v>
      </c>
    </row>
    <row r="29" spans="1:12" x14ac:dyDescent="0.35">
      <c r="A29" s="9">
        <f>DATE(2025,10,1)</f>
        <v>45931</v>
      </c>
      <c r="B29" s="9">
        <f>DATE(2025,1,7)</f>
        <v>45664</v>
      </c>
      <c r="C29" s="2">
        <f t="shared" si="3"/>
        <v>192</v>
      </c>
      <c r="D29" s="2">
        <f t="shared" si="4"/>
        <v>192</v>
      </c>
      <c r="E29" t="s">
        <v>30</v>
      </c>
      <c r="I29" s="2">
        <f t="shared" ref="I29:I36" si="6">NETWORKDAYS.INTL(DATE(2025,1,1),DATE(2026,12,31),J29)</f>
        <v>522</v>
      </c>
      <c r="J29" s="10" t="s">
        <v>92</v>
      </c>
      <c r="L29" t="s">
        <v>91</v>
      </c>
    </row>
    <row r="30" spans="1:12" x14ac:dyDescent="0.35">
      <c r="A30" s="9">
        <f>DATE(2025,10,1)</f>
        <v>45931</v>
      </c>
      <c r="B30" s="5" t="s">
        <v>28</v>
      </c>
      <c r="C30" s="2" t="e">
        <f t="shared" si="3"/>
        <v>#VALUE!</v>
      </c>
      <c r="D30" s="2" t="e">
        <f t="shared" si="4"/>
        <v>#VALUE!</v>
      </c>
      <c r="E30" t="s">
        <v>30</v>
      </c>
      <c r="I30" s="2">
        <f t="shared" si="6"/>
        <v>730</v>
      </c>
      <c r="J30" s="10" t="s">
        <v>96</v>
      </c>
      <c r="L30" t="s">
        <v>94</v>
      </c>
    </row>
    <row r="31" spans="1:12" x14ac:dyDescent="0.35">
      <c r="A31" s="9">
        <f>DATE(2025,10,1)</f>
        <v>45931</v>
      </c>
      <c r="B31" s="5" t="s">
        <v>29</v>
      </c>
      <c r="C31" s="2" t="e">
        <f t="shared" si="3"/>
        <v>#VALUE!</v>
      </c>
      <c r="D31" s="2" t="e">
        <f t="shared" si="4"/>
        <v>#VALUE!</v>
      </c>
      <c r="E31" t="s">
        <v>30</v>
      </c>
      <c r="I31" s="2">
        <f t="shared" si="6"/>
        <v>0</v>
      </c>
      <c r="J31" s="10" t="s">
        <v>97</v>
      </c>
      <c r="L31" t="s">
        <v>95</v>
      </c>
    </row>
    <row r="32" spans="1:12" x14ac:dyDescent="0.35">
      <c r="A32" t="s">
        <v>7</v>
      </c>
      <c r="B32" t="s">
        <v>19</v>
      </c>
      <c r="C32" s="2" t="e">
        <f t="shared" si="3"/>
        <v>#VALUE!</v>
      </c>
      <c r="D32" s="2" t="e">
        <f t="shared" si="4"/>
        <v>#VALUE!</v>
      </c>
      <c r="E32" t="s">
        <v>31</v>
      </c>
      <c r="I32" s="2" t="e">
        <f t="shared" si="6"/>
        <v>#VALUE!</v>
      </c>
      <c r="J32" s="10" t="s">
        <v>100</v>
      </c>
      <c r="L32" t="s">
        <v>98</v>
      </c>
    </row>
    <row r="33" spans="1:12" x14ac:dyDescent="0.35">
      <c r="A33" t="b">
        <v>1</v>
      </c>
      <c r="B33" t="b">
        <v>0</v>
      </c>
      <c r="C33" s="2" t="e">
        <f t="shared" si="3"/>
        <v>#VALUE!</v>
      </c>
      <c r="D33" s="2" t="e">
        <f t="shared" si="4"/>
        <v>#VALUE!</v>
      </c>
      <c r="E33" t="s">
        <v>20</v>
      </c>
      <c r="I33" s="2" t="e">
        <f t="shared" si="6"/>
        <v>#VALUE!</v>
      </c>
      <c r="J33" s="10" t="s">
        <v>101</v>
      </c>
      <c r="L33" t="s">
        <v>99</v>
      </c>
    </row>
    <row r="34" spans="1:12" x14ac:dyDescent="0.35">
      <c r="A34" t="b">
        <v>1</v>
      </c>
      <c r="B34" s="3">
        <f>DATE(1900,3,1)</f>
        <v>61</v>
      </c>
      <c r="C34" s="2" t="e">
        <f t="shared" si="3"/>
        <v>#VALUE!</v>
      </c>
      <c r="D34" s="2" t="e">
        <f t="shared" si="4"/>
        <v>#VALUE!</v>
      </c>
      <c r="E34" t="s">
        <v>20</v>
      </c>
      <c r="I34" s="2" t="e">
        <f t="shared" si="6"/>
        <v>#VALUE!</v>
      </c>
      <c r="J34" s="10" t="s">
        <v>93</v>
      </c>
      <c r="L34" t="s">
        <v>102</v>
      </c>
    </row>
    <row r="35" spans="1:12" x14ac:dyDescent="0.35">
      <c r="A35" t="b">
        <v>0</v>
      </c>
      <c r="B35" s="3">
        <f>DATE(1900,3,1)</f>
        <v>61</v>
      </c>
      <c r="C35" s="2" t="e">
        <f t="shared" si="3"/>
        <v>#VALUE!</v>
      </c>
      <c r="D35" s="2" t="e">
        <f t="shared" si="4"/>
        <v>#VALUE!</v>
      </c>
      <c r="E35" t="s">
        <v>20</v>
      </c>
      <c r="I35" s="2">
        <f t="shared" si="6"/>
        <v>522</v>
      </c>
      <c r="J35" s="10" t="s">
        <v>103</v>
      </c>
      <c r="L35" t="s">
        <v>104</v>
      </c>
    </row>
    <row r="36" spans="1:12" x14ac:dyDescent="0.35">
      <c r="A36" s="3">
        <f>DATE(1900,3,1)</f>
        <v>61</v>
      </c>
      <c r="B36" t="b">
        <v>1</v>
      </c>
      <c r="C36" s="2" t="e">
        <f t="shared" si="3"/>
        <v>#VALUE!</v>
      </c>
      <c r="D36" s="2" t="e">
        <f t="shared" si="4"/>
        <v>#VALUE!</v>
      </c>
      <c r="E36" t="s">
        <v>20</v>
      </c>
      <c r="F36">
        <v>1</v>
      </c>
      <c r="I36" s="2">
        <f t="shared" si="6"/>
        <v>105</v>
      </c>
      <c r="J36" s="10" t="s">
        <v>105</v>
      </c>
      <c r="L36" t="s">
        <v>106</v>
      </c>
    </row>
    <row r="37" spans="1:12" x14ac:dyDescent="0.35">
      <c r="A37" s="3">
        <f>DATE(1900,3,1)</f>
        <v>61</v>
      </c>
      <c r="B37" t="b">
        <v>0</v>
      </c>
      <c r="C37" s="2" t="e">
        <f t="shared" si="3"/>
        <v>#VALUE!</v>
      </c>
      <c r="D37" s="2" t="e">
        <f t="shared" si="4"/>
        <v>#VALUE!</v>
      </c>
      <c r="E37" t="s">
        <v>20</v>
      </c>
      <c r="F37">
        <v>2</v>
      </c>
      <c r="I37" s="2">
        <f>NETWORKDAYS.INTL(DATE(2025,1,1),DATE(2025,1,13),J37,K37)</f>
        <v>8</v>
      </c>
      <c r="J37" s="10">
        <v>1</v>
      </c>
      <c r="K37" s="3">
        <f>DATE(2025,1,13)</f>
        <v>45670</v>
      </c>
      <c r="L37" t="s">
        <v>107</v>
      </c>
    </row>
    <row r="38" spans="1:12" x14ac:dyDescent="0.35">
      <c r="A38">
        <v>5</v>
      </c>
      <c r="B38">
        <v>2</v>
      </c>
      <c r="C38" s="2">
        <f>NETWORKDAYS(_xlfn.SINGLE(F:F),A38)</f>
        <v>3</v>
      </c>
      <c r="D38" s="2">
        <f>NETWORKDAYS.INTL(_xlfn.SINGLE(F:F),A38)</f>
        <v>3</v>
      </c>
      <c r="E38" t="s">
        <v>21</v>
      </c>
      <c r="F38">
        <v>3</v>
      </c>
      <c r="H38" s="2">
        <f>NETWORKDAYS(DATE(2025,1,1),DATE(2026,12,31),K38:K40)</f>
        <v>519</v>
      </c>
      <c r="I38" s="2" t="e">
        <f>NETWORKDAYS.INTL(DATE(2025,1,1),DATE(2026,12,31),J38,K38:K40)</f>
        <v>#VALUE!</v>
      </c>
      <c r="J38" s="10" t="s">
        <v>110</v>
      </c>
      <c r="K38" s="3">
        <f>DATE(2025,1,14)</f>
        <v>45671</v>
      </c>
      <c r="L38" t="s">
        <v>108</v>
      </c>
    </row>
    <row r="39" spans="1:12" x14ac:dyDescent="0.35">
      <c r="A39">
        <v>10</v>
      </c>
      <c r="B39">
        <v>2</v>
      </c>
      <c r="C39" s="2">
        <f>NETWORKDAYS(B39,_xlfn.SINGLE(F:F))</f>
        <v>3</v>
      </c>
      <c r="D39" s="2">
        <f>NETWORKDAYS.INTL(B39,_xlfn.SINGLE(F:F))</f>
        <v>3</v>
      </c>
      <c r="E39" t="s">
        <v>22</v>
      </c>
      <c r="F39">
        <v>4</v>
      </c>
      <c r="K39" s="6">
        <v>45672</v>
      </c>
    </row>
    <row r="40" spans="1:12" x14ac:dyDescent="0.35">
      <c r="F40">
        <v>5</v>
      </c>
      <c r="K40" s="6">
        <v>45673</v>
      </c>
    </row>
    <row r="41" spans="1:12" x14ac:dyDescent="0.35">
      <c r="A41" s="3">
        <f>DATE(2025,2,28)</f>
        <v>45716</v>
      </c>
      <c r="B41" s="3">
        <f>DATE(2025,1,31)</f>
        <v>45688</v>
      </c>
      <c r="C41" s="2">
        <f t="shared" ref="C41" si="7">NETWORKDAYS(B41,A41)</f>
        <v>21</v>
      </c>
      <c r="D41" s="2">
        <f t="shared" ref="D41" si="8">NETWORKDAYS.INTL(B41,A41)</f>
        <v>21</v>
      </c>
      <c r="E41" t="s">
        <v>41</v>
      </c>
      <c r="H41" s="2" t="e">
        <f>NETWORKDAYS(DATE(2025,1,1),DATE(2026,12,31),K41:K43)</f>
        <v>#DIV/0!</v>
      </c>
      <c r="I41" s="2" t="e">
        <f>NETWORKDAYS.INTL(DATE(2025,1,1),DATE(2026,12,31),J41,K41:K43)</f>
        <v>#DIV/0!</v>
      </c>
      <c r="J41">
        <v>1</v>
      </c>
      <c r="K41" s="3">
        <v>45671</v>
      </c>
      <c r="L41" t="s">
        <v>109</v>
      </c>
    </row>
    <row r="42" spans="1:12" x14ac:dyDescent="0.35">
      <c r="A42" s="3">
        <f>DATE(2024,2,29)</f>
        <v>45351</v>
      </c>
      <c r="B42" s="3">
        <f>DATE(2024,1,31)</f>
        <v>45322</v>
      </c>
      <c r="C42" s="2">
        <f>NETWORKDAYS(B42,A42)</f>
        <v>22</v>
      </c>
      <c r="D42" s="2">
        <f>NETWORKDAYS.INTL(B42,A42)</f>
        <v>22</v>
      </c>
      <c r="E42" t="s">
        <v>42</v>
      </c>
      <c r="K42" t="e">
        <v>#DIV/0!</v>
      </c>
    </row>
    <row r="43" spans="1:12" x14ac:dyDescent="0.35">
      <c r="A43" s="3">
        <f>DATE(2025,3,31)</f>
        <v>45747</v>
      </c>
      <c r="B43" s="3">
        <f>DATE(2025,2,28)</f>
        <v>45716</v>
      </c>
      <c r="C43" s="2">
        <f>NETWORKDAYS(B43,A43)</f>
        <v>22</v>
      </c>
      <c r="D43" s="2">
        <f>NETWORKDAYS.INTL(B43,A43)</f>
        <v>22</v>
      </c>
      <c r="E43" t="s">
        <v>43</v>
      </c>
      <c r="K43" t="e">
        <v>#N/A</v>
      </c>
    </row>
    <row r="44" spans="1:12" x14ac:dyDescent="0.35">
      <c r="A44" s="3">
        <f>DATE(2024,3,31)</f>
        <v>45382</v>
      </c>
      <c r="B44" s="3">
        <f>DATE(2024,2,29)</f>
        <v>45351</v>
      </c>
      <c r="C44" s="2">
        <f>NETWORKDAYS(B44,A44)</f>
        <v>22</v>
      </c>
      <c r="D44" s="2">
        <f>NETWORKDAYS.INTL(B44,A44)</f>
        <v>22</v>
      </c>
      <c r="E44" t="s">
        <v>44</v>
      </c>
    </row>
    <row r="45" spans="1:12" x14ac:dyDescent="0.35">
      <c r="A45" s="3">
        <f>DATE(2025,3,31)</f>
        <v>45747</v>
      </c>
      <c r="B45" s="3">
        <f>DATE(2025,1,31)</f>
        <v>45688</v>
      </c>
      <c r="C45" s="2">
        <f>NETWORKDAYS(B45,A45)</f>
        <v>42</v>
      </c>
      <c r="D45" s="2">
        <f>NETWORKDAYS.INTL(B45,A45)</f>
        <v>42</v>
      </c>
      <c r="E45" t="s">
        <v>45</v>
      </c>
    </row>
    <row r="46" spans="1:12" x14ac:dyDescent="0.35">
      <c r="A46" s="3">
        <f>DATE(2025,5,31)</f>
        <v>45808</v>
      </c>
      <c r="B46" s="3">
        <f>DATE(2025,3,31)</f>
        <v>45747</v>
      </c>
      <c r="C46" s="2">
        <f>NETWORKDAYS(B46,A46)</f>
        <v>45</v>
      </c>
      <c r="D46" s="2">
        <f>NETWORKDAYS.INTL(B46,A46)</f>
        <v>45</v>
      </c>
      <c r="E46" t="s">
        <v>46</v>
      </c>
    </row>
    <row r="47" spans="1:12" x14ac:dyDescent="0.35">
      <c r="A47" s="3">
        <f>DATE(2025,4,30)</f>
        <v>45777</v>
      </c>
      <c r="B47" s="3">
        <f>DATE(2025,1,30)</f>
        <v>45687</v>
      </c>
      <c r="C47" s="2">
        <f>NETWORKDAYS(B47,A47)</f>
        <v>65</v>
      </c>
      <c r="D47" s="2">
        <f>NETWORKDAYS.INTL(B47,A47)</f>
        <v>65</v>
      </c>
      <c r="E47" t="s">
        <v>47</v>
      </c>
    </row>
    <row r="48" spans="1:12" x14ac:dyDescent="0.35">
      <c r="A48" s="3">
        <f>DATE(2025,4,30)</f>
        <v>45777</v>
      </c>
      <c r="B48" s="3">
        <f>DATE(2025,1,31)</f>
        <v>45688</v>
      </c>
      <c r="C48" s="2">
        <f>NETWORKDAYS(B48,A48)</f>
        <v>64</v>
      </c>
      <c r="D48" s="2">
        <f>NETWORKDAYS.INTL(B48,A48)</f>
        <v>64</v>
      </c>
      <c r="E48" t="s">
        <v>48</v>
      </c>
    </row>
    <row r="49" spans="1:5" x14ac:dyDescent="0.35">
      <c r="A49" s="3">
        <f>DATE(2025,1,31)</f>
        <v>45688</v>
      </c>
      <c r="B49" s="3">
        <f>DATE(2025,1,30)</f>
        <v>45687</v>
      </c>
      <c r="C49" s="2">
        <f>NETWORKDAYS(B49,A49)</f>
        <v>2</v>
      </c>
      <c r="D49" s="2">
        <f>NETWORKDAYS.INTL(B49,A49)</f>
        <v>2</v>
      </c>
      <c r="E49" t="s">
        <v>49</v>
      </c>
    </row>
    <row r="50" spans="1:5" x14ac:dyDescent="0.35">
      <c r="A50" s="3">
        <f>DATE(2025,12,31)</f>
        <v>46022</v>
      </c>
      <c r="B50" s="3">
        <f>DATE(2025,1,1)</f>
        <v>45658</v>
      </c>
      <c r="C50" s="2">
        <f>NETWORKDAYS(B50,A50)</f>
        <v>261</v>
      </c>
      <c r="D50" s="2">
        <f>NETWORKDAYS.INTL(B50,A50)</f>
        <v>261</v>
      </c>
      <c r="E50" t="s">
        <v>50</v>
      </c>
    </row>
    <row r="51" spans="1:5" x14ac:dyDescent="0.35">
      <c r="A51" s="3">
        <f>DATE(2026,1,1)</f>
        <v>46023</v>
      </c>
      <c r="B51" s="3">
        <f>DATE(2025,12,31)</f>
        <v>46022</v>
      </c>
      <c r="C51" s="2">
        <f>NETWORKDAYS(B51,A51)</f>
        <v>2</v>
      </c>
      <c r="D51" s="2">
        <f>NETWORKDAYS.INTL(B51,A51)</f>
        <v>2</v>
      </c>
      <c r="E51" t="s">
        <v>51</v>
      </c>
    </row>
    <row r="52" spans="1:5" x14ac:dyDescent="0.35">
      <c r="A52" s="3">
        <f>DATE(2025,6,30)</f>
        <v>45838</v>
      </c>
      <c r="B52" s="3">
        <f>DATE(2025,6,30)</f>
        <v>45838</v>
      </c>
      <c r="C52" s="2">
        <f>NETWORKDAYS(B52,A52)</f>
        <v>1</v>
      </c>
      <c r="D52" s="2">
        <f>NETWORKDAYS.INTL(B52,A52)</f>
        <v>1</v>
      </c>
      <c r="E52" t="s">
        <v>52</v>
      </c>
    </row>
    <row r="53" spans="1:5" x14ac:dyDescent="0.35">
      <c r="A53" s="3">
        <f>DATE(2025,2,28)</f>
        <v>45716</v>
      </c>
      <c r="B53" s="3">
        <f>DATE(2025,2,28)</f>
        <v>45716</v>
      </c>
      <c r="C53" s="2">
        <f>NETWORKDAYS(B53,A53)</f>
        <v>1</v>
      </c>
      <c r="D53" s="2">
        <f>NETWORKDAYS.INTL(B53,A53)</f>
        <v>1</v>
      </c>
      <c r="E53" t="s">
        <v>53</v>
      </c>
    </row>
    <row r="54" spans="1:5" x14ac:dyDescent="0.35">
      <c r="A54" s="3">
        <f>DATE(9999,12,31)</f>
        <v>2958465</v>
      </c>
      <c r="B54" s="3">
        <f>DATE(9999,12,30)</f>
        <v>2958464</v>
      </c>
      <c r="C54" s="2">
        <f>NETWORKDAYS(B54,A54)</f>
        <v>2</v>
      </c>
      <c r="D54" s="2">
        <f>NETWORKDAYS.INTL(B54,A54)</f>
        <v>2</v>
      </c>
      <c r="E54" t="s">
        <v>54</v>
      </c>
    </row>
    <row r="55" spans="1:5" x14ac:dyDescent="0.35">
      <c r="A55">
        <v>2958466</v>
      </c>
      <c r="B55" s="3">
        <f>DATE(9999,12,31)</f>
        <v>2958465</v>
      </c>
      <c r="C55" s="2" t="e">
        <f>NETWORKDAYS(B55,A55)</f>
        <v>#NUM!</v>
      </c>
      <c r="D55" s="2" t="e">
        <f>NETWORKDAYS.INTL(B55,A55)</f>
        <v>#NUM!</v>
      </c>
      <c r="E55" t="s">
        <v>55</v>
      </c>
    </row>
    <row r="56" spans="1:5" x14ac:dyDescent="0.35">
      <c r="A56" s="3">
        <f>DATE(2025,1,1)+0.9999</f>
        <v>45658.999900000003</v>
      </c>
      <c r="B56" s="3">
        <f>DATE(2025,1,1)+0.0001</f>
        <v>45658.000099999997</v>
      </c>
      <c r="C56" s="2">
        <f>NETWORKDAYS(B56,A56)</f>
        <v>1</v>
      </c>
      <c r="D56" s="2">
        <f>NETWORKDAYS.INTL(B56,A56)</f>
        <v>1</v>
      </c>
      <c r="E56" t="s">
        <v>56</v>
      </c>
    </row>
    <row r="57" spans="1:5" x14ac:dyDescent="0.35">
      <c r="A57" s="3">
        <f>DATE(2025,1,2)+0.4</f>
        <v>45659.4</v>
      </c>
      <c r="B57" s="3">
        <f>DATE(2025,1,1)+0.6</f>
        <v>45658.6</v>
      </c>
      <c r="C57" s="2">
        <f>NETWORKDAYS(B57,A57)</f>
        <v>2</v>
      </c>
      <c r="D57" s="2">
        <f>NETWORKDAYS.INTL(B57,A57)</f>
        <v>2</v>
      </c>
      <c r="E57" t="s">
        <v>57</v>
      </c>
    </row>
    <row r="58" spans="1:5" x14ac:dyDescent="0.35">
      <c r="A58">
        <f>-(DATE(2025,1,1)+0.5)</f>
        <v>-45658.5</v>
      </c>
      <c r="B58">
        <f>-(DATE(2025,1,2)+0.5)</f>
        <v>-45659.5</v>
      </c>
      <c r="C58" s="2" t="e">
        <f>NETWORKDAYS(B58,A58)</f>
        <v>#NUM!</v>
      </c>
      <c r="D58" s="2" t="e">
        <f>NETWORKDAYS.INTL(B58,A58)</f>
        <v>#NUM!</v>
      </c>
      <c r="E58" t="s">
        <v>58</v>
      </c>
    </row>
    <row r="59" spans="1:5" x14ac:dyDescent="0.35">
      <c r="A59" s="10" t="s">
        <v>59</v>
      </c>
      <c r="B59" s="10" t="s">
        <v>65</v>
      </c>
      <c r="C59" s="2">
        <f>NETWORKDAYS(B59,A59)</f>
        <v>23</v>
      </c>
      <c r="D59" s="2">
        <f>NETWORKDAYS.INTL(B59,A59)</f>
        <v>23</v>
      </c>
      <c r="E59" t="s">
        <v>90</v>
      </c>
    </row>
    <row r="60" spans="1:5" x14ac:dyDescent="0.35">
      <c r="A60" s="10" t="s">
        <v>60</v>
      </c>
      <c r="B60" s="10" t="s">
        <v>66</v>
      </c>
      <c r="C60" s="2" t="e">
        <f>NETWORKDAYS(B60,A60)</f>
        <v>#VALUE!</v>
      </c>
      <c r="D60" s="2" t="e">
        <f>NETWORKDAYS.INTL(B60,A60)</f>
        <v>#VALUE!</v>
      </c>
      <c r="E60" t="s">
        <v>70</v>
      </c>
    </row>
    <row r="61" spans="1:5" x14ac:dyDescent="0.35">
      <c r="A61" s="10" t="s">
        <v>61</v>
      </c>
      <c r="B61" s="10" t="s">
        <v>67</v>
      </c>
      <c r="C61" s="2">
        <f>NETWORKDAYS(B61,A61)</f>
        <v>261</v>
      </c>
      <c r="D61" s="2">
        <f>NETWORKDAYS.INTL(B61,A61)</f>
        <v>261</v>
      </c>
      <c r="E61" t="s">
        <v>71</v>
      </c>
    </row>
    <row r="62" spans="1:5" x14ac:dyDescent="0.35">
      <c r="A62" s="10" t="s">
        <v>62</v>
      </c>
      <c r="B62" s="10" t="s">
        <v>61</v>
      </c>
      <c r="C62" s="2">
        <f>NETWORKDAYS(B62,A62)</f>
        <v>-25829</v>
      </c>
      <c r="D62" s="2">
        <f>NETWORKDAYS.INTL(B62,A62)</f>
        <v>-25829</v>
      </c>
      <c r="E62" t="s">
        <v>72</v>
      </c>
    </row>
    <row r="63" spans="1:5" x14ac:dyDescent="0.35">
      <c r="A63" s="10" t="s">
        <v>63</v>
      </c>
      <c r="B63" s="10" t="s">
        <v>68</v>
      </c>
      <c r="C63" s="2">
        <f>NETWORKDAYS(B63,A63)</f>
        <v>2</v>
      </c>
      <c r="D63" s="2">
        <f>NETWORKDAYS.INTL(B63,A63)</f>
        <v>2</v>
      </c>
      <c r="E63" t="s">
        <v>73</v>
      </c>
    </row>
    <row r="64" spans="1:5" x14ac:dyDescent="0.35">
      <c r="A64" s="10" t="s">
        <v>64</v>
      </c>
      <c r="B64" s="10" t="s">
        <v>69</v>
      </c>
      <c r="C64" s="2" t="e">
        <f>NETWORKDAYS(B64,A64)</f>
        <v>#VALUE!</v>
      </c>
      <c r="D64" s="2" t="e">
        <f>NETWORKDAYS.INTL(B64,A64)</f>
        <v>#VALUE!</v>
      </c>
      <c r="E64" t="s">
        <v>74</v>
      </c>
    </row>
    <row r="65" spans="1:5" x14ac:dyDescent="0.35">
      <c r="A65" s="3"/>
      <c r="B65" s="3"/>
      <c r="C65" s="2"/>
      <c r="D65" s="2"/>
    </row>
    <row r="66" spans="1:5" x14ac:dyDescent="0.35">
      <c r="A66" s="3">
        <f>DATE(2025,1,1)+0.9999999</f>
        <v>45658.999999899999</v>
      </c>
      <c r="B66" s="3">
        <f>DATE(2025,1,1)+0.0000001</f>
        <v>45658.000000100001</v>
      </c>
      <c r="C66" s="2">
        <f>NETWORKDAYS(B66,A66)</f>
        <v>1</v>
      </c>
      <c r="D66" s="2">
        <f>NETWORKDAYS.INTL(B66,A66)</f>
        <v>1</v>
      </c>
      <c r="E66" t="s">
        <v>75</v>
      </c>
    </row>
    <row r="67" spans="1:5" x14ac:dyDescent="0.35">
      <c r="A67" s="3">
        <f>DATE(2025,1,2)+0.0000001</f>
        <v>45659.000000100001</v>
      </c>
      <c r="B67" s="3">
        <f>DATE(2025,1,1)+0.9999999</f>
        <v>45658.999999899999</v>
      </c>
      <c r="C67" s="2">
        <f>NETWORKDAYS(B67,A67)</f>
        <v>2</v>
      </c>
      <c r="D67" s="2">
        <f>NETWORKDAYS.INTL(B67,A67)</f>
        <v>2</v>
      </c>
      <c r="E67" t="s">
        <v>76</v>
      </c>
    </row>
    <row r="68" spans="1:5" x14ac:dyDescent="0.35">
      <c r="A68" s="3">
        <f>DATE(2025,1,2)+0.5</f>
        <v>45659.5</v>
      </c>
      <c r="B68" s="3">
        <f>DATE(2025,1,1)+0.5</f>
        <v>45658.5</v>
      </c>
      <c r="C68" s="2">
        <f>NETWORKDAYS(B68,A68)</f>
        <v>2</v>
      </c>
      <c r="D68" s="2">
        <f>NETWORKDAYS.INTL(B68,A68)</f>
        <v>2</v>
      </c>
      <c r="E68" t="s">
        <v>77</v>
      </c>
    </row>
    <row r="69" spans="1:5" x14ac:dyDescent="0.35">
      <c r="A69" s="3">
        <f>DATE(2025,1,2)+0.5</f>
        <v>45659.5</v>
      </c>
      <c r="B69" s="3">
        <f>DATE(2025,1,1)+0.4999999</f>
        <v>45658.499999899999</v>
      </c>
      <c r="C69" s="2">
        <f>NETWORKDAYS(B69,A69)</f>
        <v>2</v>
      </c>
      <c r="D69" s="2">
        <f>NETWORKDAYS.INTL(B69,A69)</f>
        <v>2</v>
      </c>
      <c r="E69" t="s">
        <v>78</v>
      </c>
    </row>
    <row r="70" spans="1:5" x14ac:dyDescent="0.35">
      <c r="A70" s="3">
        <f>DATE(2025,1,1)+0.5</f>
        <v>45658.5</v>
      </c>
      <c r="B70" s="3">
        <f>DATE(2025,1,2)+0.5</f>
        <v>45659.5</v>
      </c>
      <c r="C70" s="2">
        <f>NETWORKDAYS(B70,A70)</f>
        <v>-2</v>
      </c>
      <c r="D70" s="2">
        <f>NETWORKDAYS.INTL(B70,A70)</f>
        <v>-2</v>
      </c>
      <c r="E70" t="s">
        <v>79</v>
      </c>
    </row>
    <row r="71" spans="1:5" x14ac:dyDescent="0.35">
      <c r="A71" s="3">
        <f>DATE(2025,1,1)</f>
        <v>45658</v>
      </c>
      <c r="B71" s="3">
        <f>DATE(2025,1,1)+0.9999999</f>
        <v>45658.999999899999</v>
      </c>
      <c r="C71" s="2">
        <f>NETWORKDAYS(B71,A71)</f>
        <v>1</v>
      </c>
      <c r="D71" s="2">
        <f>NETWORKDAYS.INTL(B71,A71)</f>
        <v>1</v>
      </c>
      <c r="E71" t="s">
        <v>80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2026-08-10T15:26:54Z</dcterms:modified>
  <cp:category/>
  <cp:contentStatus/>
</cp:coreProperties>
</file>