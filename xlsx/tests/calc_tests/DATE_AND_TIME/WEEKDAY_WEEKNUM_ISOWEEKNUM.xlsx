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A259D4EA-E337-4500-9453-F89CA4ED449A}" xr6:coauthVersionLast="47" xr6:coauthVersionMax="47" xr10:uidLastSave="{00000000-0000-0000-0000-000000000000}"/>
  <bookViews>
    <workbookView xWindow="-98" yWindow="-98" windowWidth="21795" windowHeight="12975" activeTab="1" xr2:uid="{B5C7F360-58A1-F442-B784-616CE6B48A7E}"/>
  </bookViews>
  <sheets>
    <sheet name="WEEKDAY" sheetId="1" r:id="rId1"/>
    <sheet name="WEEKNU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Q17" i="1"/>
  <c r="R17" i="1"/>
  <c r="S17" i="1"/>
  <c r="A8" i="3"/>
  <c r="A7" i="3"/>
  <c r="A6" i="3"/>
  <c r="A5" i="3"/>
  <c r="A4" i="3"/>
  <c r="A3" i="3"/>
  <c r="A2" i="3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Q19" i="1"/>
  <c r="R19" i="1"/>
  <c r="S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Q20" i="1"/>
  <c r="R20" i="1"/>
  <c r="S20" i="1"/>
  <c r="A7" i="1"/>
  <c r="A6" i="1"/>
  <c r="A3" i="1"/>
  <c r="A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Q12" i="1"/>
  <c r="R12" i="1"/>
  <c r="S12" i="1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S17" i="3"/>
  <c r="T17" i="3"/>
  <c r="U17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S16" i="3"/>
  <c r="T16" i="3"/>
  <c r="U16" i="3"/>
  <c r="S14" i="3"/>
  <c r="T14" i="3"/>
  <c r="U14" i="3"/>
  <c r="B15" i="3"/>
  <c r="C15" i="3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Q18" i="1"/>
  <c r="R18" i="1"/>
  <c r="S18" i="1"/>
  <c r="U9" i="3"/>
  <c r="U10" i="3"/>
  <c r="U13" i="3"/>
  <c r="U15" i="3"/>
  <c r="U18" i="3"/>
  <c r="U19" i="3"/>
  <c r="U20" i="3"/>
  <c r="U21" i="3"/>
  <c r="S9" i="1"/>
  <c r="S10" i="1"/>
  <c r="S11" i="1"/>
  <c r="S13" i="1"/>
  <c r="S14" i="1"/>
  <c r="S15" i="1"/>
  <c r="S16" i="1"/>
  <c r="B9" i="1"/>
  <c r="C9" i="1"/>
  <c r="D9" i="1"/>
  <c r="E9" i="1"/>
  <c r="F9" i="1"/>
  <c r="G9" i="1"/>
  <c r="H9" i="1"/>
  <c r="I9" i="1"/>
  <c r="J9" i="1"/>
  <c r="K9" i="1"/>
  <c r="L9" i="1"/>
  <c r="M9" i="1"/>
  <c r="N9" i="1"/>
  <c r="Q9" i="1"/>
  <c r="R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Q10" i="1"/>
  <c r="R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Q11" i="1"/>
  <c r="R11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Q13" i="1"/>
  <c r="R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Q14" i="1"/>
  <c r="R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Q15" i="1"/>
  <c r="R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Q16" i="1"/>
  <c r="R16" i="1"/>
  <c r="A8" i="1"/>
  <c r="A5" i="1"/>
  <c r="A4" i="1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S15" i="3"/>
  <c r="T15" i="3"/>
  <c r="X15" i="3"/>
  <c r="S7" i="1" l="1"/>
  <c r="D7" i="1"/>
  <c r="E7" i="1"/>
  <c r="F7" i="1"/>
  <c r="G7" i="1"/>
  <c r="H7" i="1"/>
  <c r="I7" i="1"/>
  <c r="J7" i="1"/>
  <c r="K7" i="1"/>
  <c r="L7" i="1"/>
  <c r="M7" i="1"/>
  <c r="N7" i="1"/>
  <c r="Q7" i="1"/>
  <c r="C7" i="1"/>
  <c r="B7" i="1"/>
  <c r="R7" i="1"/>
  <c r="J6" i="1"/>
  <c r="B6" i="1"/>
  <c r="F6" i="1"/>
  <c r="K6" i="1"/>
  <c r="M6" i="1"/>
  <c r="S6" i="1"/>
  <c r="C6" i="1"/>
  <c r="D6" i="1"/>
  <c r="E6" i="1"/>
  <c r="G6" i="1"/>
  <c r="I6" i="1"/>
  <c r="L6" i="1"/>
  <c r="N6" i="1"/>
  <c r="Q6" i="1"/>
  <c r="R6" i="1"/>
  <c r="H6" i="1"/>
  <c r="B3" i="1"/>
  <c r="C3" i="1"/>
  <c r="D3" i="1"/>
  <c r="E3" i="1"/>
  <c r="F3" i="1"/>
  <c r="G3" i="1"/>
  <c r="H3" i="1"/>
  <c r="I3" i="1"/>
  <c r="J3" i="1"/>
  <c r="K3" i="1"/>
  <c r="L3" i="1"/>
  <c r="M3" i="1"/>
  <c r="N3" i="1"/>
  <c r="Q3" i="1"/>
  <c r="R3" i="1"/>
  <c r="S3" i="1"/>
  <c r="C2" i="1"/>
  <c r="H2" i="1"/>
  <c r="L2" i="1"/>
  <c r="Q2" i="1"/>
  <c r="S2" i="1"/>
  <c r="I2" i="1"/>
  <c r="B2" i="1"/>
  <c r="F2" i="1"/>
  <c r="J2" i="1"/>
  <c r="M2" i="1"/>
  <c r="R2" i="1"/>
  <c r="D2" i="1"/>
  <c r="G2" i="1"/>
  <c r="K2" i="1"/>
  <c r="N2" i="1"/>
  <c r="E2" i="1"/>
  <c r="C8" i="1"/>
  <c r="K5" i="1"/>
  <c r="N4" i="1"/>
  <c r="M4" i="1"/>
  <c r="L4" i="1"/>
  <c r="Q4" i="1"/>
  <c r="K4" i="1"/>
  <c r="H4" i="1"/>
  <c r="S8" i="1"/>
  <c r="C4" i="1"/>
  <c r="G4" i="1"/>
  <c r="R8" i="1"/>
  <c r="S5" i="1"/>
  <c r="F4" i="1"/>
  <c r="E4" i="1"/>
  <c r="D4" i="1"/>
  <c r="B8" i="1"/>
  <c r="S4" i="1"/>
  <c r="J4" i="1"/>
  <c r="I4" i="1"/>
  <c r="H5" i="1"/>
  <c r="N8" i="1"/>
  <c r="L8" i="1"/>
  <c r="B5" i="1"/>
  <c r="Q5" i="1"/>
  <c r="H8" i="1"/>
  <c r="M8" i="1"/>
  <c r="E5" i="1"/>
  <c r="R4" i="1"/>
  <c r="B4" i="1"/>
  <c r="J5" i="1"/>
  <c r="Q8" i="1"/>
  <c r="I5" i="1"/>
  <c r="D5" i="1"/>
  <c r="R5" i="1"/>
  <c r="I8" i="1"/>
  <c r="G8" i="1"/>
  <c r="F8" i="1"/>
  <c r="N5" i="1"/>
  <c r="E8" i="1"/>
  <c r="M5" i="1"/>
  <c r="D8" i="1"/>
  <c r="L5" i="1"/>
  <c r="G5" i="1"/>
  <c r="F5" i="1"/>
  <c r="K8" i="1"/>
  <c r="C5" i="1"/>
  <c r="J8" i="1"/>
  <c r="S19" i="3"/>
  <c r="X19" i="3"/>
  <c r="X20" i="3"/>
  <c r="X21" i="3"/>
  <c r="X17" i="3"/>
  <c r="X7" i="3"/>
  <c r="X9" i="3"/>
  <c r="X10" i="3"/>
  <c r="X13" i="3"/>
  <c r="X6" i="3"/>
  <c r="X14" i="3"/>
  <c r="X16" i="3"/>
  <c r="X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T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S7" i="3"/>
  <c r="T7" i="3"/>
  <c r="U7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S10" i="3"/>
  <c r="T10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S3" i="3"/>
  <c r="T3" i="3"/>
  <c r="U3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S6" i="3"/>
  <c r="T6" i="3"/>
  <c r="U6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X2" i="3"/>
  <c r="X3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S2" i="3"/>
  <c r="T2" i="3"/>
  <c r="U2" i="3"/>
  <c r="X8" i="3"/>
  <c r="A12" i="3"/>
  <c r="R1" i="3"/>
  <c r="Q1" i="3"/>
  <c r="P1" i="1"/>
  <c r="O1" i="1"/>
  <c r="A11" i="3"/>
  <c r="X5" i="3"/>
  <c r="X4" i="3"/>
  <c r="X12" i="3" l="1"/>
  <c r="U12" i="3"/>
  <c r="R17" i="3"/>
  <c r="R16" i="3"/>
  <c r="Q17" i="3"/>
  <c r="Q16" i="3"/>
  <c r="X11" i="3"/>
  <c r="U11" i="3"/>
  <c r="P12" i="1"/>
  <c r="O12" i="1"/>
  <c r="P8" i="1"/>
  <c r="P18" i="1"/>
  <c r="O8" i="1"/>
  <c r="O18" i="1"/>
  <c r="P5" i="1"/>
  <c r="P4" i="1"/>
  <c r="O4" i="1"/>
  <c r="O5" i="1"/>
  <c r="P10" i="1"/>
  <c r="P13" i="1"/>
  <c r="P7" i="1"/>
  <c r="P11" i="1"/>
  <c r="P16" i="1"/>
  <c r="P3" i="1"/>
  <c r="P2" i="1"/>
  <c r="P14" i="1"/>
  <c r="P15" i="1"/>
  <c r="P6" i="1"/>
  <c r="O16" i="1"/>
  <c r="O6" i="1"/>
  <c r="O14" i="1"/>
  <c r="O10" i="1"/>
  <c r="O2" i="1"/>
  <c r="O13" i="1"/>
  <c r="O7" i="1"/>
  <c r="O15" i="1"/>
  <c r="O11" i="1"/>
  <c r="O3" i="1"/>
  <c r="R19" i="3"/>
  <c r="R15" i="3"/>
  <c r="Q19" i="3"/>
  <c r="Q15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Q7" i="3"/>
  <c r="Q10" i="3"/>
  <c r="Q3" i="3"/>
  <c r="Q6" i="3"/>
  <c r="Q14" i="3"/>
  <c r="R7" i="3"/>
  <c r="R10" i="3"/>
  <c r="R3" i="3"/>
  <c r="R6" i="3"/>
  <c r="R14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Q2" i="3"/>
  <c r="R2" i="3"/>
</calcChain>
</file>

<file path=xl/sharedStrings.xml><?xml version="1.0" encoding="utf-8"?>
<sst xmlns="http://schemas.openxmlformats.org/spreadsheetml/2006/main" count="59" uniqueCount="30">
  <si>
    <t>abc</t>
  </si>
  <si>
    <t>High bound</t>
  </si>
  <si>
    <t>1/1/10000</t>
  </si>
  <si>
    <t>Above high bound</t>
  </si>
  <si>
    <t>Error</t>
  </si>
  <si>
    <t>Zero</t>
  </si>
  <si>
    <t>Empty</t>
  </si>
  <si>
    <t>Negative</t>
  </si>
  <si>
    <t>Number</t>
  </si>
  <si>
    <t>Decimal number</t>
  </si>
  <si>
    <t>123</t>
  </si>
  <si>
    <t>String</t>
  </si>
  <si>
    <t>Boolean</t>
  </si>
  <si>
    <t>Decimal</t>
  </si>
  <si>
    <t>ISOWEEKNUM</t>
  </si>
  <si>
    <t>First day</t>
  </si>
  <si>
    <t>First day + 7</t>
  </si>
  <si>
    <t>Leap day</t>
  </si>
  <si>
    <t>Date with time</t>
  </si>
  <si>
    <t>Date string with single quote</t>
  </si>
  <si>
    <t>"07/01/2026"</t>
  </si>
  <si>
    <t>Date string in quotes</t>
  </si>
  <si>
    <t>" 07/01/2026 "</t>
  </si>
  <si>
    <t>Date string in quotes with preceding space</t>
  </si>
  <si>
    <t>Numeric string</t>
  </si>
  <si>
    <t>String non-numerical</t>
  </si>
  <si>
    <t>No argument</t>
  </si>
  <si>
    <t>2026-1-7</t>
  </si>
  <si>
    <t>'2026-1-7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</si>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</sst>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1"/>
      <color theme="1"/>
      <name val="Calibri"/>
    </font>
    <font>
      <b/>
      <sz val="11"/>
      <color rgb="FFFA7D00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2" fillId="0" borderId="0" xfId="0" applyFont="1"/>
    <xf numFmtId="0" fontId="3" fillId="2" borderId="1" xfId="1" applyFont="1"/>
    <xf numFmtId="0" fontId="2" fillId="0" borderId="0" xfId="0" quotePrefix="1" applyFont="1"/>
    <xf numFmtId="14" fontId="2" fillId="0" borderId="0" xfId="0" applyNumberFormat="1" applyFont="1"/>
    <xf numFmtId="14" fontId="2" fillId="0" borderId="0" xfId="0" quotePrefix="1" applyNumberFormat="1" applyFont="1"/>
    <xf numFmtId="0" fontId="4" fillId="0" borderId="0" xfId="0" applyFont="1"/>
    <xf numFmtId="22" fontId="2" fillId="0" borderId="0" xfId="0" applyNumberFormat="1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A254-45C2-0241-80BC-DD26D13E4BEB}">
  <dimension ref="A1:T21"/>
  <sheetViews>
    <sheetView workbookViewId="0">
      <pane xSplit="1" topLeftCell="B1" activePane="topRight" state="frozen"/>
      <selection pane="topRight" activeCell="L2" sqref="L2"/>
    </sheetView>
  </sheetViews>
  <sheetFormatPr defaultColWidth="11" defaultRowHeight="14.25" x14ac:dyDescent="0.45"/>
  <cols>
    <col min="1" max="1" width="14.3125" style="1" bestFit="1" customWidth="1"/>
    <col min="2" max="19" width="11" style="1"/>
    <col min="20" max="20" width="21.25" style="1" bestFit="1" customWidth="1"/>
    <col min="21" max="16384" width="11" style="1"/>
  </cols>
  <sheetData>
    <row r="1" spans="1:20" x14ac:dyDescent="0.45">
      <c r="B1" s="1">
        <v>1</v>
      </c>
      <c r="C1" s="1">
        <v>2</v>
      </c>
      <c r="D1" s="1">
        <v>3</v>
      </c>
      <c r="E1" s="1">
        <v>11</v>
      </c>
      <c r="F1" s="1">
        <v>12</v>
      </c>
      <c r="G1" s="1">
        <v>13</v>
      </c>
      <c r="H1" s="1">
        <v>14</v>
      </c>
      <c r="I1" s="1">
        <v>15</v>
      </c>
      <c r="J1" s="1">
        <v>16</v>
      </c>
      <c r="K1" s="1">
        <v>17</v>
      </c>
      <c r="L1" s="1">
        <v>0</v>
      </c>
      <c r="N1" s="1" t="s">
        <v>0</v>
      </c>
      <c r="O1" s="1" t="e">
        <f>1/0</f>
        <v>#DIV/0!</v>
      </c>
      <c r="P1" s="1" t="e">
        <f>NA()</f>
        <v>#N/A</v>
      </c>
      <c r="Q1" s="1" t="b">
        <v>1</v>
      </c>
      <c r="R1" s="1">
        <v>1.9990000000000001</v>
      </c>
    </row>
    <row r="2" spans="1:20" x14ac:dyDescent="0.45">
      <c r="A2" s="4">
        <f>DATE(2026,1,1)</f>
        <v>46023</v>
      </c>
      <c r="B2" s="2">
        <f t="shared" ref="B2:Q13" si="0">WEEKDAY($A2,B$1)</f>
        <v>5</v>
      </c>
      <c r="C2" s="2">
        <f t="shared" ref="C2:R11" si="1">WEEKDAY($A2,C$1)</f>
        <v>4</v>
      </c>
      <c r="D2" s="2">
        <f t="shared" si="1"/>
        <v>3</v>
      </c>
      <c r="E2" s="2">
        <f t="shared" si="1"/>
        <v>4</v>
      </c>
      <c r="F2" s="2">
        <f t="shared" si="1"/>
        <v>3</v>
      </c>
      <c r="G2" s="2">
        <f t="shared" si="1"/>
        <v>2</v>
      </c>
      <c r="H2" s="2">
        <f t="shared" si="1"/>
        <v>1</v>
      </c>
      <c r="I2" s="2">
        <f t="shared" si="1"/>
        <v>7</v>
      </c>
      <c r="J2" s="2">
        <f t="shared" si="1"/>
        <v>6</v>
      </c>
      <c r="K2" s="2">
        <f t="shared" si="1"/>
        <v>5</v>
      </c>
      <c r="L2" s="2" t="e">
        <f t="shared" si="1"/>
        <v>#NUM!</v>
      </c>
      <c r="M2" s="2" t="e">
        <f t="shared" si="1"/>
        <v>#NUM!</v>
      </c>
      <c r="N2" s="2" t="e">
        <f t="shared" si="1"/>
        <v>#VALUE!</v>
      </c>
      <c r="O2" s="2" t="e">
        <f t="shared" si="1"/>
        <v>#DIV/0!</v>
      </c>
      <c r="P2" s="2" t="e">
        <f t="shared" si="1"/>
        <v>#N/A</v>
      </c>
      <c r="Q2" s="2">
        <f t="shared" si="1"/>
        <v>5</v>
      </c>
      <c r="R2" s="2">
        <f t="shared" si="1"/>
        <v>5</v>
      </c>
      <c r="S2" s="2">
        <f>WEEKDAY($A2)</f>
        <v>5</v>
      </c>
      <c r="T2" s="1" t="s">
        <v>15</v>
      </c>
    </row>
    <row r="3" spans="1:20" x14ac:dyDescent="0.45">
      <c r="A3" s="4">
        <f>DATE(2026,1,7)</f>
        <v>46029</v>
      </c>
      <c r="B3" s="2">
        <f t="shared" si="0"/>
        <v>4</v>
      </c>
      <c r="C3" s="2">
        <f t="shared" si="1"/>
        <v>3</v>
      </c>
      <c r="D3" s="2">
        <f t="shared" si="1"/>
        <v>2</v>
      </c>
      <c r="E3" s="2">
        <f t="shared" si="1"/>
        <v>3</v>
      </c>
      <c r="F3" s="2">
        <f t="shared" si="1"/>
        <v>2</v>
      </c>
      <c r="G3" s="2">
        <f t="shared" si="1"/>
        <v>1</v>
      </c>
      <c r="H3" s="2">
        <f t="shared" si="1"/>
        <v>7</v>
      </c>
      <c r="I3" s="2">
        <f t="shared" si="1"/>
        <v>6</v>
      </c>
      <c r="J3" s="2">
        <f t="shared" si="1"/>
        <v>5</v>
      </c>
      <c r="K3" s="2">
        <f t="shared" si="1"/>
        <v>4</v>
      </c>
      <c r="L3" s="2" t="e">
        <f t="shared" si="1"/>
        <v>#NUM!</v>
      </c>
      <c r="M3" s="2" t="e">
        <f t="shared" si="1"/>
        <v>#NUM!</v>
      </c>
      <c r="N3" s="2" t="e">
        <f t="shared" si="1"/>
        <v>#VALUE!</v>
      </c>
      <c r="O3" s="2" t="e">
        <f t="shared" si="1"/>
        <v>#DIV/0!</v>
      </c>
      <c r="P3" s="2" t="e">
        <f t="shared" si="1"/>
        <v>#N/A</v>
      </c>
      <c r="Q3" s="2">
        <f t="shared" si="1"/>
        <v>4</v>
      </c>
      <c r="R3" s="2">
        <f t="shared" si="1"/>
        <v>4</v>
      </c>
      <c r="S3" s="2">
        <f t="shared" ref="S3:S20" si="2">WEEKDAY($A3)</f>
        <v>4</v>
      </c>
      <c r="T3" s="1" t="s">
        <v>16</v>
      </c>
    </row>
    <row r="4" spans="1:20" x14ac:dyDescent="0.45">
      <c r="A4" s="4">
        <f>DATE(1995,7,23)</f>
        <v>34903</v>
      </c>
      <c r="B4" s="2">
        <f t="shared" si="0"/>
        <v>1</v>
      </c>
      <c r="C4" s="2">
        <f t="shared" si="1"/>
        <v>7</v>
      </c>
      <c r="D4" s="2">
        <f t="shared" si="1"/>
        <v>6</v>
      </c>
      <c r="E4" s="2">
        <f t="shared" si="1"/>
        <v>7</v>
      </c>
      <c r="F4" s="2">
        <f t="shared" si="1"/>
        <v>6</v>
      </c>
      <c r="G4" s="2">
        <f t="shared" si="1"/>
        <v>5</v>
      </c>
      <c r="H4" s="2">
        <f t="shared" si="1"/>
        <v>4</v>
      </c>
      <c r="I4" s="2">
        <f t="shared" si="1"/>
        <v>3</v>
      </c>
      <c r="J4" s="2">
        <f t="shared" si="1"/>
        <v>2</v>
      </c>
      <c r="K4" s="2">
        <f t="shared" si="1"/>
        <v>1</v>
      </c>
      <c r="L4" s="2" t="e">
        <f t="shared" si="1"/>
        <v>#NUM!</v>
      </c>
      <c r="M4" s="2" t="e">
        <f t="shared" si="1"/>
        <v>#NUM!</v>
      </c>
      <c r="N4" s="2" t="e">
        <f t="shared" si="1"/>
        <v>#VALUE!</v>
      </c>
      <c r="O4" s="2" t="e">
        <f t="shared" si="1"/>
        <v>#DIV/0!</v>
      </c>
      <c r="P4" s="2" t="e">
        <f t="shared" si="1"/>
        <v>#N/A</v>
      </c>
      <c r="Q4" s="2">
        <f t="shared" si="1"/>
        <v>1</v>
      </c>
      <c r="R4" s="2">
        <f t="shared" si="1"/>
        <v>1</v>
      </c>
      <c r="S4" s="2">
        <f t="shared" si="2"/>
        <v>1</v>
      </c>
    </row>
    <row r="5" spans="1:20" x14ac:dyDescent="0.45">
      <c r="A5" s="4">
        <f>DATE(1970,1,1)</f>
        <v>25569</v>
      </c>
      <c r="B5" s="2">
        <f t="shared" si="0"/>
        <v>5</v>
      </c>
      <c r="C5" s="2">
        <f t="shared" si="1"/>
        <v>4</v>
      </c>
      <c r="D5" s="2">
        <f t="shared" si="1"/>
        <v>3</v>
      </c>
      <c r="E5" s="2">
        <f t="shared" si="1"/>
        <v>4</v>
      </c>
      <c r="F5" s="2">
        <f t="shared" si="1"/>
        <v>3</v>
      </c>
      <c r="G5" s="2">
        <f t="shared" si="1"/>
        <v>2</v>
      </c>
      <c r="H5" s="2">
        <f t="shared" si="1"/>
        <v>1</v>
      </c>
      <c r="I5" s="2">
        <f t="shared" si="1"/>
        <v>7</v>
      </c>
      <c r="J5" s="2">
        <f t="shared" si="1"/>
        <v>6</v>
      </c>
      <c r="K5" s="2">
        <f t="shared" si="1"/>
        <v>5</v>
      </c>
      <c r="L5" s="2" t="e">
        <f t="shared" si="1"/>
        <v>#NUM!</v>
      </c>
      <c r="M5" s="2" t="e">
        <f t="shared" si="1"/>
        <v>#NUM!</v>
      </c>
      <c r="N5" s="2" t="e">
        <f t="shared" si="1"/>
        <v>#VALUE!</v>
      </c>
      <c r="O5" s="2" t="e">
        <f t="shared" si="1"/>
        <v>#DIV/0!</v>
      </c>
      <c r="P5" s="2" t="e">
        <f t="shared" si="1"/>
        <v>#N/A</v>
      </c>
      <c r="Q5" s="2">
        <f t="shared" si="1"/>
        <v>5</v>
      </c>
      <c r="R5" s="2">
        <f t="shared" si="1"/>
        <v>5</v>
      </c>
      <c r="S5" s="2">
        <f t="shared" si="2"/>
        <v>5</v>
      </c>
    </row>
    <row r="6" spans="1:20" x14ac:dyDescent="0.45">
      <c r="A6" s="4">
        <f>DATE(2025,30,3)</f>
        <v>46541</v>
      </c>
      <c r="B6" s="2">
        <f t="shared" si="0"/>
        <v>5</v>
      </c>
      <c r="C6" s="2">
        <f t="shared" si="1"/>
        <v>4</v>
      </c>
      <c r="D6" s="2">
        <f t="shared" si="1"/>
        <v>3</v>
      </c>
      <c r="E6" s="2">
        <f t="shared" si="1"/>
        <v>4</v>
      </c>
      <c r="F6" s="2">
        <f t="shared" si="1"/>
        <v>3</v>
      </c>
      <c r="G6" s="2">
        <f t="shared" si="1"/>
        <v>2</v>
      </c>
      <c r="H6" s="2">
        <f t="shared" si="1"/>
        <v>1</v>
      </c>
      <c r="I6" s="2">
        <f t="shared" si="1"/>
        <v>7</v>
      </c>
      <c r="J6" s="2">
        <f t="shared" si="1"/>
        <v>6</v>
      </c>
      <c r="K6" s="2">
        <f t="shared" si="1"/>
        <v>5</v>
      </c>
      <c r="L6" s="2" t="e">
        <f t="shared" si="1"/>
        <v>#NUM!</v>
      </c>
      <c r="M6" s="2" t="e">
        <f t="shared" si="1"/>
        <v>#NUM!</v>
      </c>
      <c r="N6" s="2" t="e">
        <f t="shared" si="1"/>
        <v>#VALUE!</v>
      </c>
      <c r="O6" s="2" t="e">
        <f t="shared" si="1"/>
        <v>#DIV/0!</v>
      </c>
      <c r="P6" s="2" t="e">
        <f t="shared" si="1"/>
        <v>#N/A</v>
      </c>
      <c r="Q6" s="2">
        <f t="shared" si="1"/>
        <v>5</v>
      </c>
      <c r="R6" s="2">
        <f t="shared" si="1"/>
        <v>5</v>
      </c>
      <c r="S6" s="2">
        <f t="shared" si="2"/>
        <v>5</v>
      </c>
    </row>
    <row r="7" spans="1:20" x14ac:dyDescent="0.45">
      <c r="A7" s="4">
        <f>DATE(2024,2,29)</f>
        <v>45351</v>
      </c>
      <c r="B7" s="2">
        <f t="shared" si="0"/>
        <v>5</v>
      </c>
      <c r="C7" s="2">
        <f t="shared" si="1"/>
        <v>4</v>
      </c>
      <c r="D7" s="2">
        <f t="shared" si="1"/>
        <v>3</v>
      </c>
      <c r="E7" s="2">
        <f t="shared" si="1"/>
        <v>4</v>
      </c>
      <c r="F7" s="2">
        <f t="shared" si="1"/>
        <v>3</v>
      </c>
      <c r="G7" s="2">
        <f t="shared" si="1"/>
        <v>2</v>
      </c>
      <c r="H7" s="2">
        <f t="shared" si="1"/>
        <v>1</v>
      </c>
      <c r="I7" s="2">
        <f t="shared" si="1"/>
        <v>7</v>
      </c>
      <c r="J7" s="2">
        <f t="shared" si="1"/>
        <v>6</v>
      </c>
      <c r="K7" s="2">
        <f t="shared" si="1"/>
        <v>5</v>
      </c>
      <c r="L7" s="2" t="e">
        <f t="shared" si="1"/>
        <v>#NUM!</v>
      </c>
      <c r="M7" s="2" t="e">
        <f t="shared" si="1"/>
        <v>#NUM!</v>
      </c>
      <c r="N7" s="2" t="e">
        <f t="shared" si="1"/>
        <v>#VALUE!</v>
      </c>
      <c r="O7" s="2" t="e">
        <f t="shared" si="1"/>
        <v>#DIV/0!</v>
      </c>
      <c r="P7" s="2" t="e">
        <f t="shared" si="1"/>
        <v>#N/A</v>
      </c>
      <c r="Q7" s="2">
        <f t="shared" si="1"/>
        <v>5</v>
      </c>
      <c r="R7" s="2">
        <f t="shared" si="1"/>
        <v>5</v>
      </c>
      <c r="S7" s="2">
        <f t="shared" si="2"/>
        <v>5</v>
      </c>
      <c r="T7" s="1" t="s">
        <v>17</v>
      </c>
    </row>
    <row r="8" spans="1:20" x14ac:dyDescent="0.45">
      <c r="A8" s="5">
        <f>DATE(9999,12,31)</f>
        <v>2958465</v>
      </c>
      <c r="B8" s="2">
        <f t="shared" si="0"/>
        <v>6</v>
      </c>
      <c r="C8" s="2">
        <f t="shared" si="1"/>
        <v>5</v>
      </c>
      <c r="D8" s="2">
        <f t="shared" si="1"/>
        <v>4</v>
      </c>
      <c r="E8" s="2">
        <f t="shared" si="1"/>
        <v>5</v>
      </c>
      <c r="F8" s="2">
        <f t="shared" si="1"/>
        <v>4</v>
      </c>
      <c r="G8" s="2">
        <f t="shared" si="1"/>
        <v>3</v>
      </c>
      <c r="H8" s="2">
        <f t="shared" si="1"/>
        <v>2</v>
      </c>
      <c r="I8" s="2">
        <f t="shared" si="1"/>
        <v>1</v>
      </c>
      <c r="J8" s="2">
        <f t="shared" si="1"/>
        <v>7</v>
      </c>
      <c r="K8" s="2">
        <f t="shared" si="1"/>
        <v>6</v>
      </c>
      <c r="L8" s="2" t="e">
        <f t="shared" si="1"/>
        <v>#NUM!</v>
      </c>
      <c r="M8" s="2" t="e">
        <f t="shared" si="1"/>
        <v>#NUM!</v>
      </c>
      <c r="N8" s="2" t="e">
        <f t="shared" si="1"/>
        <v>#VALUE!</v>
      </c>
      <c r="O8" s="2" t="e">
        <f t="shared" si="1"/>
        <v>#DIV/0!</v>
      </c>
      <c r="P8" s="2" t="e">
        <f t="shared" si="1"/>
        <v>#N/A</v>
      </c>
      <c r="Q8" s="2">
        <f t="shared" si="1"/>
        <v>6</v>
      </c>
      <c r="R8" s="2">
        <f t="shared" si="1"/>
        <v>6</v>
      </c>
      <c r="S8" s="2">
        <f t="shared" si="2"/>
        <v>6</v>
      </c>
      <c r="T8" s="1" t="s">
        <v>1</v>
      </c>
    </row>
    <row r="9" spans="1:20" x14ac:dyDescent="0.45">
      <c r="A9" s="5" t="s">
        <v>2</v>
      </c>
      <c r="B9" s="2" t="e">
        <f t="shared" si="0"/>
        <v>#VALUE!</v>
      </c>
      <c r="C9" s="2" t="e">
        <f t="shared" si="1"/>
        <v>#VALUE!</v>
      </c>
      <c r="D9" s="2" t="e">
        <f t="shared" si="1"/>
        <v>#VALUE!</v>
      </c>
      <c r="E9" s="2" t="e">
        <f t="shared" si="1"/>
        <v>#VALUE!</v>
      </c>
      <c r="F9" s="2" t="e">
        <f t="shared" si="1"/>
        <v>#VALUE!</v>
      </c>
      <c r="G9" s="2" t="e">
        <f t="shared" si="1"/>
        <v>#VALUE!</v>
      </c>
      <c r="H9" s="2" t="e">
        <f t="shared" si="1"/>
        <v>#VALUE!</v>
      </c>
      <c r="I9" s="2" t="e">
        <f t="shared" si="1"/>
        <v>#VALUE!</v>
      </c>
      <c r="J9" s="2" t="e">
        <f t="shared" si="1"/>
        <v>#VALUE!</v>
      </c>
      <c r="K9" s="2" t="e">
        <f t="shared" si="1"/>
        <v>#VALUE!</v>
      </c>
      <c r="L9" s="2" t="e">
        <f t="shared" si="1"/>
        <v>#VALUE!</v>
      </c>
      <c r="M9" s="2" t="e">
        <f t="shared" si="1"/>
        <v>#VALUE!</v>
      </c>
      <c r="N9" s="2" t="e">
        <f t="shared" si="1"/>
        <v>#VALUE!</v>
      </c>
      <c r="O9" s="2"/>
      <c r="P9" s="2"/>
      <c r="Q9" s="2" t="e">
        <f t="shared" si="1"/>
        <v>#VALUE!</v>
      </c>
      <c r="R9" s="2" t="e">
        <f t="shared" si="1"/>
        <v>#VALUE!</v>
      </c>
      <c r="S9" s="2" t="e">
        <f t="shared" si="2"/>
        <v>#VALUE!</v>
      </c>
      <c r="T9" s="1" t="s">
        <v>3</v>
      </c>
    </row>
    <row r="10" spans="1:20" x14ac:dyDescent="0.45">
      <c r="A10" s="7">
        <v>45667.6875</v>
      </c>
      <c r="B10" s="2">
        <f t="shared" si="0"/>
        <v>6</v>
      </c>
      <c r="C10" s="2">
        <f t="shared" si="1"/>
        <v>5</v>
      </c>
      <c r="D10" s="2">
        <f t="shared" si="1"/>
        <v>4</v>
      </c>
      <c r="E10" s="2">
        <f t="shared" si="1"/>
        <v>5</v>
      </c>
      <c r="F10" s="2">
        <f t="shared" si="1"/>
        <v>4</v>
      </c>
      <c r="G10" s="2">
        <f t="shared" si="1"/>
        <v>3</v>
      </c>
      <c r="H10" s="2">
        <f t="shared" si="1"/>
        <v>2</v>
      </c>
      <c r="I10" s="2">
        <f t="shared" si="1"/>
        <v>1</v>
      </c>
      <c r="J10" s="2">
        <f t="shared" si="1"/>
        <v>7</v>
      </c>
      <c r="K10" s="2">
        <f t="shared" si="1"/>
        <v>6</v>
      </c>
      <c r="L10" s="2" t="e">
        <f t="shared" si="1"/>
        <v>#NUM!</v>
      </c>
      <c r="M10" s="2" t="e">
        <f t="shared" si="1"/>
        <v>#NUM!</v>
      </c>
      <c r="N10" s="2" t="e">
        <f t="shared" si="1"/>
        <v>#VALUE!</v>
      </c>
      <c r="O10" s="2" t="e">
        <f t="shared" si="1"/>
        <v>#DIV/0!</v>
      </c>
      <c r="P10" s="2" t="e">
        <f t="shared" si="1"/>
        <v>#N/A</v>
      </c>
      <c r="Q10" s="2">
        <f t="shared" si="1"/>
        <v>6</v>
      </c>
      <c r="R10" s="2">
        <f t="shared" si="1"/>
        <v>6</v>
      </c>
      <c r="S10" s="2">
        <f t="shared" si="2"/>
        <v>6</v>
      </c>
      <c r="T10" s="1" t="s">
        <v>18</v>
      </c>
    </row>
    <row r="11" spans="1:20" x14ac:dyDescent="0.45">
      <c r="A11" s="1" t="b">
        <v>1</v>
      </c>
      <c r="B11" s="2">
        <f t="shared" si="0"/>
        <v>1</v>
      </c>
      <c r="C11" s="2">
        <f t="shared" si="1"/>
        <v>7</v>
      </c>
      <c r="D11" s="2">
        <f t="shared" si="1"/>
        <v>6</v>
      </c>
      <c r="E11" s="2">
        <f t="shared" si="1"/>
        <v>7</v>
      </c>
      <c r="F11" s="2">
        <f t="shared" si="1"/>
        <v>6</v>
      </c>
      <c r="G11" s="2">
        <f t="shared" si="1"/>
        <v>5</v>
      </c>
      <c r="H11" s="2">
        <f t="shared" si="1"/>
        <v>4</v>
      </c>
      <c r="I11" s="2">
        <f t="shared" si="1"/>
        <v>3</v>
      </c>
      <c r="J11" s="2">
        <f t="shared" si="1"/>
        <v>2</v>
      </c>
      <c r="K11" s="2">
        <f t="shared" si="1"/>
        <v>1</v>
      </c>
      <c r="L11" s="2" t="e">
        <f t="shared" si="1"/>
        <v>#NUM!</v>
      </c>
      <c r="M11" s="2" t="e">
        <f t="shared" si="1"/>
        <v>#NUM!</v>
      </c>
      <c r="N11" s="2" t="e">
        <f t="shared" si="1"/>
        <v>#VALUE!</v>
      </c>
      <c r="O11" s="2" t="e">
        <f t="shared" si="1"/>
        <v>#DIV/0!</v>
      </c>
      <c r="P11" s="2" t="e">
        <f t="shared" si="1"/>
        <v>#N/A</v>
      </c>
      <c r="Q11" s="2">
        <f t="shared" si="1"/>
        <v>1</v>
      </c>
      <c r="R11" s="2">
        <f t="shared" si="1"/>
        <v>1</v>
      </c>
      <c r="S11" s="2">
        <f t="shared" si="2"/>
        <v>1</v>
      </c>
      <c r="T11" s="1" t="s">
        <v>12</v>
      </c>
    </row>
    <row r="12" spans="1:20" x14ac:dyDescent="0.45">
      <c r="A12" s="1">
        <v>-1</v>
      </c>
      <c r="B12" s="2" t="e">
        <f t="shared" si="0"/>
        <v>#NUM!</v>
      </c>
      <c r="C12" s="2" t="e">
        <f t="shared" si="0"/>
        <v>#NUM!</v>
      </c>
      <c r="D12" s="2" t="e">
        <f t="shared" si="0"/>
        <v>#NUM!</v>
      </c>
      <c r="E12" s="2" t="e">
        <f t="shared" si="0"/>
        <v>#NUM!</v>
      </c>
      <c r="F12" s="2" t="e">
        <f t="shared" si="0"/>
        <v>#NUM!</v>
      </c>
      <c r="G12" s="2" t="e">
        <f t="shared" si="0"/>
        <v>#NUM!</v>
      </c>
      <c r="H12" s="2" t="e">
        <f t="shared" si="0"/>
        <v>#NUM!</v>
      </c>
      <c r="I12" s="2" t="e">
        <f t="shared" si="0"/>
        <v>#NUM!</v>
      </c>
      <c r="J12" s="2" t="e">
        <f t="shared" si="0"/>
        <v>#NUM!</v>
      </c>
      <c r="K12" s="2" t="e">
        <f t="shared" si="0"/>
        <v>#NUM!</v>
      </c>
      <c r="L12" s="2" t="e">
        <f t="shared" si="0"/>
        <v>#NUM!</v>
      </c>
      <c r="M12" s="2" t="e">
        <f t="shared" si="0"/>
        <v>#NUM!</v>
      </c>
      <c r="N12" s="2" t="e">
        <f t="shared" si="0"/>
        <v>#VALUE!</v>
      </c>
      <c r="O12" s="2" t="e">
        <f t="shared" si="0"/>
        <v>#DIV/0!</v>
      </c>
      <c r="P12" s="2" t="e">
        <f t="shared" si="0"/>
        <v>#N/A</v>
      </c>
      <c r="Q12" s="2" t="e">
        <f t="shared" si="0"/>
        <v>#NUM!</v>
      </c>
      <c r="R12" s="2" t="e">
        <f t="shared" ref="R12:R20" si="3">WEEKDAY($A12,R$1)</f>
        <v>#NUM!</v>
      </c>
      <c r="S12" s="2" t="e">
        <f t="shared" si="2"/>
        <v>#NUM!</v>
      </c>
      <c r="T12" s="1" t="s">
        <v>8</v>
      </c>
    </row>
    <row r="13" spans="1:20" x14ac:dyDescent="0.45">
      <c r="A13" s="1">
        <v>1</v>
      </c>
      <c r="B13" s="2">
        <f t="shared" si="0"/>
        <v>1</v>
      </c>
      <c r="C13" s="2">
        <f t="shared" si="0"/>
        <v>7</v>
      </c>
      <c r="D13" s="2">
        <f t="shared" si="0"/>
        <v>6</v>
      </c>
      <c r="E13" s="2">
        <f t="shared" si="0"/>
        <v>7</v>
      </c>
      <c r="F13" s="2">
        <f t="shared" si="0"/>
        <v>6</v>
      </c>
      <c r="G13" s="2">
        <f t="shared" si="0"/>
        <v>5</v>
      </c>
      <c r="H13" s="2">
        <f t="shared" si="0"/>
        <v>4</v>
      </c>
      <c r="I13" s="2">
        <f t="shared" si="0"/>
        <v>3</v>
      </c>
      <c r="J13" s="2">
        <f t="shared" si="0"/>
        <v>2</v>
      </c>
      <c r="K13" s="2">
        <f t="shared" si="0"/>
        <v>1</v>
      </c>
      <c r="L13" s="2" t="e">
        <f t="shared" si="0"/>
        <v>#NUM!</v>
      </c>
      <c r="M13" s="2" t="e">
        <f t="shared" si="0"/>
        <v>#NUM!</v>
      </c>
      <c r="N13" s="2" t="e">
        <f t="shared" si="0"/>
        <v>#VALUE!</v>
      </c>
      <c r="O13" s="2" t="e">
        <f t="shared" si="0"/>
        <v>#DIV/0!</v>
      </c>
      <c r="P13" s="2" t="e">
        <f t="shared" si="0"/>
        <v>#N/A</v>
      </c>
      <c r="Q13" s="2">
        <f t="shared" si="0"/>
        <v>1</v>
      </c>
      <c r="R13" s="2">
        <f t="shared" si="3"/>
        <v>1</v>
      </c>
      <c r="S13" s="2">
        <f t="shared" si="2"/>
        <v>1</v>
      </c>
      <c r="T13" s="1" t="s">
        <v>7</v>
      </c>
    </row>
    <row r="14" spans="1:20" x14ac:dyDescent="0.45">
      <c r="A14" s="1">
        <v>123</v>
      </c>
      <c r="B14" s="2">
        <f t="shared" ref="B14:Q20" si="4">WEEKDAY($A14,B$1)</f>
        <v>4</v>
      </c>
      <c r="C14" s="2">
        <f t="shared" si="4"/>
        <v>3</v>
      </c>
      <c r="D14" s="2">
        <f t="shared" si="4"/>
        <v>2</v>
      </c>
      <c r="E14" s="2">
        <f t="shared" si="4"/>
        <v>3</v>
      </c>
      <c r="F14" s="2">
        <f t="shared" si="4"/>
        <v>2</v>
      </c>
      <c r="G14" s="2">
        <f t="shared" si="4"/>
        <v>1</v>
      </c>
      <c r="H14" s="2">
        <f t="shared" si="4"/>
        <v>7</v>
      </c>
      <c r="I14" s="2">
        <f t="shared" si="4"/>
        <v>6</v>
      </c>
      <c r="J14" s="2">
        <f t="shared" si="4"/>
        <v>5</v>
      </c>
      <c r="K14" s="2">
        <f t="shared" si="4"/>
        <v>4</v>
      </c>
      <c r="L14" s="2" t="e">
        <f t="shared" si="4"/>
        <v>#NUM!</v>
      </c>
      <c r="M14" s="2" t="e">
        <f t="shared" si="4"/>
        <v>#NUM!</v>
      </c>
      <c r="N14" s="2" t="e">
        <f t="shared" si="4"/>
        <v>#VALUE!</v>
      </c>
      <c r="O14" s="2" t="e">
        <f t="shared" si="4"/>
        <v>#DIV/0!</v>
      </c>
      <c r="P14" s="2" t="e">
        <f t="shared" si="4"/>
        <v>#N/A</v>
      </c>
      <c r="Q14" s="2">
        <f t="shared" si="4"/>
        <v>4</v>
      </c>
      <c r="R14" s="2">
        <f t="shared" si="3"/>
        <v>4</v>
      </c>
      <c r="S14" s="2">
        <f t="shared" si="2"/>
        <v>4</v>
      </c>
    </row>
    <row r="15" spans="1:20" x14ac:dyDescent="0.45">
      <c r="A15" s="1">
        <v>123.23</v>
      </c>
      <c r="B15" s="2">
        <f t="shared" si="4"/>
        <v>4</v>
      </c>
      <c r="C15" s="2">
        <f t="shared" si="4"/>
        <v>3</v>
      </c>
      <c r="D15" s="2">
        <f t="shared" si="4"/>
        <v>2</v>
      </c>
      <c r="E15" s="2">
        <f t="shared" si="4"/>
        <v>3</v>
      </c>
      <c r="F15" s="2">
        <f t="shared" si="4"/>
        <v>2</v>
      </c>
      <c r="G15" s="2">
        <f t="shared" si="4"/>
        <v>1</v>
      </c>
      <c r="H15" s="2">
        <f t="shared" si="4"/>
        <v>7</v>
      </c>
      <c r="I15" s="2">
        <f t="shared" si="4"/>
        <v>6</v>
      </c>
      <c r="J15" s="2">
        <f t="shared" si="4"/>
        <v>5</v>
      </c>
      <c r="K15" s="2">
        <f t="shared" si="4"/>
        <v>4</v>
      </c>
      <c r="L15" s="2" t="e">
        <f t="shared" si="4"/>
        <v>#NUM!</v>
      </c>
      <c r="M15" s="2" t="e">
        <f t="shared" si="4"/>
        <v>#NUM!</v>
      </c>
      <c r="N15" s="2" t="e">
        <f t="shared" si="4"/>
        <v>#VALUE!</v>
      </c>
      <c r="O15" s="2" t="e">
        <f t="shared" si="4"/>
        <v>#DIV/0!</v>
      </c>
      <c r="P15" s="2" t="e">
        <f t="shared" si="4"/>
        <v>#N/A</v>
      </c>
      <c r="Q15" s="2">
        <f t="shared" si="4"/>
        <v>4</v>
      </c>
      <c r="R15" s="2">
        <f t="shared" si="3"/>
        <v>4</v>
      </c>
      <c r="S15" s="2">
        <f t="shared" si="2"/>
        <v>4</v>
      </c>
      <c r="T15" s="1" t="s">
        <v>9</v>
      </c>
    </row>
    <row r="16" spans="1:20" x14ac:dyDescent="0.45">
      <c r="A16" s="3" t="s">
        <v>10</v>
      </c>
      <c r="B16" s="2">
        <f t="shared" si="4"/>
        <v>4</v>
      </c>
      <c r="C16" s="2">
        <f t="shared" si="4"/>
        <v>3</v>
      </c>
      <c r="D16" s="2">
        <f t="shared" si="4"/>
        <v>2</v>
      </c>
      <c r="E16" s="2">
        <f t="shared" si="4"/>
        <v>3</v>
      </c>
      <c r="F16" s="2">
        <f t="shared" si="4"/>
        <v>2</v>
      </c>
      <c r="G16" s="2">
        <f t="shared" si="4"/>
        <v>1</v>
      </c>
      <c r="H16" s="2">
        <f t="shared" si="4"/>
        <v>7</v>
      </c>
      <c r="I16" s="2">
        <f t="shared" si="4"/>
        <v>6</v>
      </c>
      <c r="J16" s="2">
        <f t="shared" si="4"/>
        <v>5</v>
      </c>
      <c r="K16" s="2">
        <f t="shared" si="4"/>
        <v>4</v>
      </c>
      <c r="L16" s="2" t="e">
        <f t="shared" si="4"/>
        <v>#NUM!</v>
      </c>
      <c r="M16" s="2" t="e">
        <f t="shared" si="4"/>
        <v>#NUM!</v>
      </c>
      <c r="N16" s="2" t="e">
        <f t="shared" si="4"/>
        <v>#VALUE!</v>
      </c>
      <c r="O16" s="2" t="e">
        <f t="shared" si="4"/>
        <v>#DIV/0!</v>
      </c>
      <c r="P16" s="2" t="e">
        <f t="shared" si="4"/>
        <v>#N/A</v>
      </c>
      <c r="Q16" s="2">
        <f t="shared" si="4"/>
        <v>4</v>
      </c>
      <c r="R16" s="2">
        <f t="shared" si="3"/>
        <v>4</v>
      </c>
      <c r="S16" s="2">
        <f t="shared" si="2"/>
        <v>4</v>
      </c>
      <c r="T16" s="1" t="s">
        <v>24</v>
      </c>
    </row>
    <row r="17" spans="1:20" x14ac:dyDescent="0.45">
      <c r="A17" s="3" t="s">
        <v>0</v>
      </c>
      <c r="B17" s="2" t="e">
        <f t="shared" si="4"/>
        <v>#VALUE!</v>
      </c>
      <c r="C17" s="2" t="e">
        <f t="shared" si="4"/>
        <v>#VALUE!</v>
      </c>
      <c r="D17" s="2" t="e">
        <f t="shared" si="4"/>
        <v>#VALUE!</v>
      </c>
      <c r="E17" s="2" t="e">
        <f t="shared" si="4"/>
        <v>#VALUE!</v>
      </c>
      <c r="F17" s="2" t="e">
        <f t="shared" si="4"/>
        <v>#VALUE!</v>
      </c>
      <c r="G17" s="2" t="e">
        <f t="shared" si="4"/>
        <v>#VALUE!</v>
      </c>
      <c r="H17" s="2" t="e">
        <f t="shared" si="4"/>
        <v>#VALUE!</v>
      </c>
      <c r="I17" s="2" t="e">
        <f t="shared" si="4"/>
        <v>#VALUE!</v>
      </c>
      <c r="J17" s="2" t="e">
        <f t="shared" si="4"/>
        <v>#VALUE!</v>
      </c>
      <c r="K17" s="2" t="e">
        <f t="shared" si="4"/>
        <v>#VALUE!</v>
      </c>
      <c r="L17" s="2" t="e">
        <f t="shared" si="4"/>
        <v>#VALUE!</v>
      </c>
      <c r="M17" s="2" t="e">
        <f t="shared" si="4"/>
        <v>#VALUE!</v>
      </c>
      <c r="N17" s="2" t="e">
        <f t="shared" si="4"/>
        <v>#VALUE!</v>
      </c>
      <c r="O17" s="2"/>
      <c r="P17" s="2"/>
      <c r="Q17" s="2" t="e">
        <f t="shared" si="4"/>
        <v>#VALUE!</v>
      </c>
      <c r="R17" s="2" t="e">
        <f t="shared" si="3"/>
        <v>#VALUE!</v>
      </c>
      <c r="S17" s="2" t="e">
        <f t="shared" si="2"/>
        <v>#VALUE!</v>
      </c>
    </row>
    <row r="18" spans="1:20" x14ac:dyDescent="0.45">
      <c r="A18" s="3" t="s">
        <v>27</v>
      </c>
      <c r="B18" s="2">
        <f t="shared" si="4"/>
        <v>4</v>
      </c>
      <c r="C18" s="2">
        <f t="shared" si="4"/>
        <v>3</v>
      </c>
      <c r="D18" s="2">
        <f t="shared" si="4"/>
        <v>2</v>
      </c>
      <c r="E18" s="2">
        <f t="shared" si="4"/>
        <v>3</v>
      </c>
      <c r="F18" s="2">
        <f t="shared" si="4"/>
        <v>2</v>
      </c>
      <c r="G18" s="2">
        <f t="shared" si="4"/>
        <v>1</v>
      </c>
      <c r="H18" s="2">
        <f t="shared" si="4"/>
        <v>7</v>
      </c>
      <c r="I18" s="2">
        <f t="shared" si="4"/>
        <v>6</v>
      </c>
      <c r="J18" s="2">
        <f t="shared" si="4"/>
        <v>5</v>
      </c>
      <c r="K18" s="2">
        <f t="shared" si="4"/>
        <v>4</v>
      </c>
      <c r="L18" s="2" t="e">
        <f t="shared" si="4"/>
        <v>#NUM!</v>
      </c>
      <c r="M18" s="2" t="e">
        <f t="shared" si="4"/>
        <v>#NUM!</v>
      </c>
      <c r="N18" s="2" t="e">
        <f t="shared" si="4"/>
        <v>#VALUE!</v>
      </c>
      <c r="O18" s="2" t="e">
        <f t="shared" si="4"/>
        <v>#DIV/0!</v>
      </c>
      <c r="P18" s="2" t="e">
        <f t="shared" si="4"/>
        <v>#N/A</v>
      </c>
      <c r="Q18" s="2">
        <f t="shared" si="4"/>
        <v>4</v>
      </c>
      <c r="R18" s="2">
        <f t="shared" si="3"/>
        <v>4</v>
      </c>
      <c r="S18" s="2">
        <f t="shared" si="2"/>
        <v>4</v>
      </c>
      <c r="T18" s="1" t="s">
        <v>19</v>
      </c>
    </row>
    <row r="19" spans="1:20" x14ac:dyDescent="0.45">
      <c r="A19" s="3" t="s">
        <v>20</v>
      </c>
      <c r="B19" s="2" t="e">
        <f t="shared" si="4"/>
        <v>#VALUE!</v>
      </c>
      <c r="C19" s="2" t="e">
        <f t="shared" si="4"/>
        <v>#VALUE!</v>
      </c>
      <c r="D19" s="2" t="e">
        <f t="shared" si="4"/>
        <v>#VALUE!</v>
      </c>
      <c r="E19" s="2" t="e">
        <f t="shared" si="4"/>
        <v>#VALUE!</v>
      </c>
      <c r="F19" s="2" t="e">
        <f t="shared" si="4"/>
        <v>#VALUE!</v>
      </c>
      <c r="G19" s="2" t="e">
        <f t="shared" si="4"/>
        <v>#VALUE!</v>
      </c>
      <c r="H19" s="2" t="e">
        <f t="shared" si="4"/>
        <v>#VALUE!</v>
      </c>
      <c r="I19" s="2" t="e">
        <f t="shared" si="4"/>
        <v>#VALUE!</v>
      </c>
      <c r="J19" s="2" t="e">
        <f t="shared" si="4"/>
        <v>#VALUE!</v>
      </c>
      <c r="K19" s="2" t="e">
        <f t="shared" si="4"/>
        <v>#VALUE!</v>
      </c>
      <c r="L19" s="2" t="e">
        <f t="shared" si="4"/>
        <v>#VALUE!</v>
      </c>
      <c r="M19" s="2" t="e">
        <f t="shared" si="4"/>
        <v>#VALUE!</v>
      </c>
      <c r="N19" s="2" t="e">
        <f t="shared" si="4"/>
        <v>#VALUE!</v>
      </c>
      <c r="O19" s="2"/>
      <c r="P19" s="2"/>
      <c r="Q19" s="2" t="e">
        <f t="shared" si="4"/>
        <v>#VALUE!</v>
      </c>
      <c r="R19" s="2" t="e">
        <f t="shared" si="3"/>
        <v>#VALUE!</v>
      </c>
      <c r="S19" s="2" t="e">
        <f t="shared" si="2"/>
        <v>#VALUE!</v>
      </c>
    </row>
    <row r="20" spans="1:20" x14ac:dyDescent="0.45">
      <c r="A20" s="3" t="s">
        <v>22</v>
      </c>
      <c r="B20" s="2" t="e">
        <f t="shared" si="4"/>
        <v>#VALUE!</v>
      </c>
      <c r="C20" s="2" t="e">
        <f t="shared" si="4"/>
        <v>#VALUE!</v>
      </c>
      <c r="D20" s="2" t="e">
        <f t="shared" si="4"/>
        <v>#VALUE!</v>
      </c>
      <c r="E20" s="2" t="e">
        <f t="shared" si="4"/>
        <v>#VALUE!</v>
      </c>
      <c r="F20" s="2" t="e">
        <f t="shared" si="4"/>
        <v>#VALUE!</v>
      </c>
      <c r="G20" s="2" t="e">
        <f t="shared" si="4"/>
        <v>#VALUE!</v>
      </c>
      <c r="H20" s="2" t="e">
        <f t="shared" si="4"/>
        <v>#VALUE!</v>
      </c>
      <c r="I20" s="2" t="e">
        <f t="shared" si="4"/>
        <v>#VALUE!</v>
      </c>
      <c r="J20" s="2" t="e">
        <f t="shared" si="4"/>
        <v>#VALUE!</v>
      </c>
      <c r="K20" s="2" t="e">
        <f t="shared" si="4"/>
        <v>#VALUE!</v>
      </c>
      <c r="L20" s="2" t="e">
        <f t="shared" si="4"/>
        <v>#VALUE!</v>
      </c>
      <c r="M20" s="2" t="e">
        <f t="shared" si="4"/>
        <v>#VALUE!</v>
      </c>
      <c r="N20" s="2" t="e">
        <f t="shared" si="4"/>
        <v>#VALUE!</v>
      </c>
      <c r="O20" s="2"/>
      <c r="P20" s="2"/>
      <c r="Q20" s="2" t="e">
        <f t="shared" si="4"/>
        <v>#VALUE!</v>
      </c>
      <c r="R20" s="2" t="e">
        <f t="shared" si="3"/>
        <v>#VALUE!</v>
      </c>
      <c r="S20" s="2" t="e">
        <f t="shared" si="2"/>
        <v>#VALUE!</v>
      </c>
    </row>
    <row r="21" spans="1:20" x14ac:dyDescent="0.45">
      <c r="L21" s="1" t="s">
        <v>5</v>
      </c>
      <c r="M21" s="1" t="s">
        <v>6</v>
      </c>
      <c r="N21" s="1" t="s">
        <v>11</v>
      </c>
      <c r="O21" s="1" t="s">
        <v>4</v>
      </c>
      <c r="P21" s="1" t="s">
        <v>4</v>
      </c>
      <c r="Q21" s="1" t="s">
        <v>12</v>
      </c>
      <c r="R21" s="1" t="s">
        <v>13</v>
      </c>
      <c r="S2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3C06-38ED-2B46-BF72-8B79E385907A}">
  <dimension ref="A1:X23"/>
  <sheetViews>
    <sheetView tabSelected="1" workbookViewId="0">
      <pane xSplit="1" topLeftCell="B1" activePane="topRight" state="frozen"/>
      <selection pane="topRight" activeCell="G25" sqref="G25"/>
    </sheetView>
  </sheetViews>
  <sheetFormatPr defaultColWidth="11" defaultRowHeight="14.25" x14ac:dyDescent="0.45"/>
  <cols>
    <col min="1" max="1" width="14.3125" style="1" bestFit="1" customWidth="1"/>
    <col min="2" max="20" width="11" style="1"/>
    <col min="21" max="21" width="11.75" style="1" bestFit="1" customWidth="1"/>
    <col min="22" max="22" width="25" style="1" customWidth="1"/>
    <col min="23" max="23" width="11" style="1"/>
    <col min="24" max="24" width="12" style="1" bestFit="1" customWidth="1"/>
    <col min="25" max="16384" width="11" style="1"/>
  </cols>
  <sheetData>
    <row r="1" spans="1:24" x14ac:dyDescent="0.45">
      <c r="B1" s="1">
        <v>1</v>
      </c>
      <c r="C1" s="1">
        <v>2</v>
      </c>
      <c r="D1" s="1">
        <v>3</v>
      </c>
      <c r="E1" s="1">
        <v>11</v>
      </c>
      <c r="F1" s="1">
        <v>12</v>
      </c>
      <c r="G1" s="1">
        <v>13</v>
      </c>
      <c r="H1" s="1">
        <v>14</v>
      </c>
      <c r="I1" s="1">
        <v>15</v>
      </c>
      <c r="J1" s="1">
        <v>16</v>
      </c>
      <c r="K1" s="1">
        <v>17</v>
      </c>
      <c r="L1" s="1">
        <v>18</v>
      </c>
      <c r="M1" s="1">
        <v>21</v>
      </c>
      <c r="N1" s="1">
        <v>0</v>
      </c>
      <c r="P1" s="1" t="s">
        <v>0</v>
      </c>
      <c r="Q1" s="1" t="e">
        <f>1/0</f>
        <v>#DIV/0!</v>
      </c>
      <c r="R1" s="1" t="e">
        <f>NA()</f>
        <v>#N/A</v>
      </c>
      <c r="S1" s="1" t="b">
        <v>1</v>
      </c>
      <c r="T1" s="1">
        <v>11.999000000000001</v>
      </c>
      <c r="U1" s="4"/>
      <c r="X1" s="6" t="s">
        <v>14</v>
      </c>
    </row>
    <row r="2" spans="1:24" x14ac:dyDescent="0.45">
      <c r="A2" s="4">
        <f>DATE(2026,1,1)</f>
        <v>46023</v>
      </c>
      <c r="B2" s="2">
        <f>WEEKNUM($A2,B$1)</f>
        <v>1</v>
      </c>
      <c r="C2" s="2">
        <f t="shared" ref="C2:R22" si="0">WEEKNUM($A2,C$1)</f>
        <v>1</v>
      </c>
      <c r="D2" s="2" t="e">
        <f>WEEKNUM($A2,D$1)</f>
        <v>#NUM!</v>
      </c>
      <c r="E2" s="2">
        <f t="shared" si="0"/>
        <v>1</v>
      </c>
      <c r="F2" s="2">
        <f t="shared" si="0"/>
        <v>1</v>
      </c>
      <c r="G2" s="2">
        <f t="shared" si="0"/>
        <v>1</v>
      </c>
      <c r="H2" s="2">
        <f t="shared" si="0"/>
        <v>1</v>
      </c>
      <c r="I2" s="2">
        <f t="shared" si="0"/>
        <v>1</v>
      </c>
      <c r="J2" s="2">
        <f t="shared" si="0"/>
        <v>1</v>
      </c>
      <c r="K2" s="2">
        <f t="shared" si="0"/>
        <v>1</v>
      </c>
      <c r="L2" s="2" t="e">
        <f t="shared" si="0"/>
        <v>#NUM!</v>
      </c>
      <c r="M2" s="2">
        <f t="shared" si="0"/>
        <v>1</v>
      </c>
      <c r="N2" s="2" t="e">
        <f t="shared" si="0"/>
        <v>#NUM!</v>
      </c>
      <c r="O2" s="2" t="e">
        <f>WEEKNUM($A2,O$1)</f>
        <v>#NUM!</v>
      </c>
      <c r="P2" s="2" t="e">
        <f t="shared" si="0"/>
        <v>#VALUE!</v>
      </c>
      <c r="Q2" s="2" t="e">
        <f t="shared" si="0"/>
        <v>#DIV/0!</v>
      </c>
      <c r="R2" s="2" t="e">
        <f t="shared" si="0"/>
        <v>#N/A</v>
      </c>
      <c r="S2" s="2" t="e">
        <f t="shared" ref="S2:T4" si="1">WEEKNUM($A2,S$1)</f>
        <v>#VALUE!</v>
      </c>
      <c r="T2" s="2">
        <f t="shared" si="1"/>
        <v>1</v>
      </c>
      <c r="U2" s="2">
        <f>WEEKNUM($A2)</f>
        <v>1</v>
      </c>
      <c r="V2" s="1" t="s">
        <v>15</v>
      </c>
      <c r="X2" s="2">
        <f t="shared" ref="X2:X18" si="2">_xlfn.ISOWEEKNUM(A2)</f>
        <v>1</v>
      </c>
    </row>
    <row r="3" spans="1:24" x14ac:dyDescent="0.45">
      <c r="A3" s="4">
        <f>DATE(2026,1,7)</f>
        <v>46029</v>
      </c>
      <c r="B3" s="2">
        <f>WEEKNUM($A3,B$1)</f>
        <v>2</v>
      </c>
      <c r="C3" s="2">
        <f t="shared" si="0"/>
        <v>2</v>
      </c>
      <c r="D3" s="2" t="e">
        <f>WEEKNUM($A3,D$1)</f>
        <v>#NUM!</v>
      </c>
      <c r="E3" s="2">
        <f t="shared" si="0"/>
        <v>2</v>
      </c>
      <c r="F3" s="2">
        <f t="shared" si="0"/>
        <v>2</v>
      </c>
      <c r="G3" s="2">
        <f t="shared" si="0"/>
        <v>2</v>
      </c>
      <c r="H3" s="2">
        <f t="shared" si="0"/>
        <v>1</v>
      </c>
      <c r="I3" s="2">
        <f t="shared" si="0"/>
        <v>2</v>
      </c>
      <c r="J3" s="2">
        <f t="shared" si="0"/>
        <v>2</v>
      </c>
      <c r="K3" s="2">
        <f t="shared" si="0"/>
        <v>2</v>
      </c>
      <c r="L3" s="2" t="e">
        <f t="shared" si="0"/>
        <v>#NUM!</v>
      </c>
      <c r="M3" s="2">
        <f t="shared" si="0"/>
        <v>2</v>
      </c>
      <c r="N3" s="2" t="e">
        <f t="shared" si="0"/>
        <v>#NUM!</v>
      </c>
      <c r="O3" s="2" t="e">
        <f>WEEKNUM($A3,O$1)</f>
        <v>#NUM!</v>
      </c>
      <c r="P3" s="2" t="e">
        <f t="shared" si="0"/>
        <v>#VALUE!</v>
      </c>
      <c r="Q3" s="2" t="e">
        <f t="shared" si="0"/>
        <v>#DIV/0!</v>
      </c>
      <c r="R3" s="2" t="e">
        <f t="shared" si="0"/>
        <v>#N/A</v>
      </c>
      <c r="S3" s="2" t="e">
        <f t="shared" si="1"/>
        <v>#VALUE!</v>
      </c>
      <c r="T3" s="2">
        <f t="shared" si="1"/>
        <v>2</v>
      </c>
      <c r="U3" s="2">
        <f>WEEKNUM($A3)</f>
        <v>2</v>
      </c>
      <c r="V3" s="1" t="s">
        <v>16</v>
      </c>
      <c r="X3" s="2">
        <f t="shared" si="2"/>
        <v>2</v>
      </c>
    </row>
    <row r="4" spans="1:24" x14ac:dyDescent="0.45">
      <c r="A4" s="4">
        <f>DATE(1995,7,23)</f>
        <v>34903</v>
      </c>
      <c r="B4" s="2">
        <f>WEEKNUM($A4,B$1)</f>
        <v>30</v>
      </c>
      <c r="C4" s="2">
        <f t="shared" si="0"/>
        <v>30</v>
      </c>
      <c r="D4" s="2" t="e">
        <f>WEEKNUM($A4,D$1)</f>
        <v>#NUM!</v>
      </c>
      <c r="E4" s="2">
        <f t="shared" si="0"/>
        <v>30</v>
      </c>
      <c r="F4" s="2">
        <f t="shared" si="0"/>
        <v>30</v>
      </c>
      <c r="G4" s="2">
        <f t="shared" si="0"/>
        <v>30</v>
      </c>
      <c r="H4" s="2">
        <f t="shared" si="0"/>
        <v>30</v>
      </c>
      <c r="I4" s="2">
        <f t="shared" si="0"/>
        <v>30</v>
      </c>
      <c r="J4" s="2">
        <f t="shared" si="0"/>
        <v>30</v>
      </c>
      <c r="K4" s="2">
        <f t="shared" si="0"/>
        <v>30</v>
      </c>
      <c r="L4" s="2" t="e">
        <f t="shared" si="0"/>
        <v>#NUM!</v>
      </c>
      <c r="M4" s="2">
        <f t="shared" si="0"/>
        <v>29</v>
      </c>
      <c r="N4" s="2" t="e">
        <f t="shared" si="0"/>
        <v>#NUM!</v>
      </c>
      <c r="O4" s="2" t="e">
        <f>WEEKNUM($A4,O$1)</f>
        <v>#NUM!</v>
      </c>
      <c r="P4" s="2" t="e">
        <f t="shared" si="0"/>
        <v>#VALUE!</v>
      </c>
      <c r="Q4" s="2" t="e">
        <f t="shared" si="0"/>
        <v>#DIV/0!</v>
      </c>
      <c r="R4" s="2" t="e">
        <f t="shared" si="0"/>
        <v>#N/A</v>
      </c>
      <c r="S4" s="2" t="e">
        <f t="shared" si="1"/>
        <v>#VALUE!</v>
      </c>
      <c r="T4" s="2">
        <f t="shared" si="1"/>
        <v>30</v>
      </c>
      <c r="U4" s="2">
        <f>WEEKNUM($A4)</f>
        <v>30</v>
      </c>
      <c r="X4" s="2">
        <f t="shared" si="2"/>
        <v>29</v>
      </c>
    </row>
    <row r="5" spans="1:24" x14ac:dyDescent="0.45">
      <c r="A5" s="4">
        <f>DATE(1970,1,1)</f>
        <v>25569</v>
      </c>
      <c r="B5" s="2">
        <f t="shared" ref="B5:R17" si="3">WEEKNUM($A5,B$1)</f>
        <v>1</v>
      </c>
      <c r="C5" s="2">
        <f t="shared" si="0"/>
        <v>1</v>
      </c>
      <c r="D5" s="2" t="e">
        <f>WEEKNUM($A5,D$1)</f>
        <v>#NUM!</v>
      </c>
      <c r="E5" s="2">
        <f t="shared" si="0"/>
        <v>1</v>
      </c>
      <c r="F5" s="2">
        <f t="shared" si="0"/>
        <v>1</v>
      </c>
      <c r="G5" s="2">
        <f t="shared" si="0"/>
        <v>1</v>
      </c>
      <c r="H5" s="2">
        <f t="shared" si="0"/>
        <v>1</v>
      </c>
      <c r="I5" s="2">
        <f t="shared" si="0"/>
        <v>1</v>
      </c>
      <c r="J5" s="2">
        <f t="shared" si="0"/>
        <v>1</v>
      </c>
      <c r="K5" s="2">
        <f t="shared" si="0"/>
        <v>1</v>
      </c>
      <c r="L5" s="2" t="e">
        <f t="shared" si="0"/>
        <v>#NUM!</v>
      </c>
      <c r="M5" s="2">
        <f t="shared" si="0"/>
        <v>1</v>
      </c>
      <c r="N5" s="2" t="e">
        <f t="shared" si="0"/>
        <v>#NUM!</v>
      </c>
      <c r="O5" s="2" t="e">
        <f>WEEKNUM($A5,O$1)</f>
        <v>#NUM!</v>
      </c>
      <c r="P5" s="2" t="e">
        <f t="shared" ref="O5:U22" si="4">WEEKNUM($A5,P$1)</f>
        <v>#VALUE!</v>
      </c>
      <c r="Q5" s="2" t="e">
        <f t="shared" si="4"/>
        <v>#DIV/0!</v>
      </c>
      <c r="R5" s="2" t="e">
        <f t="shared" si="4"/>
        <v>#N/A</v>
      </c>
      <c r="S5" s="2" t="e">
        <f>WEEKNUM($A5,S$1)</f>
        <v>#VALUE!</v>
      </c>
      <c r="T5" s="2">
        <f t="shared" si="4"/>
        <v>1</v>
      </c>
      <c r="U5" s="2">
        <f t="shared" ref="U5:U6" si="5">WEEKNUM($A5)</f>
        <v>1</v>
      </c>
      <c r="X5" s="2">
        <f t="shared" si="2"/>
        <v>1</v>
      </c>
    </row>
    <row r="6" spans="1:24" x14ac:dyDescent="0.45">
      <c r="A6" s="4">
        <f>DATE(2025,30,3)</f>
        <v>46541</v>
      </c>
      <c r="B6" s="2">
        <f t="shared" si="3"/>
        <v>23</v>
      </c>
      <c r="C6" s="2">
        <f t="shared" si="3"/>
        <v>23</v>
      </c>
      <c r="D6" s="2" t="e">
        <f t="shared" si="3"/>
        <v>#NUM!</v>
      </c>
      <c r="E6" s="2">
        <f t="shared" si="3"/>
        <v>23</v>
      </c>
      <c r="F6" s="2">
        <f t="shared" si="3"/>
        <v>23</v>
      </c>
      <c r="G6" s="2">
        <f t="shared" si="3"/>
        <v>23</v>
      </c>
      <c r="H6" s="2">
        <f t="shared" si="3"/>
        <v>23</v>
      </c>
      <c r="I6" s="2">
        <f t="shared" si="3"/>
        <v>22</v>
      </c>
      <c r="J6" s="2">
        <f t="shared" si="3"/>
        <v>23</v>
      </c>
      <c r="K6" s="2">
        <f t="shared" si="3"/>
        <v>23</v>
      </c>
      <c r="L6" s="2" t="e">
        <f t="shared" si="3"/>
        <v>#NUM!</v>
      </c>
      <c r="M6" s="2">
        <f t="shared" si="3"/>
        <v>22</v>
      </c>
      <c r="N6" s="2" t="e">
        <f t="shared" si="3"/>
        <v>#NUM!</v>
      </c>
      <c r="O6" s="2" t="e">
        <f t="shared" si="3"/>
        <v>#NUM!</v>
      </c>
      <c r="P6" s="2" t="e">
        <f t="shared" si="3"/>
        <v>#VALUE!</v>
      </c>
      <c r="Q6" s="2" t="e">
        <f t="shared" si="3"/>
        <v>#DIV/0!</v>
      </c>
      <c r="R6" s="2" t="e">
        <f t="shared" si="3"/>
        <v>#N/A</v>
      </c>
      <c r="S6" s="2" t="e">
        <f t="shared" si="4"/>
        <v>#VALUE!</v>
      </c>
      <c r="T6" s="2">
        <f t="shared" si="4"/>
        <v>23</v>
      </c>
      <c r="U6" s="2">
        <f t="shared" si="5"/>
        <v>23</v>
      </c>
      <c r="X6" s="2">
        <f t="shared" si="2"/>
        <v>22</v>
      </c>
    </row>
    <row r="7" spans="1:24" x14ac:dyDescent="0.45">
      <c r="A7" s="4">
        <f>DATE(2024,2,29)</f>
        <v>45351</v>
      </c>
      <c r="B7" s="2">
        <f t="shared" ref="B7:K8" si="6">WEEKNUM($A7,B$1)</f>
        <v>9</v>
      </c>
      <c r="C7" s="2">
        <f t="shared" si="6"/>
        <v>9</v>
      </c>
      <c r="D7" s="2" t="e">
        <f t="shared" si="6"/>
        <v>#NUM!</v>
      </c>
      <c r="E7" s="2">
        <f t="shared" si="6"/>
        <v>9</v>
      </c>
      <c r="F7" s="2">
        <f t="shared" si="6"/>
        <v>10</v>
      </c>
      <c r="G7" s="2">
        <f t="shared" si="6"/>
        <v>10</v>
      </c>
      <c r="H7" s="2">
        <f t="shared" si="6"/>
        <v>10</v>
      </c>
      <c r="I7" s="2">
        <f t="shared" si="6"/>
        <v>9</v>
      </c>
      <c r="J7" s="2">
        <f t="shared" si="6"/>
        <v>9</v>
      </c>
      <c r="K7" s="2">
        <f t="shared" si="6"/>
        <v>9</v>
      </c>
      <c r="L7" s="2" t="e">
        <f t="shared" si="3"/>
        <v>#NUM!</v>
      </c>
      <c r="M7" s="2">
        <f t="shared" si="3"/>
        <v>9</v>
      </c>
      <c r="N7" s="2" t="e">
        <f t="shared" si="3"/>
        <v>#NUM!</v>
      </c>
      <c r="O7" s="2" t="e">
        <f t="shared" si="3"/>
        <v>#NUM!</v>
      </c>
      <c r="P7" s="2" t="e">
        <f t="shared" si="3"/>
        <v>#VALUE!</v>
      </c>
      <c r="Q7" s="2" t="e">
        <f t="shared" si="3"/>
        <v>#DIV/0!</v>
      </c>
      <c r="R7" s="2" t="e">
        <f t="shared" si="3"/>
        <v>#N/A</v>
      </c>
      <c r="S7" s="2" t="e">
        <f t="shared" si="4"/>
        <v>#VALUE!</v>
      </c>
      <c r="T7" s="2">
        <f t="shared" si="4"/>
        <v>9</v>
      </c>
      <c r="U7" s="2">
        <f>WEEKNUM($A7)</f>
        <v>9</v>
      </c>
      <c r="V7" s="1" t="s">
        <v>17</v>
      </c>
      <c r="X7" s="2">
        <f t="shared" si="2"/>
        <v>9</v>
      </c>
    </row>
    <row r="8" spans="1:24" x14ac:dyDescent="0.45">
      <c r="A8" s="5">
        <f>DATE(9999,12,31)</f>
        <v>2958465</v>
      </c>
      <c r="B8" s="2">
        <f t="shared" si="6"/>
        <v>53</v>
      </c>
      <c r="C8" s="2">
        <f t="shared" si="6"/>
        <v>53</v>
      </c>
      <c r="D8" s="2" t="e">
        <f t="shared" si="6"/>
        <v>#NUM!</v>
      </c>
      <c r="E8" s="2">
        <f t="shared" si="6"/>
        <v>53</v>
      </c>
      <c r="F8" s="2">
        <f t="shared" si="6"/>
        <v>53</v>
      </c>
      <c r="G8" s="2">
        <f t="shared" si="6"/>
        <v>53</v>
      </c>
      <c r="H8" s="2">
        <f t="shared" si="6"/>
        <v>53</v>
      </c>
      <c r="I8" s="2">
        <f t="shared" si="6"/>
        <v>53</v>
      </c>
      <c r="J8" s="2">
        <f t="shared" si="6"/>
        <v>53</v>
      </c>
      <c r="K8" s="2">
        <f t="shared" si="6"/>
        <v>53</v>
      </c>
      <c r="L8" s="2" t="e">
        <f t="shared" si="3"/>
        <v>#NUM!</v>
      </c>
      <c r="M8" s="2">
        <f t="shared" si="3"/>
        <v>52</v>
      </c>
      <c r="N8" s="2" t="e">
        <f t="shared" si="3"/>
        <v>#NUM!</v>
      </c>
      <c r="O8" s="2" t="e">
        <f t="shared" si="3"/>
        <v>#NUM!</v>
      </c>
      <c r="P8" s="2" t="e">
        <f t="shared" si="3"/>
        <v>#VALUE!</v>
      </c>
      <c r="Q8" s="2" t="e">
        <f t="shared" si="3"/>
        <v>#DIV/0!</v>
      </c>
      <c r="R8" s="2" t="e">
        <f t="shared" si="3"/>
        <v>#N/A</v>
      </c>
      <c r="S8" s="2" t="e">
        <f t="shared" si="4"/>
        <v>#VALUE!</v>
      </c>
      <c r="T8" s="2">
        <f t="shared" si="4"/>
        <v>53</v>
      </c>
      <c r="U8" s="2">
        <f>WEEKNUM($A8)</f>
        <v>53</v>
      </c>
      <c r="V8" s="1" t="s">
        <v>1</v>
      </c>
      <c r="X8" s="2">
        <f t="shared" si="2"/>
        <v>52</v>
      </c>
    </row>
    <row r="9" spans="1:24" x14ac:dyDescent="0.45">
      <c r="A9" s="5" t="s">
        <v>2</v>
      </c>
      <c r="B9" s="2" t="e">
        <f t="shared" si="3"/>
        <v>#VALUE!</v>
      </c>
      <c r="C9" s="2" t="e">
        <f t="shared" ref="C9:T11" si="7">WEEKNUM($A9,C$1)</f>
        <v>#VALUE!</v>
      </c>
      <c r="D9" s="2" t="e">
        <f t="shared" si="7"/>
        <v>#VALUE!</v>
      </c>
      <c r="E9" s="2" t="e">
        <f t="shared" si="7"/>
        <v>#VALUE!</v>
      </c>
      <c r="F9" s="2" t="e">
        <f t="shared" si="7"/>
        <v>#VALUE!</v>
      </c>
      <c r="G9" s="2" t="e">
        <f t="shared" si="7"/>
        <v>#VALUE!</v>
      </c>
      <c r="H9" s="2" t="e">
        <f t="shared" si="7"/>
        <v>#VALUE!</v>
      </c>
      <c r="I9" s="2" t="e">
        <f t="shared" si="7"/>
        <v>#VALUE!</v>
      </c>
      <c r="J9" s="2" t="e">
        <f t="shared" si="7"/>
        <v>#VALUE!</v>
      </c>
      <c r="K9" s="2" t="e">
        <f t="shared" si="7"/>
        <v>#VALUE!</v>
      </c>
      <c r="L9" s="2" t="e">
        <f t="shared" si="7"/>
        <v>#VALUE!</v>
      </c>
      <c r="M9" s="2" t="e">
        <f t="shared" si="7"/>
        <v>#VALUE!</v>
      </c>
      <c r="N9" s="2" t="e">
        <f t="shared" si="7"/>
        <v>#VALUE!</v>
      </c>
      <c r="O9" s="2" t="e">
        <f t="shared" si="7"/>
        <v>#VALUE!</v>
      </c>
      <c r="P9" s="2" t="e">
        <f t="shared" si="7"/>
        <v>#VALUE!</v>
      </c>
      <c r="Q9" s="2" t="e">
        <f t="shared" si="7"/>
        <v>#VALUE!</v>
      </c>
      <c r="R9" s="2" t="e">
        <f t="shared" si="7"/>
        <v>#VALUE!</v>
      </c>
      <c r="S9" s="2" t="e">
        <f t="shared" si="7"/>
        <v>#VALUE!</v>
      </c>
      <c r="T9" s="2" t="e">
        <f t="shared" si="7"/>
        <v>#VALUE!</v>
      </c>
      <c r="U9" s="2" t="e">
        <f t="shared" ref="U9:U22" si="8">WEEKNUM($A9)</f>
        <v>#VALUE!</v>
      </c>
      <c r="V9" s="1" t="s">
        <v>3</v>
      </c>
      <c r="X9" s="2" t="e">
        <f t="shared" si="2"/>
        <v>#VALUE!</v>
      </c>
    </row>
    <row r="10" spans="1:24" x14ac:dyDescent="0.45">
      <c r="A10" s="7">
        <v>45667.6875</v>
      </c>
      <c r="B10" s="2">
        <f t="shared" si="3"/>
        <v>2</v>
      </c>
      <c r="C10" s="2">
        <f t="shared" si="3"/>
        <v>2</v>
      </c>
      <c r="D10" s="2" t="e">
        <f t="shared" si="3"/>
        <v>#NUM!</v>
      </c>
      <c r="E10" s="2">
        <f t="shared" si="3"/>
        <v>2</v>
      </c>
      <c r="F10" s="2">
        <f t="shared" si="3"/>
        <v>2</v>
      </c>
      <c r="G10" s="2">
        <f t="shared" si="3"/>
        <v>2</v>
      </c>
      <c r="H10" s="2">
        <f t="shared" si="3"/>
        <v>3</v>
      </c>
      <c r="I10" s="2">
        <f t="shared" si="3"/>
        <v>3</v>
      </c>
      <c r="J10" s="2">
        <f t="shared" si="3"/>
        <v>2</v>
      </c>
      <c r="K10" s="2">
        <f t="shared" si="3"/>
        <v>2</v>
      </c>
      <c r="L10" s="2" t="e">
        <f t="shared" si="3"/>
        <v>#NUM!</v>
      </c>
      <c r="M10" s="2">
        <f t="shared" si="3"/>
        <v>2</v>
      </c>
      <c r="N10" s="2" t="e">
        <f t="shared" si="3"/>
        <v>#NUM!</v>
      </c>
      <c r="O10" s="2" t="e">
        <f t="shared" si="3"/>
        <v>#NUM!</v>
      </c>
      <c r="P10" s="2" t="e">
        <f t="shared" si="3"/>
        <v>#VALUE!</v>
      </c>
      <c r="Q10" s="2" t="e">
        <f t="shared" si="3"/>
        <v>#DIV/0!</v>
      </c>
      <c r="R10" s="2" t="e">
        <f t="shared" si="3"/>
        <v>#N/A</v>
      </c>
      <c r="S10" s="2" t="e">
        <f t="shared" si="7"/>
        <v>#VALUE!</v>
      </c>
      <c r="T10" s="2">
        <f t="shared" si="7"/>
        <v>2</v>
      </c>
      <c r="U10" s="2">
        <f t="shared" si="8"/>
        <v>2</v>
      </c>
      <c r="V10" s="1" t="s">
        <v>18</v>
      </c>
      <c r="X10" s="2">
        <f t="shared" si="2"/>
        <v>2</v>
      </c>
    </row>
    <row r="11" spans="1:24" x14ac:dyDescent="0.45">
      <c r="A11" s="1" t="e">
        <f>1/0</f>
        <v>#DIV/0!</v>
      </c>
      <c r="B11" s="2" t="e">
        <f t="shared" si="3"/>
        <v>#DIV/0!</v>
      </c>
      <c r="C11" s="2" t="e">
        <f t="shared" si="3"/>
        <v>#DIV/0!</v>
      </c>
      <c r="D11" s="2" t="e">
        <f t="shared" si="3"/>
        <v>#DIV/0!</v>
      </c>
      <c r="E11" s="2" t="e">
        <f t="shared" si="3"/>
        <v>#DIV/0!</v>
      </c>
      <c r="F11" s="2" t="e">
        <f t="shared" si="3"/>
        <v>#DIV/0!</v>
      </c>
      <c r="G11" s="2" t="e">
        <f t="shared" si="3"/>
        <v>#DIV/0!</v>
      </c>
      <c r="H11" s="2" t="e">
        <f t="shared" si="3"/>
        <v>#DIV/0!</v>
      </c>
      <c r="I11" s="2" t="e">
        <f t="shared" si="3"/>
        <v>#DIV/0!</v>
      </c>
      <c r="J11" s="2" t="e">
        <f t="shared" si="3"/>
        <v>#DIV/0!</v>
      </c>
      <c r="K11" s="2" t="e">
        <f t="shared" si="3"/>
        <v>#DIV/0!</v>
      </c>
      <c r="L11" s="2" t="e">
        <f t="shared" si="3"/>
        <v>#DIV/0!</v>
      </c>
      <c r="M11" s="2" t="e">
        <f t="shared" si="3"/>
        <v>#DIV/0!</v>
      </c>
      <c r="N11" s="2" t="e">
        <f t="shared" si="3"/>
        <v>#DIV/0!</v>
      </c>
      <c r="O11" s="2" t="e">
        <f t="shared" si="3"/>
        <v>#DIV/0!</v>
      </c>
      <c r="P11" s="2" t="e">
        <f t="shared" si="3"/>
        <v>#DIV/0!</v>
      </c>
      <c r="Q11" s="2" t="e">
        <f t="shared" si="3"/>
        <v>#DIV/0!</v>
      </c>
      <c r="R11" s="2" t="e">
        <f t="shared" si="3"/>
        <v>#DIV/0!</v>
      </c>
      <c r="S11" s="2" t="e">
        <f t="shared" si="7"/>
        <v>#DIV/0!</v>
      </c>
      <c r="T11" s="2" t="e">
        <f t="shared" si="7"/>
        <v>#DIV/0!</v>
      </c>
      <c r="U11" s="2" t="e">
        <f t="shared" si="8"/>
        <v>#DIV/0!</v>
      </c>
      <c r="V11" s="1" t="s">
        <v>4</v>
      </c>
      <c r="X11" s="2" t="e">
        <f t="shared" si="2"/>
        <v>#DIV/0!</v>
      </c>
    </row>
    <row r="12" spans="1:24" x14ac:dyDescent="0.45">
      <c r="A12" s="1" t="e">
        <f>NA()</f>
        <v>#N/A</v>
      </c>
      <c r="B12" s="2" t="e">
        <f t="shared" si="3"/>
        <v>#N/A</v>
      </c>
      <c r="C12" s="2" t="e">
        <f t="shared" ref="C12:T13" si="9">WEEKNUM($A12,C$1)</f>
        <v>#N/A</v>
      </c>
      <c r="D12" s="2" t="e">
        <f t="shared" si="9"/>
        <v>#N/A</v>
      </c>
      <c r="E12" s="2" t="e">
        <f t="shared" si="9"/>
        <v>#N/A</v>
      </c>
      <c r="F12" s="2" t="e">
        <f t="shared" si="9"/>
        <v>#N/A</v>
      </c>
      <c r="G12" s="2" t="e">
        <f t="shared" si="9"/>
        <v>#N/A</v>
      </c>
      <c r="H12" s="2" t="e">
        <f t="shared" si="9"/>
        <v>#N/A</v>
      </c>
      <c r="I12" s="2" t="e">
        <f t="shared" si="9"/>
        <v>#N/A</v>
      </c>
      <c r="J12" s="2" t="e">
        <f t="shared" si="9"/>
        <v>#N/A</v>
      </c>
      <c r="K12" s="2" t="e">
        <f t="shared" si="9"/>
        <v>#N/A</v>
      </c>
      <c r="L12" s="2" t="e">
        <f t="shared" si="9"/>
        <v>#N/A</v>
      </c>
      <c r="M12" s="2" t="e">
        <f t="shared" si="9"/>
        <v>#N/A</v>
      </c>
      <c r="N12" s="2" t="e">
        <f t="shared" si="9"/>
        <v>#N/A</v>
      </c>
      <c r="O12" s="2" t="e">
        <f t="shared" si="9"/>
        <v>#N/A</v>
      </c>
      <c r="P12" s="2" t="e">
        <f t="shared" si="9"/>
        <v>#N/A</v>
      </c>
      <c r="Q12" s="2" t="e">
        <f t="shared" si="9"/>
        <v>#N/A</v>
      </c>
      <c r="R12" s="2" t="e">
        <f t="shared" si="9"/>
        <v>#N/A</v>
      </c>
      <c r="S12" s="2" t="e">
        <f t="shared" si="9"/>
        <v>#N/A</v>
      </c>
      <c r="T12" s="2" t="e">
        <f t="shared" si="9"/>
        <v>#N/A</v>
      </c>
      <c r="U12" s="2" t="e">
        <f t="shared" si="8"/>
        <v>#N/A</v>
      </c>
      <c r="V12" s="1" t="s">
        <v>4</v>
      </c>
      <c r="X12" s="2" t="e">
        <f t="shared" si="2"/>
        <v>#N/A</v>
      </c>
    </row>
    <row r="13" spans="1:24" x14ac:dyDescent="0.45">
      <c r="A13" s="1" t="b">
        <v>1</v>
      </c>
      <c r="B13" s="2" t="e">
        <f t="shared" si="3"/>
        <v>#VALUE!</v>
      </c>
      <c r="C13" s="2" t="e">
        <f t="shared" si="9"/>
        <v>#VALUE!</v>
      </c>
      <c r="D13" s="2" t="e">
        <f t="shared" si="9"/>
        <v>#VALUE!</v>
      </c>
      <c r="E13" s="2" t="e">
        <f t="shared" si="9"/>
        <v>#VALUE!</v>
      </c>
      <c r="F13" s="2" t="e">
        <f t="shared" si="9"/>
        <v>#VALUE!</v>
      </c>
      <c r="G13" s="2" t="e">
        <f t="shared" si="9"/>
        <v>#VALUE!</v>
      </c>
      <c r="H13" s="2" t="e">
        <f t="shared" si="9"/>
        <v>#VALUE!</v>
      </c>
      <c r="I13" s="2" t="e">
        <f t="shared" si="9"/>
        <v>#VALUE!</v>
      </c>
      <c r="J13" s="2" t="e">
        <f t="shared" si="9"/>
        <v>#VALUE!</v>
      </c>
      <c r="K13" s="2" t="e">
        <f t="shared" si="9"/>
        <v>#VALUE!</v>
      </c>
      <c r="L13" s="2" t="e">
        <f t="shared" si="9"/>
        <v>#VALUE!</v>
      </c>
      <c r="M13" s="2" t="e">
        <f t="shared" si="9"/>
        <v>#VALUE!</v>
      </c>
      <c r="N13" s="2" t="e">
        <f t="shared" si="9"/>
        <v>#VALUE!</v>
      </c>
      <c r="O13" s="2" t="e">
        <f t="shared" si="9"/>
        <v>#VALUE!</v>
      </c>
      <c r="P13" s="2" t="e">
        <f t="shared" si="9"/>
        <v>#VALUE!</v>
      </c>
      <c r="Q13" s="2" t="e">
        <f t="shared" si="9"/>
        <v>#VALUE!</v>
      </c>
      <c r="R13" s="2" t="e">
        <f t="shared" si="9"/>
        <v>#VALUE!</v>
      </c>
      <c r="S13" s="2" t="e">
        <f t="shared" si="9"/>
        <v>#VALUE!</v>
      </c>
      <c r="T13" s="2" t="e">
        <f t="shared" si="9"/>
        <v>#VALUE!</v>
      </c>
      <c r="U13" s="2" t="e">
        <f t="shared" si="8"/>
        <v>#VALUE!</v>
      </c>
      <c r="V13" s="1" t="s">
        <v>12</v>
      </c>
      <c r="X13" s="2">
        <f t="shared" si="2"/>
        <v>52</v>
      </c>
    </row>
    <row r="14" spans="1:24" x14ac:dyDescent="0.45">
      <c r="A14" s="1">
        <v>-1</v>
      </c>
      <c r="B14" s="2" t="e">
        <f t="shared" si="3"/>
        <v>#NUM!</v>
      </c>
      <c r="C14" s="2" t="e">
        <f t="shared" si="0"/>
        <v>#NUM!</v>
      </c>
      <c r="D14" s="2" t="e">
        <f t="shared" si="0"/>
        <v>#NUM!</v>
      </c>
      <c r="E14" s="2" t="e">
        <f t="shared" si="0"/>
        <v>#NUM!</v>
      </c>
      <c r="F14" s="2" t="e">
        <f t="shared" si="0"/>
        <v>#NUM!</v>
      </c>
      <c r="G14" s="2" t="e">
        <f t="shared" si="0"/>
        <v>#NUM!</v>
      </c>
      <c r="H14" s="2" t="e">
        <f t="shared" si="0"/>
        <v>#NUM!</v>
      </c>
      <c r="I14" s="2" t="e">
        <f t="shared" si="0"/>
        <v>#NUM!</v>
      </c>
      <c r="J14" s="2" t="e">
        <f t="shared" si="0"/>
        <v>#NUM!</v>
      </c>
      <c r="K14" s="2" t="e">
        <f t="shared" si="0"/>
        <v>#NUM!</v>
      </c>
      <c r="L14" s="2" t="e">
        <f t="shared" si="0"/>
        <v>#NUM!</v>
      </c>
      <c r="M14" s="2" t="e">
        <f t="shared" si="0"/>
        <v>#NUM!</v>
      </c>
      <c r="N14" s="2" t="e">
        <f t="shared" si="0"/>
        <v>#NUM!</v>
      </c>
      <c r="O14" s="2" t="e">
        <f t="shared" si="4"/>
        <v>#NUM!</v>
      </c>
      <c r="P14" s="2" t="e">
        <f t="shared" si="4"/>
        <v>#NUM!</v>
      </c>
      <c r="Q14" s="2" t="e">
        <f t="shared" si="4"/>
        <v>#NUM!</v>
      </c>
      <c r="R14" s="2" t="e">
        <f t="shared" si="4"/>
        <v>#NUM!</v>
      </c>
      <c r="S14" s="2" t="e">
        <f t="shared" si="4"/>
        <v>#NUM!</v>
      </c>
      <c r="T14" s="2" t="e">
        <f t="shared" si="4"/>
        <v>#NUM!</v>
      </c>
      <c r="U14" s="2" t="e">
        <f t="shared" si="4"/>
        <v>#NUM!</v>
      </c>
      <c r="V14" s="1" t="s">
        <v>7</v>
      </c>
      <c r="X14" s="2" t="e">
        <f t="shared" si="2"/>
        <v>#NUM!</v>
      </c>
    </row>
    <row r="15" spans="1:24" x14ac:dyDescent="0.45">
      <c r="A15" s="1">
        <v>444</v>
      </c>
      <c r="B15" s="2">
        <f t="shared" si="3"/>
        <v>12</v>
      </c>
      <c r="C15" s="2">
        <f t="shared" si="0"/>
        <v>12</v>
      </c>
      <c r="D15" s="2" t="e">
        <f t="shared" si="0"/>
        <v>#NUM!</v>
      </c>
      <c r="E15" s="2">
        <f t="shared" si="0"/>
        <v>12</v>
      </c>
      <c r="F15" s="2">
        <f t="shared" si="0"/>
        <v>12</v>
      </c>
      <c r="G15" s="2">
        <f t="shared" si="0"/>
        <v>12</v>
      </c>
      <c r="H15" s="2">
        <f t="shared" si="0"/>
        <v>12</v>
      </c>
      <c r="I15" s="2">
        <f t="shared" si="0"/>
        <v>12</v>
      </c>
      <c r="J15" s="2">
        <f t="shared" si="0"/>
        <v>12</v>
      </c>
      <c r="K15" s="2">
        <f t="shared" si="0"/>
        <v>12</v>
      </c>
      <c r="L15" s="2" t="e">
        <f t="shared" si="0"/>
        <v>#NUM!</v>
      </c>
      <c r="M15" s="2">
        <f t="shared" si="0"/>
        <v>12</v>
      </c>
      <c r="N15" s="2" t="e">
        <f t="shared" si="0"/>
        <v>#NUM!</v>
      </c>
      <c r="O15" s="2" t="e">
        <f t="shared" si="4"/>
        <v>#NUM!</v>
      </c>
      <c r="P15" s="2" t="e">
        <f t="shared" si="4"/>
        <v>#VALUE!</v>
      </c>
      <c r="Q15" s="2" t="e">
        <f t="shared" si="4"/>
        <v>#DIV/0!</v>
      </c>
      <c r="R15" s="2" t="e">
        <f t="shared" si="4"/>
        <v>#N/A</v>
      </c>
      <c r="S15" s="2" t="e">
        <f t="shared" si="4"/>
        <v>#VALUE!</v>
      </c>
      <c r="T15" s="2">
        <f t="shared" si="4"/>
        <v>12</v>
      </c>
      <c r="U15" s="2">
        <f t="shared" si="8"/>
        <v>12</v>
      </c>
      <c r="X15" s="2">
        <f t="shared" si="2"/>
        <v>12</v>
      </c>
    </row>
    <row r="16" spans="1:24" x14ac:dyDescent="0.45">
      <c r="A16" s="1">
        <v>444.23</v>
      </c>
      <c r="B16" s="2">
        <f t="shared" si="3"/>
        <v>12</v>
      </c>
      <c r="C16" s="2">
        <f t="shared" si="0"/>
        <v>12</v>
      </c>
      <c r="D16" s="2" t="e">
        <f t="shared" si="0"/>
        <v>#NUM!</v>
      </c>
      <c r="E16" s="2">
        <f t="shared" si="0"/>
        <v>12</v>
      </c>
      <c r="F16" s="2">
        <f t="shared" si="0"/>
        <v>12</v>
      </c>
      <c r="G16" s="2">
        <f t="shared" si="0"/>
        <v>12</v>
      </c>
      <c r="H16" s="2">
        <f t="shared" si="0"/>
        <v>12</v>
      </c>
      <c r="I16" s="2">
        <f t="shared" si="0"/>
        <v>12</v>
      </c>
      <c r="J16" s="2">
        <f t="shared" si="0"/>
        <v>12</v>
      </c>
      <c r="K16" s="2">
        <f t="shared" si="0"/>
        <v>12</v>
      </c>
      <c r="L16" s="2" t="e">
        <f t="shared" si="0"/>
        <v>#NUM!</v>
      </c>
      <c r="M16" s="2">
        <f t="shared" si="0"/>
        <v>12</v>
      </c>
      <c r="N16" s="2" t="e">
        <f t="shared" si="0"/>
        <v>#NUM!</v>
      </c>
      <c r="O16" s="2" t="e">
        <f t="shared" si="4"/>
        <v>#NUM!</v>
      </c>
      <c r="P16" s="2" t="e">
        <f t="shared" si="4"/>
        <v>#VALUE!</v>
      </c>
      <c r="Q16" s="2" t="e">
        <f t="shared" si="4"/>
        <v>#DIV/0!</v>
      </c>
      <c r="R16" s="2" t="e">
        <f t="shared" si="4"/>
        <v>#N/A</v>
      </c>
      <c r="S16" s="2" t="e">
        <f t="shared" si="4"/>
        <v>#VALUE!</v>
      </c>
      <c r="T16" s="2">
        <f t="shared" si="4"/>
        <v>12</v>
      </c>
      <c r="U16" s="2">
        <f t="shared" si="8"/>
        <v>12</v>
      </c>
      <c r="V16" s="1" t="s">
        <v>9</v>
      </c>
      <c r="X16" s="2">
        <f t="shared" si="2"/>
        <v>12</v>
      </c>
    </row>
    <row r="17" spans="1:24" x14ac:dyDescent="0.45">
      <c r="A17" s="3" t="s">
        <v>29</v>
      </c>
      <c r="B17" s="2">
        <f t="shared" si="3"/>
        <v>12</v>
      </c>
      <c r="C17" s="2">
        <f t="shared" si="0"/>
        <v>12</v>
      </c>
      <c r="D17" s="2" t="e">
        <f t="shared" si="0"/>
        <v>#NUM!</v>
      </c>
      <c r="E17" s="2">
        <f t="shared" si="0"/>
        <v>12</v>
      </c>
      <c r="F17" s="2">
        <f t="shared" si="0"/>
        <v>12</v>
      </c>
      <c r="G17" s="2">
        <f t="shared" si="0"/>
        <v>12</v>
      </c>
      <c r="H17" s="2">
        <f t="shared" si="0"/>
        <v>12</v>
      </c>
      <c r="I17" s="2">
        <f t="shared" si="0"/>
        <v>12</v>
      </c>
      <c r="J17" s="2">
        <f t="shared" si="0"/>
        <v>12</v>
      </c>
      <c r="K17" s="2">
        <f t="shared" si="0"/>
        <v>12</v>
      </c>
      <c r="L17" s="2" t="e">
        <f t="shared" si="0"/>
        <v>#NUM!</v>
      </c>
      <c r="M17" s="2">
        <f t="shared" si="0"/>
        <v>12</v>
      </c>
      <c r="N17" s="2" t="e">
        <f t="shared" si="0"/>
        <v>#NUM!</v>
      </c>
      <c r="O17" s="2" t="e">
        <f t="shared" si="4"/>
        <v>#NUM!</v>
      </c>
      <c r="P17" s="2" t="e">
        <f t="shared" si="4"/>
        <v>#VALUE!</v>
      </c>
      <c r="Q17" s="2" t="e">
        <f t="shared" si="4"/>
        <v>#DIV/0!</v>
      </c>
      <c r="R17" s="2" t="e">
        <f t="shared" si="4"/>
        <v>#N/A</v>
      </c>
      <c r="S17" s="2" t="e">
        <f t="shared" si="4"/>
        <v>#VALUE!</v>
      </c>
      <c r="T17" s="2">
        <f t="shared" si="4"/>
        <v>12</v>
      </c>
      <c r="U17" s="2">
        <f t="shared" si="8"/>
        <v>12</v>
      </c>
      <c r="V17" s="1" t="s">
        <v>24</v>
      </c>
      <c r="X17" s="2">
        <f t="shared" si="2"/>
        <v>12</v>
      </c>
    </row>
    <row r="18" spans="1:24" x14ac:dyDescent="0.45">
      <c r="A18" s="1" t="s">
        <v>0</v>
      </c>
      <c r="B18" s="2" t="e">
        <f>WEEKNUM($A18,B$1)</f>
        <v>#VALUE!</v>
      </c>
      <c r="C18" s="2" t="e">
        <f t="shared" ref="C18:L18" si="10">WEEKNUM($A18,C$1)</f>
        <v>#VALUE!</v>
      </c>
      <c r="D18" s="2" t="e">
        <f t="shared" si="10"/>
        <v>#VALUE!</v>
      </c>
      <c r="E18" s="2" t="e">
        <f t="shared" si="10"/>
        <v>#VALUE!</v>
      </c>
      <c r="F18" s="2" t="e">
        <f t="shared" si="10"/>
        <v>#VALUE!</v>
      </c>
      <c r="G18" s="2" t="e">
        <f t="shared" si="10"/>
        <v>#VALUE!</v>
      </c>
      <c r="H18" s="2" t="e">
        <f t="shared" si="10"/>
        <v>#VALUE!</v>
      </c>
      <c r="I18" s="2" t="e">
        <f t="shared" si="10"/>
        <v>#VALUE!</v>
      </c>
      <c r="J18" s="2" t="e">
        <f t="shared" si="10"/>
        <v>#VALUE!</v>
      </c>
      <c r="K18" s="2" t="e">
        <f t="shared" si="10"/>
        <v>#VALUE!</v>
      </c>
      <c r="L18" s="2" t="e">
        <f t="shared" si="10"/>
        <v>#VALUE!</v>
      </c>
      <c r="M18" s="2" t="e">
        <f t="shared" si="0"/>
        <v>#VALUE!</v>
      </c>
      <c r="N18" s="2" t="e">
        <f t="shared" si="0"/>
        <v>#VALUE!</v>
      </c>
      <c r="O18" s="2" t="e">
        <f t="shared" si="0"/>
        <v>#VALUE!</v>
      </c>
      <c r="P18" s="2" t="e">
        <f t="shared" si="0"/>
        <v>#VALUE!</v>
      </c>
      <c r="Q18" s="2" t="e">
        <f t="shared" si="0"/>
        <v>#VALUE!</v>
      </c>
      <c r="R18" s="2" t="e">
        <f t="shared" si="0"/>
        <v>#VALUE!</v>
      </c>
      <c r="S18" s="2" t="e">
        <f t="shared" si="4"/>
        <v>#VALUE!</v>
      </c>
      <c r="T18" s="2" t="e">
        <f t="shared" si="4"/>
        <v>#VALUE!</v>
      </c>
      <c r="U18" s="2" t="e">
        <f t="shared" si="8"/>
        <v>#VALUE!</v>
      </c>
      <c r="V18" s="1" t="s">
        <v>25</v>
      </c>
      <c r="X18" s="2" t="e">
        <f t="shared" si="2"/>
        <v>#VALUE!</v>
      </c>
    </row>
    <row r="19" spans="1:24" x14ac:dyDescent="0.45">
      <c r="A19" s="3" t="s">
        <v>28</v>
      </c>
      <c r="B19" s="2" t="e">
        <f t="shared" ref="B19:B22" si="11">WEEKNUM($A19,B$1)</f>
        <v>#VALUE!</v>
      </c>
      <c r="C19" s="2" t="e">
        <f t="shared" si="0"/>
        <v>#VALUE!</v>
      </c>
      <c r="D19" s="2" t="e">
        <f t="shared" si="0"/>
        <v>#VALUE!</v>
      </c>
      <c r="E19" s="2" t="e">
        <f t="shared" si="0"/>
        <v>#VALUE!</v>
      </c>
      <c r="F19" s="2" t="e">
        <f t="shared" si="0"/>
        <v>#VALUE!</v>
      </c>
      <c r="G19" s="2" t="e">
        <f t="shared" si="0"/>
        <v>#VALUE!</v>
      </c>
      <c r="H19" s="2" t="e">
        <f t="shared" si="0"/>
        <v>#VALUE!</v>
      </c>
      <c r="I19" s="2" t="e">
        <f t="shared" si="0"/>
        <v>#VALUE!</v>
      </c>
      <c r="J19" s="2" t="e">
        <f t="shared" si="0"/>
        <v>#VALUE!</v>
      </c>
      <c r="K19" s="2" t="e">
        <f t="shared" si="0"/>
        <v>#VALUE!</v>
      </c>
      <c r="L19" s="2" t="e">
        <f t="shared" si="0"/>
        <v>#VALUE!</v>
      </c>
      <c r="M19" s="2" t="e">
        <f t="shared" si="0"/>
        <v>#VALUE!</v>
      </c>
      <c r="N19" s="2" t="e">
        <f t="shared" si="0"/>
        <v>#VALUE!</v>
      </c>
      <c r="O19" s="2" t="e">
        <f t="shared" si="4"/>
        <v>#VALUE!</v>
      </c>
      <c r="P19" s="2" t="e">
        <f t="shared" si="4"/>
        <v>#VALUE!</v>
      </c>
      <c r="Q19" s="2" t="e">
        <f t="shared" si="4"/>
        <v>#VALUE!</v>
      </c>
      <c r="R19" s="2" t="e">
        <f t="shared" si="4"/>
        <v>#VALUE!</v>
      </c>
      <c r="S19" s="2" t="e">
        <f t="shared" si="4"/>
        <v>#VALUE!</v>
      </c>
      <c r="T19" s="2" t="e">
        <f t="shared" si="4"/>
        <v>#VALUE!</v>
      </c>
      <c r="U19" s="2" t="e">
        <f t="shared" si="8"/>
        <v>#VALUE!</v>
      </c>
      <c r="V19" s="1" t="s">
        <v>19</v>
      </c>
      <c r="X19" s="2" t="e">
        <f t="shared" ref="X19:X21" si="12">_xlfn.ISOWEEKNUM(A19)</f>
        <v>#VALUE!</v>
      </c>
    </row>
    <row r="20" spans="1:24" x14ac:dyDescent="0.45">
      <c r="A20" s="3" t="s">
        <v>20</v>
      </c>
      <c r="B20" s="2" t="e">
        <f t="shared" si="11"/>
        <v>#VALUE!</v>
      </c>
      <c r="C20" s="2" t="e">
        <f t="shared" si="0"/>
        <v>#VALUE!</v>
      </c>
      <c r="D20" s="2" t="e">
        <f t="shared" si="0"/>
        <v>#VALUE!</v>
      </c>
      <c r="E20" s="2" t="e">
        <f t="shared" si="0"/>
        <v>#VALUE!</v>
      </c>
      <c r="F20" s="2" t="e">
        <f t="shared" si="0"/>
        <v>#VALUE!</v>
      </c>
      <c r="G20" s="2" t="e">
        <f t="shared" si="0"/>
        <v>#VALUE!</v>
      </c>
      <c r="H20" s="2" t="e">
        <f t="shared" si="0"/>
        <v>#VALUE!</v>
      </c>
      <c r="I20" s="2" t="e">
        <f t="shared" si="0"/>
        <v>#VALUE!</v>
      </c>
      <c r="J20" s="2" t="e">
        <f t="shared" si="0"/>
        <v>#VALUE!</v>
      </c>
      <c r="K20" s="2" t="e">
        <f t="shared" si="0"/>
        <v>#VALUE!</v>
      </c>
      <c r="L20" s="2" t="e">
        <f t="shared" si="0"/>
        <v>#VALUE!</v>
      </c>
      <c r="M20" s="2" t="e">
        <f t="shared" si="0"/>
        <v>#VALUE!</v>
      </c>
      <c r="N20" s="2" t="e">
        <f t="shared" si="0"/>
        <v>#VALUE!</v>
      </c>
      <c r="O20" s="2" t="e">
        <f t="shared" si="4"/>
        <v>#VALUE!</v>
      </c>
      <c r="P20" s="2" t="e">
        <f t="shared" si="4"/>
        <v>#VALUE!</v>
      </c>
      <c r="Q20" s="2" t="e">
        <f t="shared" si="4"/>
        <v>#VALUE!</v>
      </c>
      <c r="R20" s="2" t="e">
        <f t="shared" si="4"/>
        <v>#VALUE!</v>
      </c>
      <c r="S20" s="2" t="e">
        <f t="shared" si="4"/>
        <v>#VALUE!</v>
      </c>
      <c r="T20" s="2" t="e">
        <f t="shared" si="4"/>
        <v>#VALUE!</v>
      </c>
      <c r="U20" s="2" t="e">
        <f t="shared" si="8"/>
        <v>#VALUE!</v>
      </c>
      <c r="V20" s="1" t="s">
        <v>21</v>
      </c>
      <c r="X20" s="2" t="e">
        <f t="shared" si="12"/>
        <v>#VALUE!</v>
      </c>
    </row>
    <row r="21" spans="1:24" x14ac:dyDescent="0.45">
      <c r="A21" s="3" t="s">
        <v>22</v>
      </c>
      <c r="B21" s="2" t="e">
        <f t="shared" si="11"/>
        <v>#VALUE!</v>
      </c>
      <c r="C21" s="2" t="e">
        <f t="shared" si="0"/>
        <v>#VALUE!</v>
      </c>
      <c r="D21" s="2" t="e">
        <f t="shared" si="0"/>
        <v>#VALUE!</v>
      </c>
      <c r="E21" s="2" t="e">
        <f t="shared" si="0"/>
        <v>#VALUE!</v>
      </c>
      <c r="F21" s="2" t="e">
        <f t="shared" si="0"/>
        <v>#VALUE!</v>
      </c>
      <c r="G21" s="2" t="e">
        <f t="shared" si="0"/>
        <v>#VALUE!</v>
      </c>
      <c r="H21" s="2" t="e">
        <f t="shared" si="0"/>
        <v>#VALUE!</v>
      </c>
      <c r="I21" s="2" t="e">
        <f t="shared" si="0"/>
        <v>#VALUE!</v>
      </c>
      <c r="J21" s="2" t="e">
        <f t="shared" si="0"/>
        <v>#VALUE!</v>
      </c>
      <c r="K21" s="2" t="e">
        <f t="shared" si="0"/>
        <v>#VALUE!</v>
      </c>
      <c r="L21" s="2" t="e">
        <f t="shared" si="0"/>
        <v>#VALUE!</v>
      </c>
      <c r="M21" s="2" t="e">
        <f t="shared" si="0"/>
        <v>#VALUE!</v>
      </c>
      <c r="N21" s="2" t="e">
        <f t="shared" si="0"/>
        <v>#VALUE!</v>
      </c>
      <c r="O21" s="2" t="e">
        <f t="shared" si="4"/>
        <v>#VALUE!</v>
      </c>
      <c r="P21" s="2" t="e">
        <f t="shared" si="4"/>
        <v>#VALUE!</v>
      </c>
      <c r="Q21" s="2" t="e">
        <f t="shared" si="4"/>
        <v>#VALUE!</v>
      </c>
      <c r="R21" s="2" t="e">
        <f t="shared" si="4"/>
        <v>#VALUE!</v>
      </c>
      <c r="S21" s="2" t="e">
        <f t="shared" si="4"/>
        <v>#VALUE!</v>
      </c>
      <c r="T21" s="2" t="e">
        <f t="shared" si="4"/>
        <v>#VALUE!</v>
      </c>
      <c r="U21" s="2" t="e">
        <f t="shared" si="8"/>
        <v>#VALUE!</v>
      </c>
      <c r="V21" s="1" t="s">
        <v>23</v>
      </c>
      <c r="X21" s="2" t="e">
        <f t="shared" si="12"/>
        <v>#VALUE!</v>
      </c>
    </row>
    <row r="22" spans="1:24" x14ac:dyDescent="0.45">
      <c r="A22" s="1">
        <v>44561</v>
      </c>
      <c r="B22" s="2">
        <f t="shared" si="11"/>
        <v>53</v>
      </c>
      <c r="C22" s="2">
        <f t="shared" si="0"/>
        <v>53</v>
      </c>
      <c r="D22" s="2" t="e">
        <f t="shared" si="0"/>
        <v>#NUM!</v>
      </c>
      <c r="E22" s="2">
        <f t="shared" si="0"/>
        <v>53</v>
      </c>
      <c r="F22" s="2">
        <f t="shared" si="0"/>
        <v>53</v>
      </c>
      <c r="G22" s="2">
        <f t="shared" si="0"/>
        <v>53</v>
      </c>
      <c r="H22" s="2">
        <f t="shared" si="0"/>
        <v>53</v>
      </c>
      <c r="I22" s="2">
        <f t="shared" si="0"/>
        <v>53</v>
      </c>
      <c r="J22" s="2">
        <f t="shared" si="0"/>
        <v>53</v>
      </c>
      <c r="K22" s="2">
        <f t="shared" si="0"/>
        <v>53</v>
      </c>
      <c r="L22" s="2" t="e">
        <f t="shared" si="0"/>
        <v>#NUM!</v>
      </c>
      <c r="M22" s="2">
        <f t="shared" si="0"/>
        <v>52</v>
      </c>
      <c r="N22" s="2" t="e">
        <f t="shared" si="0"/>
        <v>#NUM!</v>
      </c>
      <c r="O22" s="2" t="e">
        <f t="shared" si="4"/>
        <v>#NUM!</v>
      </c>
      <c r="P22" s="2" t="e">
        <f t="shared" si="4"/>
        <v>#VALUE!</v>
      </c>
      <c r="Q22" s="2" t="e">
        <f t="shared" si="4"/>
        <v>#DIV/0!</v>
      </c>
      <c r="R22" s="2" t="e">
        <f t="shared" si="4"/>
        <v>#N/A</v>
      </c>
      <c r="S22" s="2" t="e">
        <f t="shared" si="4"/>
        <v>#VALUE!</v>
      </c>
      <c r="T22" s="2">
        <f t="shared" si="4"/>
        <v>53</v>
      </c>
      <c r="U22" s="2">
        <f t="shared" si="8"/>
        <v>53</v>
      </c>
      <c r="X22" s="2"/>
    </row>
    <row r="23" spans="1:24" x14ac:dyDescent="0.45">
      <c r="N23" s="1" t="s">
        <v>5</v>
      </c>
      <c r="O23" s="1" t="s">
        <v>6</v>
      </c>
      <c r="P23" s="1" t="s">
        <v>11</v>
      </c>
      <c r="Q23" s="1" t="s">
        <v>4</v>
      </c>
      <c r="R23" s="1" t="s">
        <v>4</v>
      </c>
      <c r="S23" s="1" t="s">
        <v>12</v>
      </c>
      <c r="T23" s="1" t="s">
        <v>13</v>
      </c>
      <c r="U23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WEEKDAY</vt:lpstr>
      <vt:lpstr>WEEKNUM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microsoft-image@theuniverse.today</dc:creator>
  <cp:keywords/>
  <dc:description/>
  <cp:lastModifiedBy>Elsa Minsut</cp:lastModifiedBy>
  <cp:revision/>
  <dcterms:created xsi:type="dcterms:W3CDTF">2025-09-23T21:23:01Z</dcterms:created>
  <dcterms:modified xsi:type="dcterms:W3CDTF">2026-10-11T22:19:56Z</dcterms:modified>
  <cp:category/>
  <cp:contentStatus/>
</cp:coreProperties>
</file>