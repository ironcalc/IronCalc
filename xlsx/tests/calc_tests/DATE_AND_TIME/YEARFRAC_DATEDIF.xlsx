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25"/>
  <workbookPr filterPrivacy="1"/>
  <xr:revisionPtr revIDLastSave="0" documentId="8_{37FCA964-F1CF-4BD2-91B4-43C6D931A15A}" xr6:coauthVersionLast="47" xr6:coauthVersionMax="47" xr10:uidLastSave="{00000000-0000-0000-0000-000000000000}"/>
  <bookViews>
    <workbookView xWindow="0" yWindow="500" windowWidth="33600" windowHeight="18800" xr2:uid="{00000000-000D-0000-FFFF-FFFF00000000}"/>
  </bookViews>
  <sheets>
    <sheet name="YEARFRAC_DATEDIF" sheetId="3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3" l="1"/>
  <c r="B31" i="3"/>
  <c r="A32" i="3"/>
  <c r="A31" i="3"/>
  <c r="H14" i="3"/>
  <c r="G14" i="3" s="1"/>
  <c r="G13" i="3"/>
  <c r="C13" i="3"/>
  <c r="D13" i="3"/>
  <c r="C12" i="3"/>
  <c r="D12" i="3"/>
  <c r="K10" i="3"/>
  <c r="K11" i="3"/>
  <c r="K12" i="3"/>
  <c r="K13" i="3"/>
  <c r="K14" i="3"/>
  <c r="K8" i="3"/>
  <c r="K9" i="3"/>
  <c r="K2" i="3"/>
  <c r="K3" i="3"/>
  <c r="K4" i="3"/>
  <c r="G10" i="3"/>
  <c r="G12" i="3"/>
  <c r="C10" i="3"/>
  <c r="D10" i="3"/>
  <c r="C9" i="3"/>
  <c r="D9" i="3"/>
  <c r="C8" i="3"/>
  <c r="D8" i="3"/>
  <c r="C34" i="3"/>
  <c r="D34" i="3"/>
  <c r="C35" i="3"/>
  <c r="D35" i="3"/>
  <c r="C18" i="3"/>
  <c r="D18" i="3"/>
  <c r="C19" i="3"/>
  <c r="D19" i="3"/>
  <c r="C17" i="3"/>
  <c r="D17" i="3"/>
  <c r="G3" i="3"/>
  <c r="G4" i="3"/>
  <c r="G5" i="3"/>
  <c r="G6" i="3"/>
  <c r="G7" i="3"/>
  <c r="G8" i="3"/>
  <c r="G9" i="3"/>
  <c r="G11" i="3"/>
  <c r="G2" i="3"/>
  <c r="A29" i="3"/>
  <c r="A28" i="3"/>
  <c r="A27" i="3" a="1"/>
  <c r="A27" i="3" s="1"/>
  <c r="A26" i="3"/>
  <c r="C11" i="3"/>
  <c r="D11" i="3"/>
  <c r="D42" i="3"/>
  <c r="C42" i="3"/>
  <c r="D41" i="3"/>
  <c r="C41" i="3"/>
  <c r="L15" i="3"/>
  <c r="K15" i="3" s="1"/>
  <c r="K6" i="3"/>
  <c r="K7" i="3"/>
  <c r="K5" i="3"/>
  <c r="D3" i="3"/>
  <c r="D4" i="3"/>
  <c r="D5" i="3"/>
  <c r="D7" i="3"/>
  <c r="D14" i="3"/>
  <c r="D15" i="3"/>
  <c r="D16" i="3"/>
  <c r="D20" i="3"/>
  <c r="D21" i="3"/>
  <c r="D22" i="3"/>
  <c r="D30" i="3"/>
  <c r="D33" i="3"/>
  <c r="D36" i="3"/>
  <c r="D37" i="3"/>
  <c r="D38" i="3"/>
  <c r="D39" i="3"/>
  <c r="D40" i="3"/>
  <c r="D2" i="3"/>
  <c r="C3" i="3"/>
  <c r="C4" i="3"/>
  <c r="C5" i="3"/>
  <c r="C7" i="3"/>
  <c r="C14" i="3"/>
  <c r="C15" i="3"/>
  <c r="C16" i="3"/>
  <c r="C20" i="3"/>
  <c r="C21" i="3"/>
  <c r="C22" i="3"/>
  <c r="C30" i="3"/>
  <c r="C33" i="3"/>
  <c r="C36" i="3"/>
  <c r="C37" i="3"/>
  <c r="C38" i="3"/>
  <c r="C39" i="3"/>
  <c r="C40" i="3"/>
  <c r="C2" i="3"/>
  <c r="B42" i="3"/>
  <c r="A41" i="3"/>
  <c r="B6" i="3"/>
  <c r="A6" i="3"/>
  <c r="A23" i="3"/>
  <c r="B23" i="3"/>
  <c r="B25" i="3"/>
  <c r="D25" i="3" s="1"/>
  <c r="A43" i="3"/>
  <c r="A24" i="3"/>
  <c r="C26" i="3" l="1"/>
  <c r="D26" i="3"/>
  <c r="C27" i="3"/>
  <c r="D27" i="3"/>
  <c r="C28" i="3"/>
  <c r="D28" i="3"/>
  <c r="C29" i="3"/>
  <c r="D29" i="3"/>
  <c r="C31" i="3"/>
  <c r="D31" i="3"/>
  <c r="C32" i="3"/>
  <c r="D32" i="3"/>
  <c r="C24" i="3"/>
  <c r="D24" i="3"/>
  <c r="C43" i="3"/>
  <c r="D43" i="3"/>
  <c r="C23" i="3"/>
  <c r="D23" i="3"/>
  <c r="D6" i="3"/>
  <c r="C25" i="3"/>
  <c r="C6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<sst xmlns="http://schemas.openxmlformats.org/spreadsheetml/2006/main" count="87" uniqueCount="59">
  <si>
    <t>End date</t>
  </si>
  <si>
    <t>Start date</t>
  </si>
  <si>
    <t>YEARFRAC</t>
  </si>
  <si>
    <t>DATEDIF</t>
  </si>
  <si>
    <t>NOTES</t>
  </si>
  <si>
    <t>BASIS</t>
  </si>
  <si>
    <t>UNIT</t>
  </si>
  <si>
    <t>Small range</t>
  </si>
  <si>
    <t>D</t>
  </si>
  <si>
    <t xml:space="preserve">Year range </t>
  </si>
  <si>
    <t>M</t>
  </si>
  <si>
    <t>Large range</t>
  </si>
  <si>
    <t>Y</t>
  </si>
  <si>
    <t>Negative range</t>
  </si>
  <si>
    <t>MD</t>
  </si>
  <si>
    <t>DATE function</t>
  </si>
  <si>
    <t>Argument out of bounds</t>
  </si>
  <si>
    <t>YM</t>
  </si>
  <si>
    <t>Same start &amp; end date</t>
  </si>
  <si>
    <t>abc</t>
  </si>
  <si>
    <t>Argument is string</t>
  </si>
  <si>
    <t>YD</t>
  </si>
  <si>
    <t>Leap year</t>
  </si>
  <si>
    <t>Argument is boolean</t>
  </si>
  <si>
    <t>yd</t>
  </si>
  <si>
    <t>Lowercase</t>
  </si>
  <si>
    <t>Argument is negative number</t>
  </si>
  <si>
    <t>Argument is number</t>
  </si>
  <si>
    <t>One month different day lengths</t>
  </si>
  <si>
    <t>Decimal number</t>
  </si>
  <si>
    <t>Date with time</t>
  </si>
  <si>
    <t>Date with time - same day</t>
  </si>
  <si>
    <t>Decimal number truncates</t>
  </si>
  <si>
    <t>Argument is decimal number</t>
  </si>
  <si>
    <t xml:space="preserve">Date with time </t>
  </si>
  <si>
    <t>Argument is empty</t>
  </si>
  <si>
    <t>Integer number</t>
  </si>
  <si>
    <t>Error propagation</t>
  </si>
  <si>
    <t>Integer/date type mix</t>
  </si>
  <si>
    <t>Negative number</t>
  </si>
  <si>
    <t>Zero value</t>
  </si>
  <si>
    <t>Empty cells are treated as zero</t>
  </si>
  <si>
    <t>1/10/2025</t>
  </si>
  <si>
    <t>1/10/2024</t>
  </si>
  <si>
    <t>Date with preceding quote</t>
  </si>
  <si>
    <t>Date in quotes</t>
  </si>
  <si>
    <t>Date in quotes with preceding space</t>
  </si>
  <si>
    <t>def</t>
  </si>
  <si>
    <t>Number is string</t>
  </si>
  <si>
    <t>one</t>
  </si>
  <si>
    <t>ten</t>
  </si>
  <si>
    <t>Non-numeric string</t>
  </si>
  <si>
    <t>10</t>
  </si>
  <si>
    <t>1</t>
  </si>
  <si>
    <t>Numeric string</t>
  </si>
  <si>
    <t>Number is boolean</t>
  </si>
  <si>
    <t>Implicit intersection in first argument</t>
  </si>
  <si>
    <t>Implicit intersection in second argument</t>
  </si>
  <si>
    <t>Result from a formula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</si>
</sst>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"/>
  </numFmts>
  <fonts count="3">
    <font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7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">
    <xf numFmtId="0" fontId="0" fillId="0" borderId="0"/>
    <xf numFmtId="0" fontId="1" fillId="2" borderId="1" applyNumberFormat="0" applyAlignment="0" applyProtection="0"/>
  </cellStyleXfs>
  <cellXfs count="10">
    <xf numFmtId="0" fontId="0" fillId="0" borderId="0" xfId="0"/>
    <xf numFmtId="0" fontId="0" fillId="0" borderId="0" xfId="0" quotePrefix="1"/>
    <xf numFmtId="0" fontId="2" fillId="0" borderId="0" xfId="0" applyFont="1"/>
    <xf numFmtId="0" fontId="1" fillId="2" borderId="1" xfId="1" applyAlignment="1">
      <alignment wrapText="1"/>
    </xf>
    <xf numFmtId="0" fontId="0" fillId="0" borderId="0" xfId="0" applyFont="1"/>
    <xf numFmtId="14" fontId="0" fillId="0" borderId="0" xfId="0" applyNumberFormat="1"/>
    <xf numFmtId="0" fontId="0" fillId="0" borderId="0" xfId="0" applyNumberFormat="1"/>
    <xf numFmtId="22" fontId="0" fillId="0" borderId="0" xfId="0" applyNumberFormat="1"/>
    <xf numFmtId="164" fontId="0" fillId="0" borderId="0" xfId="0" applyNumberFormat="1"/>
    <xf numFmtId="0" fontId="1" fillId="3" borderId="1" xfId="1" applyFill="1" applyAlignment="1">
      <alignment wrapText="1"/>
    </xf>
  </cellXfs>
  <cellStyles count="2">
    <cellStyle name="Calculation" xfId="1" builtinId="22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54CD0-8216-4E1F-9732-2CE5FAC307BD}">
  <dimension ref="A1:M43"/>
  <sheetViews>
    <sheetView tabSelected="1" topLeftCell="A18" workbookViewId="0">
      <selection activeCell="B33" sqref="B33"/>
    </sheetView>
  </sheetViews>
  <sheetFormatPr defaultColWidth="8.85546875" defaultRowHeight="15"/>
  <cols>
    <col min="1" max="2" width="16.5703125" bestFit="1" customWidth="1"/>
    <col min="3" max="4" width="15.7109375" customWidth="1"/>
    <col min="5" max="5" width="38.28515625" bestFit="1" customWidth="1"/>
    <col min="7" max="7" width="20" customWidth="1"/>
    <col min="8" max="8" width="10.85546875" customWidth="1"/>
    <col min="9" max="9" width="29.140625" bestFit="1" customWidth="1"/>
    <col min="11" max="11" width="12.85546875" customWidth="1"/>
    <col min="12" max="12" width="11.28515625" customWidth="1"/>
    <col min="13" max="13" width="27.140625" customWidth="1"/>
  </cols>
  <sheetData>
    <row r="1" spans="1:13" ht="19.5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G1" s="2" t="s">
        <v>2</v>
      </c>
      <c r="H1" s="2" t="s">
        <v>5</v>
      </c>
      <c r="I1" s="2" t="s">
        <v>4</v>
      </c>
      <c r="K1" s="2" t="s">
        <v>3</v>
      </c>
      <c r="L1" s="2" t="s">
        <v>6</v>
      </c>
      <c r="M1" s="2" t="s">
        <v>4</v>
      </c>
    </row>
    <row r="2" spans="1:13">
      <c r="A2" s="5">
        <v>45667</v>
      </c>
      <c r="B2" s="5">
        <v>45658</v>
      </c>
      <c r="C2" s="3">
        <f>YEARFRAC(B2,A2)</f>
        <v>2.5000000000000001E-2</v>
      </c>
      <c r="D2" s="3">
        <f>DATEDIF(B2,A2,"D")</f>
        <v>9</v>
      </c>
      <c r="E2" t="s">
        <v>7</v>
      </c>
      <c r="G2" s="3">
        <f>YEARFRAC($B$3,$A$3,H2)</f>
        <v>0.99726775956284153</v>
      </c>
      <c r="H2" s="6">
        <v>1</v>
      </c>
      <c r="K2" s="3">
        <f t="shared" ref="K2:K4" si="0">DATEDIF($B$3,$A$3,L2)</f>
        <v>365</v>
      </c>
      <c r="L2" s="6" t="s">
        <v>8</v>
      </c>
    </row>
    <row r="3" spans="1:13">
      <c r="A3" s="5">
        <v>45657</v>
      </c>
      <c r="B3" s="5">
        <v>45292</v>
      </c>
      <c r="C3" s="3">
        <f t="shared" ref="C3:C43" si="1">YEARFRAC(B3,A3)</f>
        <v>1</v>
      </c>
      <c r="D3" s="3">
        <f t="shared" ref="D3:D43" si="2">DATEDIF(B3,A3,"D")</f>
        <v>365</v>
      </c>
      <c r="E3" t="s">
        <v>9</v>
      </c>
      <c r="G3" s="3">
        <f t="shared" ref="G3:G6" si="3">YEARFRAC($B$3,$A$3,H3)</f>
        <v>1.0138888888888888</v>
      </c>
      <c r="H3" s="6">
        <v>2</v>
      </c>
      <c r="K3" s="3">
        <f t="shared" si="0"/>
        <v>11</v>
      </c>
      <c r="L3" s="6" t="s">
        <v>10</v>
      </c>
    </row>
    <row r="4" spans="1:13">
      <c r="A4" s="5">
        <v>2958385</v>
      </c>
      <c r="B4" s="5">
        <v>33005</v>
      </c>
      <c r="C4" s="3">
        <f t="shared" si="1"/>
        <v>8009.416666666667</v>
      </c>
      <c r="D4" s="3">
        <f t="shared" si="2"/>
        <v>2925380</v>
      </c>
      <c r="E4" t="s">
        <v>11</v>
      </c>
      <c r="G4" s="3">
        <f t="shared" si="3"/>
        <v>1</v>
      </c>
      <c r="H4" s="6">
        <v>3</v>
      </c>
      <c r="K4" s="3">
        <f t="shared" si="0"/>
        <v>0</v>
      </c>
      <c r="L4" s="6" t="s">
        <v>12</v>
      </c>
    </row>
    <row r="5" spans="1:13">
      <c r="A5" s="5">
        <v>45658</v>
      </c>
      <c r="B5" s="5">
        <v>45667</v>
      </c>
      <c r="C5" s="3">
        <f t="shared" si="1"/>
        <v>2.5000000000000001E-2</v>
      </c>
      <c r="D5" s="3" t="e">
        <f t="shared" si="2"/>
        <v>#NUM!</v>
      </c>
      <c r="E5" t="s">
        <v>13</v>
      </c>
      <c r="G5" s="3">
        <f t="shared" si="3"/>
        <v>0.99722222222222223</v>
      </c>
      <c r="H5" s="6">
        <v>4</v>
      </c>
      <c r="K5" s="3">
        <f>DATEDIF($B$3,$A$3,L5)</f>
        <v>30</v>
      </c>
      <c r="L5" s="6" t="s">
        <v>14</v>
      </c>
    </row>
    <row r="6" spans="1:13">
      <c r="A6" s="5">
        <f>DATE(2026,2,4)</f>
        <v>46057</v>
      </c>
      <c r="B6" s="5">
        <f>DATE(2025,10,12)</f>
        <v>45942</v>
      </c>
      <c r="C6" s="3">
        <f t="shared" si="1"/>
        <v>0.31111111111111112</v>
      </c>
      <c r="D6" s="3">
        <f t="shared" si="2"/>
        <v>115</v>
      </c>
      <c r="E6" t="s">
        <v>15</v>
      </c>
      <c r="G6" s="3" t="e">
        <f t="shared" si="3"/>
        <v>#NUM!</v>
      </c>
      <c r="H6" s="6">
        <v>5</v>
      </c>
      <c r="I6" t="s">
        <v>16</v>
      </c>
      <c r="K6" s="3">
        <f t="shared" ref="K6" si="4">DATEDIF($B$3,$A$3,L6)</f>
        <v>11</v>
      </c>
      <c r="L6" s="6" t="s">
        <v>17</v>
      </c>
    </row>
    <row r="7" spans="1:13">
      <c r="A7" s="5">
        <v>45667</v>
      </c>
      <c r="B7" s="5">
        <v>45667</v>
      </c>
      <c r="C7" s="3">
        <f t="shared" si="1"/>
        <v>0</v>
      </c>
      <c r="D7" s="3">
        <f t="shared" si="2"/>
        <v>0</v>
      </c>
      <c r="E7" t="s">
        <v>18</v>
      </c>
      <c r="G7" s="3" t="e">
        <f>YEARFRAC($B$3,$A$3,H7)</f>
        <v>#VALUE!</v>
      </c>
      <c r="H7" s="6" t="s">
        <v>19</v>
      </c>
      <c r="I7" t="s">
        <v>20</v>
      </c>
      <c r="K7" s="3">
        <f>DATEDIF($B$3,$A$3,L7)</f>
        <v>365</v>
      </c>
      <c r="L7" s="6" t="s">
        <v>21</v>
      </c>
    </row>
    <row r="8" spans="1:13">
      <c r="A8" s="5">
        <v>45352</v>
      </c>
      <c r="B8" s="5">
        <v>45351</v>
      </c>
      <c r="C8" s="3">
        <f t="shared" ref="C8" si="5">YEARFRAC(B8,A8)</f>
        <v>2.7777777777777779E-3</v>
      </c>
      <c r="D8" s="3">
        <f t="shared" ref="D8" si="6">DATEDIF(B8,A8,"D")</f>
        <v>1</v>
      </c>
      <c r="E8" t="s">
        <v>22</v>
      </c>
      <c r="G8" s="9" t="e">
        <f>YEARFRAC($B$3,$A$3,H8)</f>
        <v>#VALUE!</v>
      </c>
      <c r="H8" s="6" t="b">
        <v>1</v>
      </c>
      <c r="I8" t="s">
        <v>23</v>
      </c>
      <c r="K8" s="3">
        <f>DATEDIF($B$3,$A$3,L8)</f>
        <v>365</v>
      </c>
      <c r="L8" t="s">
        <v>24</v>
      </c>
      <c r="M8" t="s">
        <v>25</v>
      </c>
    </row>
    <row r="9" spans="1:13">
      <c r="A9" s="5">
        <v>45716</v>
      </c>
      <c r="B9" s="5">
        <v>45351</v>
      </c>
      <c r="C9" s="3">
        <f t="shared" ref="C9" si="7">YEARFRAC(B9,A9)</f>
        <v>1</v>
      </c>
      <c r="D9" s="3">
        <f t="shared" ref="D9" si="8">DATEDIF(B9,A9,"D")</f>
        <v>365</v>
      </c>
      <c r="E9" t="s">
        <v>22</v>
      </c>
      <c r="G9" s="3" t="e">
        <f>YEARFRAC($B$3,$A$3,H9)</f>
        <v>#NUM!</v>
      </c>
      <c r="H9" s="6">
        <v>-2</v>
      </c>
      <c r="I9" t="s">
        <v>26</v>
      </c>
      <c r="K9" s="9" t="e">
        <f>DATEDIF($B$3,$A$3,L9)</f>
        <v>#NUM!</v>
      </c>
      <c r="L9" s="6">
        <v>5</v>
      </c>
      <c r="M9" t="s">
        <v>27</v>
      </c>
    </row>
    <row r="10" spans="1:13">
      <c r="A10" s="5">
        <v>45716</v>
      </c>
      <c r="B10" s="5">
        <v>45688</v>
      </c>
      <c r="C10" s="9">
        <f t="shared" ref="C10" si="9">YEARFRAC(B10,A10)</f>
        <v>7.7777777777777779E-2</v>
      </c>
      <c r="D10" s="3">
        <f t="shared" ref="D10" si="10">DATEDIF(B10,A10,"D")</f>
        <v>28</v>
      </c>
      <c r="E10" t="s">
        <v>28</v>
      </c>
      <c r="G10" s="3">
        <f t="shared" ref="G10" si="11">YEARFRAC($B$3,$A$3,H10)</f>
        <v>0.99726775956284153</v>
      </c>
      <c r="H10">
        <v>1.5</v>
      </c>
      <c r="I10" t="s">
        <v>29</v>
      </c>
      <c r="K10" s="9" t="e">
        <f>DATEDIF($B$3,$A$3,L10)</f>
        <v>#NUM!</v>
      </c>
      <c r="L10" s="6" t="s">
        <v>19</v>
      </c>
      <c r="M10" t="s">
        <v>20</v>
      </c>
    </row>
    <row r="11" spans="1:13">
      <c r="A11" s="7">
        <v>45667.6875</v>
      </c>
      <c r="B11" s="7">
        <v>45658.854166666664</v>
      </c>
      <c r="C11" s="3">
        <f t="shared" ref="C11" si="12">YEARFRAC(B11,A11)</f>
        <v>2.5000000000000001E-2</v>
      </c>
      <c r="D11" s="3">
        <f t="shared" ref="D11" si="13">DATEDIF(B11,A11,"D")</f>
        <v>9</v>
      </c>
      <c r="E11" t="s">
        <v>30</v>
      </c>
      <c r="G11" s="3">
        <f>YEARFRAC($B$3,$A$3,H11)</f>
        <v>0.99726775956284153</v>
      </c>
      <c r="H11" s="6">
        <v>1.0009999999999999</v>
      </c>
      <c r="I11" t="s">
        <v>29</v>
      </c>
      <c r="K11" s="9" t="e">
        <f>DATEDIF($B$3,$A$3,L11)</f>
        <v>#NUM!</v>
      </c>
      <c r="L11" s="6" t="b">
        <v>1</v>
      </c>
      <c r="M11" t="s">
        <v>23</v>
      </c>
    </row>
    <row r="12" spans="1:13">
      <c r="A12" s="7">
        <v>45667.6875</v>
      </c>
      <c r="B12" s="7">
        <v>45667.854166666664</v>
      </c>
      <c r="C12" s="3">
        <f t="shared" ref="C12" si="14">YEARFRAC(B12,A12)</f>
        <v>0</v>
      </c>
      <c r="D12" s="3">
        <f t="shared" ref="D12" si="15">DATEDIF(B12,A12,"D")</f>
        <v>0</v>
      </c>
      <c r="E12" t="s">
        <v>31</v>
      </c>
      <c r="G12" s="3">
        <f>YEARFRAC($B$3,$A$3,H12)</f>
        <v>0.99726775956284153</v>
      </c>
      <c r="H12" s="8">
        <v>1.9999998999999999</v>
      </c>
      <c r="I12" t="s">
        <v>32</v>
      </c>
      <c r="K12" s="9" t="e">
        <f>DATEDIF($B$3,$A$3,L12)</f>
        <v>#NUM!</v>
      </c>
      <c r="L12" s="6">
        <v>1.25</v>
      </c>
      <c r="M12" t="s">
        <v>33</v>
      </c>
    </row>
    <row r="13" spans="1:13">
      <c r="A13" s="7">
        <v>45668.000694444447</v>
      </c>
      <c r="B13" s="7">
        <v>45667.999305555553</v>
      </c>
      <c r="C13" s="3">
        <f t="shared" ref="C13" si="16">YEARFRAC(B13,A13)</f>
        <v>2.7777777777777779E-3</v>
      </c>
      <c r="D13" s="3">
        <f t="shared" ref="D13" si="17">DATEDIF(B13,A13,"D")</f>
        <v>1</v>
      </c>
      <c r="E13" t="s">
        <v>34</v>
      </c>
      <c r="G13" s="3">
        <f>YEARFRAC($B$3,$A$3,H13)</f>
        <v>1</v>
      </c>
      <c r="H13" s="8"/>
      <c r="I13" t="s">
        <v>35</v>
      </c>
      <c r="K13" s="9" t="e">
        <f>DATEDIF($B$3,$A$3,L13)</f>
        <v>#NUM!</v>
      </c>
      <c r="L13" s="6">
        <v>-2</v>
      </c>
      <c r="M13" t="s">
        <v>26</v>
      </c>
    </row>
    <row r="14" spans="1:13">
      <c r="A14" s="6">
        <v>9</v>
      </c>
      <c r="B14" s="6">
        <v>6</v>
      </c>
      <c r="C14" s="3">
        <f t="shared" si="1"/>
        <v>8.3333333333333332E-3</v>
      </c>
      <c r="D14" s="3">
        <f t="shared" si="2"/>
        <v>3</v>
      </c>
      <c r="E14" t="s">
        <v>36</v>
      </c>
      <c r="G14" s="3" t="e">
        <f>YEARFRAC($B$3,$A$3,H14)</f>
        <v>#DIV/0!</v>
      </c>
      <c r="H14" s="8" t="e">
        <f>1/0</f>
        <v>#DIV/0!</v>
      </c>
      <c r="I14" t="s">
        <v>37</v>
      </c>
      <c r="K14" s="9" t="e">
        <f>DATEDIF($B$3,$A$3,L14)</f>
        <v>#NUM!</v>
      </c>
      <c r="L14" s="6"/>
      <c r="M14" t="s">
        <v>35</v>
      </c>
    </row>
    <row r="15" spans="1:13">
      <c r="A15" s="6">
        <v>9</v>
      </c>
      <c r="B15" s="5">
        <v>6</v>
      </c>
      <c r="C15" s="3">
        <f t="shared" si="1"/>
        <v>8.3333333333333332E-3</v>
      </c>
      <c r="D15" s="3">
        <f t="shared" si="2"/>
        <v>3</v>
      </c>
      <c r="E15" t="s">
        <v>38</v>
      </c>
      <c r="K15" s="3" t="e">
        <f>DATEDIF($B$3,$A$3,L15)</f>
        <v>#DIV/0!</v>
      </c>
      <c r="L15" s="6" t="e">
        <f>1/0</f>
        <v>#DIV/0!</v>
      </c>
      <c r="M15" t="s">
        <v>37</v>
      </c>
    </row>
    <row r="16" spans="1:13">
      <c r="A16">
        <v>9.25</v>
      </c>
      <c r="B16">
        <v>6.25</v>
      </c>
      <c r="C16" s="3">
        <f t="shared" si="1"/>
        <v>8.3333333333333332E-3</v>
      </c>
      <c r="D16" s="3">
        <f t="shared" si="2"/>
        <v>3</v>
      </c>
      <c r="E16" t="s">
        <v>29</v>
      </c>
    </row>
    <row r="17" spans="1:8">
      <c r="A17">
        <v>-10</v>
      </c>
      <c r="B17">
        <v>-5</v>
      </c>
      <c r="C17" s="3" t="e">
        <f t="shared" ref="C17" si="18">YEARFRAC(B17,A17)</f>
        <v>#NUM!</v>
      </c>
      <c r="D17" s="3" t="e">
        <f t="shared" ref="D17" si="19">DATEDIF(B17,A17,"D")</f>
        <v>#NUM!</v>
      </c>
      <c r="E17" t="s">
        <v>39</v>
      </c>
      <c r="H17" s="6"/>
    </row>
    <row r="18" spans="1:8">
      <c r="A18">
        <v>-50</v>
      </c>
      <c r="B18">
        <v>50</v>
      </c>
      <c r="C18" s="3" t="e">
        <f t="shared" ref="C18:C19" si="20">YEARFRAC(B18,A18)</f>
        <v>#NUM!</v>
      </c>
      <c r="D18" s="3" t="e">
        <f t="shared" ref="D18:D19" si="21">DATEDIF(B18,A18,"D")</f>
        <v>#NUM!</v>
      </c>
      <c r="E18" t="s">
        <v>39</v>
      </c>
      <c r="H18" s="6"/>
    </row>
    <row r="19" spans="1:8">
      <c r="A19">
        <v>50</v>
      </c>
      <c r="B19">
        <v>-50</v>
      </c>
      <c r="C19" s="3" t="e">
        <f t="shared" si="20"/>
        <v>#NUM!</v>
      </c>
      <c r="D19" s="3" t="e">
        <f t="shared" si="21"/>
        <v>#NUM!</v>
      </c>
      <c r="E19" t="s">
        <v>39</v>
      </c>
      <c r="H19" s="6"/>
    </row>
    <row r="20" spans="1:8">
      <c r="A20">
        <v>0</v>
      </c>
      <c r="B20">
        <v>0</v>
      </c>
      <c r="C20" s="9">
        <f t="shared" si="1"/>
        <v>0</v>
      </c>
      <c r="D20" s="9">
        <f t="shared" si="2"/>
        <v>0</v>
      </c>
      <c r="E20" t="s">
        <v>40</v>
      </c>
    </row>
    <row r="21" spans="1:8">
      <c r="A21">
        <v>1</v>
      </c>
      <c r="C21" s="9">
        <f t="shared" si="1"/>
        <v>2.7777777777777779E-3</v>
      </c>
      <c r="D21" s="9">
        <f t="shared" si="2"/>
        <v>1</v>
      </c>
      <c r="E21" t="s">
        <v>41</v>
      </c>
    </row>
    <row r="22" spans="1:8">
      <c r="B22">
        <v>1</v>
      </c>
      <c r="C22" s="9">
        <f t="shared" si="1"/>
        <v>2.7777777777777779E-3</v>
      </c>
      <c r="D22" s="3" t="e">
        <f t="shared" si="2"/>
        <v>#NUM!</v>
      </c>
      <c r="E22" t="s">
        <v>41</v>
      </c>
    </row>
    <row r="23" spans="1:8">
      <c r="A23" t="e">
        <f>1/0</f>
        <v>#DIV/0!</v>
      </c>
      <c r="B23" t="e">
        <f>1/0</f>
        <v>#DIV/0!</v>
      </c>
      <c r="C23" s="3" t="e">
        <f t="shared" si="1"/>
        <v>#DIV/0!</v>
      </c>
      <c r="D23" s="3" t="e">
        <f t="shared" si="2"/>
        <v>#DIV/0!</v>
      </c>
      <c r="E23" t="s">
        <v>37</v>
      </c>
    </row>
    <row r="24" spans="1:8">
      <c r="A24" t="e">
        <f>1/0</f>
        <v>#DIV/0!</v>
      </c>
      <c r="B24">
        <v>10</v>
      </c>
      <c r="C24" s="3" t="e">
        <f t="shared" si="1"/>
        <v>#DIV/0!</v>
      </c>
      <c r="D24" s="3" t="e">
        <f t="shared" si="2"/>
        <v>#DIV/0!</v>
      </c>
      <c r="E24" t="s">
        <v>37</v>
      </c>
    </row>
    <row r="25" spans="1:8">
      <c r="A25">
        <v>10</v>
      </c>
      <c r="B25" t="e">
        <f>1/0</f>
        <v>#DIV/0!</v>
      </c>
      <c r="C25" s="3" t="e">
        <f t="shared" si="1"/>
        <v>#DIV/0!</v>
      </c>
      <c r="D25" s="3" t="e">
        <f t="shared" si="2"/>
        <v>#DIV/0!</v>
      </c>
      <c r="E25" t="s">
        <v>37</v>
      </c>
    </row>
    <row r="26" spans="1:8">
      <c r="A26" t="e">
        <f>NA()</f>
        <v>#N/A</v>
      </c>
      <c r="B26">
        <v>10</v>
      </c>
      <c r="C26" s="3" t="e">
        <f t="shared" ref="C26:C29" si="22">YEARFRAC(B26,A26)</f>
        <v>#N/A</v>
      </c>
      <c r="D26" s="3" t="e">
        <f t="shared" ref="D26:D29" si="23">DATEDIF(B26,A26,"D")</f>
        <v>#N/A</v>
      </c>
      <c r="E26" t="s">
        <v>37</v>
      </c>
    </row>
    <row r="27" spans="1:8">
      <c r="A27" t="e" cm="1">
        <f t="array" aca="1" ref="A27" ca="1">HELLO</f>
        <v>#NAME?</v>
      </c>
      <c r="B27">
        <v>10</v>
      </c>
      <c r="C27" s="3" t="e">
        <f t="shared" ca="1" si="22"/>
        <v>#NAME?</v>
      </c>
      <c r="D27" s="3" t="e">
        <f t="shared" ca="1" si="23"/>
        <v>#NAME?</v>
      </c>
      <c r="E27" t="s">
        <v>37</v>
      </c>
    </row>
    <row r="28" spans="1:8">
      <c r="A28" t="e">
        <f>SQRT(-1)</f>
        <v>#NUM!</v>
      </c>
      <c r="B28">
        <v>10</v>
      </c>
      <c r="C28" s="3" t="e">
        <f t="shared" si="22"/>
        <v>#NUM!</v>
      </c>
      <c r="D28" s="3" t="e">
        <f t="shared" si="23"/>
        <v>#NUM!</v>
      </c>
      <c r="E28" t="s">
        <v>37</v>
      </c>
    </row>
    <row r="29" spans="1:8">
      <c r="A29" t="e">
        <f>"x"+1</f>
        <v>#VALUE!</v>
      </c>
      <c r="B29">
        <v>10</v>
      </c>
      <c r="C29" s="3" t="e">
        <f t="shared" si="22"/>
        <v>#VALUE!</v>
      </c>
      <c r="D29" s="3" t="e">
        <f t="shared" si="23"/>
        <v>#VALUE!</v>
      </c>
      <c r="E29" t="s">
        <v>37</v>
      </c>
    </row>
    <row r="30" spans="1:8">
      <c r="A30" s="1" t="s">
        <v>42</v>
      </c>
      <c r="B30" s="1" t="s">
        <v>43</v>
      </c>
      <c r="C30" s="3">
        <f t="shared" si="1"/>
        <v>1</v>
      </c>
      <c r="D30" s="9">
        <f t="shared" si="2"/>
        <v>366</v>
      </c>
      <c r="E30" t="s">
        <v>44</v>
      </c>
    </row>
    <row r="31" spans="1:8">
      <c r="A31" t="str">
        <f>"2026-01-10"</f>
        <v>2026-01-10</v>
      </c>
      <c r="B31" t="str">
        <f>"2024-01-10"</f>
        <v>2024-01-10</v>
      </c>
      <c r="C31" s="3">
        <f t="shared" ref="C31:C32" si="24">YEARFRAC(B31,A31)</f>
        <v>2</v>
      </c>
      <c r="D31" s="3">
        <f t="shared" ref="D31:D32" si="25">DATEDIF(B31,A31,"D")</f>
        <v>731</v>
      </c>
      <c r="E31" t="s">
        <v>45</v>
      </c>
    </row>
    <row r="32" spans="1:8">
      <c r="A32" t="str">
        <f>" 2026-01-10 "</f>
        <v xml:space="preserve"> 2026-01-10 </v>
      </c>
      <c r="B32" t="str">
        <f>" 2024-01-10 "</f>
        <v xml:space="preserve"> 2024-01-10 </v>
      </c>
      <c r="C32" s="3" t="e">
        <f t="shared" si="24"/>
        <v>#VALUE!</v>
      </c>
      <c r="D32" s="9" t="e">
        <f t="shared" si="25"/>
        <v>#VALUE!</v>
      </c>
      <c r="E32" t="s">
        <v>46</v>
      </c>
    </row>
    <row r="33" spans="1:6">
      <c r="A33" t="s">
        <v>19</v>
      </c>
      <c r="B33" t="s">
        <v>47</v>
      </c>
      <c r="C33" s="3" t="e">
        <f t="shared" si="1"/>
        <v>#VALUE!</v>
      </c>
      <c r="D33" s="3" t="e">
        <f t="shared" si="2"/>
        <v>#VALUE!</v>
      </c>
      <c r="E33" t="s">
        <v>48</v>
      </c>
    </row>
    <row r="34" spans="1:6">
      <c r="A34" t="s">
        <v>49</v>
      </c>
      <c r="B34" t="s">
        <v>50</v>
      </c>
      <c r="C34" s="3" t="e">
        <f t="shared" ref="C34:C35" si="26">YEARFRAC(B34,A34)</f>
        <v>#VALUE!</v>
      </c>
      <c r="D34" s="3" t="e">
        <f t="shared" ref="D34:D35" si="27">DATEDIF(B34,A34,"D")</f>
        <v>#VALUE!</v>
      </c>
      <c r="E34" t="s">
        <v>51</v>
      </c>
    </row>
    <row r="35" spans="1:6">
      <c r="A35" s="1" t="s">
        <v>52</v>
      </c>
      <c r="B35" s="1" t="s">
        <v>53</v>
      </c>
      <c r="C35" s="3">
        <f t="shared" si="26"/>
        <v>2.5000000000000001E-2</v>
      </c>
      <c r="D35" s="9">
        <f t="shared" si="27"/>
        <v>9</v>
      </c>
      <c r="E35" t="s">
        <v>54</v>
      </c>
    </row>
    <row r="36" spans="1:6">
      <c r="A36" t="b">
        <v>1</v>
      </c>
      <c r="B36" t="b">
        <v>0</v>
      </c>
      <c r="C36" s="9" t="e">
        <f t="shared" si="1"/>
        <v>#VALUE!</v>
      </c>
      <c r="D36" s="9">
        <f t="shared" si="2"/>
        <v>1</v>
      </c>
      <c r="E36" t="s">
        <v>55</v>
      </c>
    </row>
    <row r="37" spans="1:6">
      <c r="A37" s="4" t="b">
        <v>1</v>
      </c>
      <c r="B37" s="4"/>
      <c r="C37" s="9" t="e">
        <f t="shared" si="1"/>
        <v>#VALUE!</v>
      </c>
      <c r="D37" s="9">
        <f t="shared" si="2"/>
        <v>1</v>
      </c>
      <c r="E37" t="s">
        <v>55</v>
      </c>
    </row>
    <row r="38" spans="1:6">
      <c r="A38" t="b">
        <v>0</v>
      </c>
      <c r="C38" s="9" t="e">
        <f t="shared" si="1"/>
        <v>#VALUE!</v>
      </c>
      <c r="D38" s="9">
        <f t="shared" si="2"/>
        <v>0</v>
      </c>
      <c r="E38" t="s">
        <v>55</v>
      </c>
    </row>
    <row r="39" spans="1:6">
      <c r="B39" t="b">
        <v>1</v>
      </c>
      <c r="C39" s="9" t="e">
        <f t="shared" si="1"/>
        <v>#VALUE!</v>
      </c>
      <c r="D39" s="3" t="e">
        <f t="shared" si="2"/>
        <v>#NUM!</v>
      </c>
      <c r="E39" t="s">
        <v>55</v>
      </c>
      <c r="F39">
        <v>1</v>
      </c>
    </row>
    <row r="40" spans="1:6">
      <c r="B40" t="b">
        <v>0</v>
      </c>
      <c r="C40" s="9" t="e">
        <f t="shared" si="1"/>
        <v>#VALUE!</v>
      </c>
      <c r="D40" s="3">
        <f t="shared" si="2"/>
        <v>0</v>
      </c>
      <c r="E40" t="s">
        <v>55</v>
      </c>
      <c r="F40">
        <v>2</v>
      </c>
    </row>
    <row r="41" spans="1:6">
      <c r="A41">
        <f>F33:F43</f>
        <v>3</v>
      </c>
      <c r="B41">
        <v>1</v>
      </c>
      <c r="C41" s="3">
        <f>YEARFRAC(B41,_xlfn.SINGLE(F:F))</f>
        <v>5.5555555555555558E-3</v>
      </c>
      <c r="D41" s="3">
        <f>DATEDIF(B41,F:F,"D")</f>
        <v>2</v>
      </c>
      <c r="E41" t="s">
        <v>56</v>
      </c>
      <c r="F41">
        <v>3</v>
      </c>
    </row>
    <row r="42" spans="1:6">
      <c r="A42">
        <v>10</v>
      </c>
      <c r="B42">
        <f>F33:F43</f>
        <v>4</v>
      </c>
      <c r="C42" s="3">
        <f>YEARFRAC(_xlfn.SINGLE(F:F),A42)</f>
        <v>1.6666666666666666E-2</v>
      </c>
      <c r="D42" s="3">
        <f>DATEDIF(F:F,A42,"D")</f>
        <v>6</v>
      </c>
      <c r="E42" t="s">
        <v>57</v>
      </c>
      <c r="F42">
        <v>4</v>
      </c>
    </row>
    <row r="43" spans="1:6">
      <c r="A43">
        <f>1.05*(0.0284+0.0046)-0.0284</f>
        <v>6.2499999999999986E-3</v>
      </c>
      <c r="B43">
        <v>1</v>
      </c>
      <c r="C43" s="9">
        <f t="shared" si="1"/>
        <v>2.7777777777777779E-3</v>
      </c>
      <c r="D43" s="3" t="e">
        <f t="shared" si="2"/>
        <v>#NUM!</v>
      </c>
      <c r="E43" t="s">
        <v>58</v>
      </c>
      <c r="F43">
        <v>5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2015-06-05T18:17:20Z</dcterms:created>
  <dcterms:modified xsi:type="dcterms:W3CDTF">2025-12-03T13:07:46Z</dcterms:modified>
  <cp:category/>
  <cp:contentStatus/>
</cp:coreProperties>
</file>