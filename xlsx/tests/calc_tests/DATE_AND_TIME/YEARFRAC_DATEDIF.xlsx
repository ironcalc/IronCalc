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B72FACA-50E8-4D4D-8EE6-6E99C22834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YEARFRAC_DATEDIF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A13" i="3"/>
  <c r="B12" i="3"/>
  <c r="A12" i="3"/>
  <c r="B11" i="3"/>
  <c r="A11" i="3"/>
  <c r="B63" i="3"/>
  <c r="A63" i="3"/>
  <c r="B62" i="3"/>
  <c r="A62" i="3"/>
  <c r="B61" i="3"/>
  <c r="A61" i="3"/>
  <c r="D61" i="3" s="1"/>
  <c r="B58" i="3"/>
  <c r="A58" i="3"/>
  <c r="B56" i="3"/>
  <c r="A56" i="3"/>
  <c r="D56" i="3" s="1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A46" i="3"/>
  <c r="A45" i="3"/>
  <c r="A44" i="3"/>
  <c r="A43" i="3"/>
  <c r="A42" i="3"/>
  <c r="B41" i="3"/>
  <c r="A41" i="3"/>
  <c r="B40" i="3"/>
  <c r="A40" i="3"/>
  <c r="D40" i="3" s="1"/>
  <c r="B39" i="3"/>
  <c r="A39" i="3"/>
  <c r="B38" i="3"/>
  <c r="A38" i="3"/>
  <c r="B37" i="3"/>
  <c r="A37" i="3"/>
  <c r="B36" i="3"/>
  <c r="A36" i="3"/>
  <c r="B35" i="3"/>
  <c r="A35" i="3"/>
  <c r="D35" i="3" s="1"/>
  <c r="B10" i="3"/>
  <c r="A10" i="3"/>
  <c r="B9" i="3"/>
  <c r="A9" i="3"/>
  <c r="B8" i="3"/>
  <c r="A8" i="3"/>
  <c r="B7" i="3"/>
  <c r="A7" i="3"/>
  <c r="B5" i="3"/>
  <c r="A5" i="3"/>
  <c r="B4" i="3"/>
  <c r="A4" i="3"/>
  <c r="B3" i="3"/>
  <c r="A3" i="3"/>
  <c r="B2" i="3"/>
  <c r="A2" i="3"/>
  <c r="D63" i="3"/>
  <c r="D62" i="3"/>
  <c r="D58" i="3"/>
  <c r="D55" i="3"/>
  <c r="D54" i="3"/>
  <c r="D53" i="3"/>
  <c r="D52" i="3"/>
  <c r="D51" i="3"/>
  <c r="D50" i="3"/>
  <c r="D49" i="3"/>
  <c r="D47" i="3"/>
  <c r="B46" i="3"/>
  <c r="D46" i="3" s="1"/>
  <c r="B45" i="3"/>
  <c r="B44" i="3"/>
  <c r="D44" i="3" s="1"/>
  <c r="B43" i="3"/>
  <c r="D43" i="3" s="1"/>
  <c r="B42" i="3"/>
  <c r="D41" i="3"/>
  <c r="D39" i="3"/>
  <c r="D38" i="3"/>
  <c r="D37" i="3"/>
  <c r="D36" i="3"/>
  <c r="B27" i="3"/>
  <c r="A27" i="3"/>
  <c r="H14" i="3"/>
  <c r="G14" i="3" s="1"/>
  <c r="C29" i="3"/>
  <c r="D29" i="3"/>
  <c r="C18" i="3"/>
  <c r="D18" i="3"/>
  <c r="C19" i="3"/>
  <c r="D19" i="3"/>
  <c r="C17" i="3"/>
  <c r="D17" i="3"/>
  <c r="G6" i="3"/>
  <c r="G7" i="3"/>
  <c r="G8" i="3"/>
  <c r="G9" i="3"/>
  <c r="A26" i="3"/>
  <c r="A25" i="3"/>
  <c r="A24" i="3" a="1"/>
  <c r="A23" i="3"/>
  <c r="D31" i="3"/>
  <c r="C31" i="3"/>
  <c r="D30" i="3"/>
  <c r="C30" i="3"/>
  <c r="L9" i="3"/>
  <c r="D4" i="3"/>
  <c r="D14" i="3"/>
  <c r="D15" i="3"/>
  <c r="D16" i="3"/>
  <c r="D28" i="3"/>
  <c r="D2" i="3"/>
  <c r="C4" i="3"/>
  <c r="C14" i="3"/>
  <c r="C15" i="3"/>
  <c r="C16" i="3"/>
  <c r="C28" i="3"/>
  <c r="C2" i="3"/>
  <c r="B31" i="3"/>
  <c r="A30" i="3"/>
  <c r="B6" i="3"/>
  <c r="A6" i="3"/>
  <c r="A20" i="3"/>
  <c r="B20" i="3"/>
  <c r="B22" i="3"/>
  <c r="D22" i="3" s="1"/>
  <c r="A21" i="3"/>
  <c r="C13" i="3" l="1"/>
  <c r="D13" i="3"/>
  <c r="C12" i="3"/>
  <c r="D12" i="3"/>
  <c r="C10" i="3"/>
  <c r="D10" i="3"/>
  <c r="C9" i="3"/>
  <c r="D9" i="3"/>
  <c r="G13" i="3"/>
  <c r="K8" i="3"/>
  <c r="K2" i="3"/>
  <c r="K3" i="3"/>
  <c r="K4" i="3"/>
  <c r="G10" i="3"/>
  <c r="G12" i="3"/>
  <c r="G3" i="3"/>
  <c r="G4" i="3"/>
  <c r="G5" i="3"/>
  <c r="G11" i="3"/>
  <c r="G2" i="3"/>
  <c r="D45" i="3"/>
  <c r="D11" i="3"/>
  <c r="C11" i="3"/>
  <c r="D48" i="3"/>
  <c r="D42" i="3"/>
  <c r="C8" i="3"/>
  <c r="D8" i="3"/>
  <c r="D7" i="3"/>
  <c r="C7" i="3"/>
  <c r="D5" i="3"/>
  <c r="C5" i="3"/>
  <c r="K9" i="3"/>
  <c r="K6" i="3"/>
  <c r="K7" i="3"/>
  <c r="K5" i="3"/>
  <c r="D3" i="3"/>
  <c r="C3" i="3"/>
  <c r="C23" i="3"/>
  <c r="D23" i="3"/>
  <c r="C24" i="3"/>
  <c r="D24" i="3"/>
  <c r="C25" i="3"/>
  <c r="D25" i="3"/>
  <c r="C26" i="3"/>
  <c r="D26" i="3"/>
  <c r="C27" i="3"/>
  <c r="D27" i="3"/>
  <c r="C21" i="3"/>
  <c r="D21" i="3"/>
  <c r="C20" i="3"/>
  <c r="D20" i="3"/>
  <c r="D6" i="3"/>
  <c r="C22" i="3"/>
  <c r="C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<sst xmlns="http://schemas.openxmlformats.org/spreadsheetml/2006/main" count="68" uniqueCount="47">
  <si>
    <t>End date</t>
  </si>
  <si>
    <t>Start date</t>
  </si>
  <si>
    <t>YEARFRAC</t>
  </si>
  <si>
    <t>DATEDIF</t>
  </si>
  <si>
    <t>NOTES</t>
  </si>
  <si>
    <t>BASIS</t>
  </si>
  <si>
    <t>UNIT</t>
  </si>
  <si>
    <t>Small range</t>
  </si>
  <si>
    <t>D</t>
  </si>
  <si>
    <t xml:space="preserve">Year range </t>
  </si>
  <si>
    <t>M</t>
  </si>
  <si>
    <t>Large range</t>
  </si>
  <si>
    <t>Y</t>
  </si>
  <si>
    <t>Negative range</t>
  </si>
  <si>
    <t>MD</t>
  </si>
  <si>
    <t>DATE function</t>
  </si>
  <si>
    <t>Argument out of bounds</t>
  </si>
  <si>
    <t>YM</t>
  </si>
  <si>
    <t>Same start &amp; end date</t>
  </si>
  <si>
    <t>abc</t>
  </si>
  <si>
    <t>Argument is string</t>
  </si>
  <si>
    <t>YD</t>
  </si>
  <si>
    <t>Leap year</t>
  </si>
  <si>
    <t>Argument is boolean</t>
  </si>
  <si>
    <t>yd</t>
  </si>
  <si>
    <t>Lowercase</t>
  </si>
  <si>
    <t>Argument is negative number</t>
  </si>
  <si>
    <t>One month different day lengths</t>
  </si>
  <si>
    <t>Decimal number</t>
  </si>
  <si>
    <t>Date with time</t>
  </si>
  <si>
    <t>Date with time - same day</t>
  </si>
  <si>
    <t>Decimal number truncates</t>
  </si>
  <si>
    <t xml:space="preserve">Date with time </t>
  </si>
  <si>
    <t>Argument is empty</t>
  </si>
  <si>
    <t>Integer number</t>
  </si>
  <si>
    <t>Error propagation</t>
  </si>
  <si>
    <t>Integer/date type mix</t>
  </si>
  <si>
    <t>Negative number</t>
  </si>
  <si>
    <t>Date in quotes</t>
  </si>
  <si>
    <t>def</t>
  </si>
  <si>
    <t>Number is string</t>
  </si>
  <si>
    <t>one</t>
  </si>
  <si>
    <t>ten</t>
  </si>
  <si>
    <t>Non-numeric string</t>
  </si>
  <si>
    <t>Implicit intersection in first argument</t>
  </si>
  <si>
    <t>Implicit intersection in second argument</t>
  </si>
  <si>
    <t>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</si>
</sst>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scheme val="minor"/>
    </font>
    <font>
      <b/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0" borderId="0" xfId="0" applyFont="1"/>
    <xf numFmtId="0" fontId="1" fillId="2" borderId="1" xfId="1" applyAlignment="1">
      <alignment wrapText="1"/>
    </xf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3" fillId="3" borderId="2" xfId="0" applyFont="1" applyFill="1" applyBorder="1"/>
    <xf numFmtId="0" fontId="3" fillId="3" borderId="4" xfId="0" applyFont="1" applyFill="1" applyBorder="1"/>
    <xf numFmtId="0" fontId="3" fillId="3" borderId="3" xfId="0" applyFont="1" applyFill="1" applyBorder="1"/>
    <xf numFmtId="0" fontId="0" fillId="0" borderId="6" xfId="0" applyBorder="1"/>
    <xf numFmtId="0" fontId="0" fillId="0" borderId="5" xfId="0" applyBorder="1"/>
    <xf numFmtId="0" fontId="4" fillId="0" borderId="0" xfId="0" applyFont="1"/>
    <xf numFmtId="0" fontId="4" fillId="0" borderId="4" xfId="0" applyFont="1" applyBorder="1"/>
    <xf numFmtId="0" fontId="4" fillId="0" borderId="3" xfId="0" applyFont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F8566B-126D-433C-BE94-F97D2C7C91D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5a417aa-9942-4f5b-9768-942fd0ab4df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M63"/>
  <sheetViews>
    <sheetView tabSelected="1" workbookViewId="0">
      <selection activeCell="B28" sqref="B28"/>
    </sheetView>
  </sheetViews>
  <sheetFormatPr defaultColWidth="8.86328125" defaultRowHeight="14.25" x14ac:dyDescent="0.45"/>
  <cols>
    <col min="1" max="2" width="16.59765625" bestFit="1" customWidth="1"/>
    <col min="3" max="4" width="15.73046875" customWidth="1"/>
    <col min="5" max="5" width="38.265625" bestFit="1" customWidth="1"/>
    <col min="7" max="7" width="20" customWidth="1"/>
    <col min="8" max="8" width="10.86328125" customWidth="1"/>
    <col min="9" max="9" width="29.1328125" bestFit="1" customWidth="1"/>
    <col min="11" max="11" width="12.86328125" customWidth="1"/>
    <col min="12" max="12" width="11.265625" customWidth="1"/>
    <col min="13" max="13" width="27.1328125" customWidth="1"/>
  </cols>
  <sheetData>
    <row r="1" spans="1:13" ht="19.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5</v>
      </c>
      <c r="I1" s="1" t="s">
        <v>4</v>
      </c>
      <c r="K1" s="1" t="s">
        <v>3</v>
      </c>
      <c r="L1" s="1" t="s">
        <v>6</v>
      </c>
      <c r="M1" s="1" t="s">
        <v>4</v>
      </c>
    </row>
    <row r="2" spans="1:13" x14ac:dyDescent="0.45">
      <c r="A2" s="3">
        <f>DATE(2025,1,10)</f>
        <v>45667</v>
      </c>
      <c r="B2" s="3">
        <f>DATE(2025,1,1)</f>
        <v>45658</v>
      </c>
      <c r="C2" s="2">
        <f>YEARFRAC(B2,A2)</f>
        <v>2.5000000000000001E-2</v>
      </c>
      <c r="D2" s="2">
        <f>DATEDIF(B2,A2,"D")</f>
        <v>9</v>
      </c>
      <c r="E2" t="s">
        <v>7</v>
      </c>
      <c r="G2" s="2">
        <f>YEARFRAC($B$3,$A$3,H2)</f>
        <v>0.99726775956284153</v>
      </c>
      <c r="H2">
        <v>1</v>
      </c>
      <c r="K2" s="2">
        <f t="shared" ref="K2:K4" si="0">DATEDIF($B$3,$A$3,L2)</f>
        <v>365</v>
      </c>
      <c r="L2" t="s">
        <v>8</v>
      </c>
    </row>
    <row r="3" spans="1:13" x14ac:dyDescent="0.45">
      <c r="A3" s="3">
        <f>DATE(2024,12,31)</f>
        <v>45657</v>
      </c>
      <c r="B3" s="3">
        <f>DATE(2024,1,1)</f>
        <v>45292</v>
      </c>
      <c r="C3" s="2">
        <f t="shared" ref="C3:C28" si="1">YEARFRAC(B3,A3)</f>
        <v>1</v>
      </c>
      <c r="D3" s="2">
        <f t="shared" ref="D3:D28" si="2">DATEDIF(B3,A3,"D")</f>
        <v>365</v>
      </c>
      <c r="E3" t="s">
        <v>9</v>
      </c>
      <c r="G3" s="2">
        <f t="shared" ref="G3:G6" si="3">YEARFRAC($B$3,$A$3,H3)</f>
        <v>1.0138888888888888</v>
      </c>
      <c r="H3">
        <v>2</v>
      </c>
      <c r="K3" s="2">
        <f t="shared" si="0"/>
        <v>11</v>
      </c>
      <c r="L3" t="s">
        <v>10</v>
      </c>
    </row>
    <row r="4" spans="1:13" x14ac:dyDescent="0.45">
      <c r="A4" s="3">
        <f>DATE(9999,10,12)</f>
        <v>2958385</v>
      </c>
      <c r="B4" s="3">
        <f>DATE(1990,5,12)</f>
        <v>33005</v>
      </c>
      <c r="C4" s="2">
        <f t="shared" si="1"/>
        <v>8009.416666666667</v>
      </c>
      <c r="D4" s="2">
        <f t="shared" si="2"/>
        <v>2925380</v>
      </c>
      <c r="E4" t="s">
        <v>11</v>
      </c>
      <c r="G4" s="2">
        <f t="shared" si="3"/>
        <v>1</v>
      </c>
      <c r="H4">
        <v>3</v>
      </c>
      <c r="K4" s="2">
        <f t="shared" si="0"/>
        <v>0</v>
      </c>
      <c r="L4" t="s">
        <v>12</v>
      </c>
    </row>
    <row r="5" spans="1:13" x14ac:dyDescent="0.45">
      <c r="A5" s="3">
        <f>DATE(2025,1,1)</f>
        <v>45658</v>
      </c>
      <c r="B5" s="3">
        <f>DATE(2025,1,10)</f>
        <v>45667</v>
      </c>
      <c r="C5" s="2">
        <f t="shared" si="1"/>
        <v>2.5000000000000001E-2</v>
      </c>
      <c r="D5" s="2" t="e">
        <f t="shared" si="2"/>
        <v>#NUM!</v>
      </c>
      <c r="E5" t="s">
        <v>13</v>
      </c>
      <c r="G5" s="2">
        <f t="shared" si="3"/>
        <v>0.99722222222222223</v>
      </c>
      <c r="H5">
        <v>4</v>
      </c>
      <c r="K5" s="2">
        <f>DATEDIF($B$3,$A$3,L5)</f>
        <v>30</v>
      </c>
      <c r="L5" t="s">
        <v>14</v>
      </c>
    </row>
    <row r="6" spans="1:13" x14ac:dyDescent="0.45">
      <c r="A6" s="3">
        <f>DATE(2026,2,4)</f>
        <v>46057</v>
      </c>
      <c r="B6" s="3">
        <f>DATE(2025,10,12)</f>
        <v>45942</v>
      </c>
      <c r="C6" s="2">
        <f t="shared" si="1"/>
        <v>0.31111111111111112</v>
      </c>
      <c r="D6" s="2">
        <f t="shared" si="2"/>
        <v>115</v>
      </c>
      <c r="E6" t="s">
        <v>15</v>
      </c>
      <c r="G6" s="2" t="e">
        <f t="shared" si="3"/>
        <v>#NUM!</v>
      </c>
      <c r="H6">
        <v>5</v>
      </c>
      <c r="I6" t="s">
        <v>16</v>
      </c>
      <c r="K6" s="2">
        <f t="shared" ref="K6" si="4">DATEDIF($B$3,$A$3,L6)</f>
        <v>11</v>
      </c>
      <c r="L6" t="s">
        <v>17</v>
      </c>
    </row>
    <row r="7" spans="1:13" x14ac:dyDescent="0.45">
      <c r="A7" s="3">
        <f>DATE(2025,1,10)</f>
        <v>45667</v>
      </c>
      <c r="B7" s="3">
        <f>DATE(2025,1,10)</f>
        <v>45667</v>
      </c>
      <c r="C7" s="2">
        <f t="shared" si="1"/>
        <v>0</v>
      </c>
      <c r="D7" s="2">
        <f t="shared" si="2"/>
        <v>0</v>
      </c>
      <c r="E7" t="s">
        <v>18</v>
      </c>
      <c r="G7" s="2" t="e">
        <f>YEARFRAC($B$3,$A$3,H7)</f>
        <v>#VALUE!</v>
      </c>
      <c r="H7" t="s">
        <v>19</v>
      </c>
      <c r="I7" t="s">
        <v>20</v>
      </c>
      <c r="K7" s="2">
        <f t="shared" ref="K7:K8" si="5">DATEDIF($B$3,$A$3,L7)</f>
        <v>365</v>
      </c>
      <c r="L7" t="s">
        <v>21</v>
      </c>
    </row>
    <row r="8" spans="1:13" x14ac:dyDescent="0.45">
      <c r="A8" s="3">
        <f>DATE(2024,3,1)</f>
        <v>45352</v>
      </c>
      <c r="B8" s="3">
        <f>DATE(2024,2,29)</f>
        <v>45351</v>
      </c>
      <c r="C8" s="2">
        <f t="shared" ref="C8" si="6">YEARFRAC(B8,A8)</f>
        <v>2.7777777777777779E-3</v>
      </c>
      <c r="D8" s="2">
        <f t="shared" ref="D8" si="7">DATEDIF(B8,A8,"D")</f>
        <v>1</v>
      </c>
      <c r="E8" t="s">
        <v>22</v>
      </c>
      <c r="G8" s="2" t="e">
        <f>YEARFRAC($B$3,$A$3,H8)</f>
        <v>#VALUE!</v>
      </c>
      <c r="H8" t="b">
        <v>1</v>
      </c>
      <c r="I8" t="s">
        <v>23</v>
      </c>
      <c r="K8" s="2">
        <f t="shared" si="5"/>
        <v>365</v>
      </c>
      <c r="L8" t="s">
        <v>24</v>
      </c>
      <c r="M8" t="s">
        <v>25</v>
      </c>
    </row>
    <row r="9" spans="1:13" x14ac:dyDescent="0.45">
      <c r="A9" s="3">
        <f>DATE(2025,2,28)</f>
        <v>45716</v>
      </c>
      <c r="B9" s="3">
        <f>DATE(2024,2,29)</f>
        <v>45351</v>
      </c>
      <c r="C9" s="2">
        <f t="shared" ref="C9" si="8">YEARFRAC(B9,A9)</f>
        <v>1</v>
      </c>
      <c r="D9" s="2">
        <f t="shared" ref="D9" si="9">DATEDIF(B9,A9,"D")</f>
        <v>365</v>
      </c>
      <c r="E9" t="s">
        <v>22</v>
      </c>
      <c r="G9" s="2" t="e">
        <f>YEARFRAC($B$3,$A$3,H9)</f>
        <v>#NUM!</v>
      </c>
      <c r="H9">
        <v>-2</v>
      </c>
      <c r="I9" t="s">
        <v>26</v>
      </c>
      <c r="K9" s="2" t="e">
        <f>DATEDIF($B$3,$A$3,L9)</f>
        <v>#DIV/0!</v>
      </c>
      <c r="L9" t="e">
        <f>1/0</f>
        <v>#DIV/0!</v>
      </c>
      <c r="M9" t="s">
        <v>35</v>
      </c>
    </row>
    <row r="10" spans="1:13" x14ac:dyDescent="0.45">
      <c r="A10" s="3">
        <f>DATE(2025,2,28)</f>
        <v>45716</v>
      </c>
      <c r="B10" s="3">
        <f>DATE(2025,1,31)</f>
        <v>45688</v>
      </c>
      <c r="C10" s="2">
        <f t="shared" ref="C10" si="10">YEARFRAC(B10,A10)</f>
        <v>7.7777777777777779E-2</v>
      </c>
      <c r="D10" s="2">
        <f t="shared" ref="D10" si="11">DATEDIF(B10,A10,"D")</f>
        <v>28</v>
      </c>
      <c r="E10" t="s">
        <v>27</v>
      </c>
      <c r="G10" s="2">
        <f t="shared" ref="G10" si="12">YEARFRAC($B$3,$A$3,H10)</f>
        <v>0.99726775956284153</v>
      </c>
      <c r="H10">
        <v>1.5</v>
      </c>
      <c r="I10" t="s">
        <v>28</v>
      </c>
    </row>
    <row r="11" spans="1:13" x14ac:dyDescent="0.45">
      <c r="A11" s="4">
        <f>DATE(2025,1,10)+TIME(16,30,0)</f>
        <v>45667.6875</v>
      </c>
      <c r="B11" s="4">
        <f>DATE(2025,1,1)+TIME(20,30,0)</f>
        <v>45658.854166666664</v>
      </c>
      <c r="C11" s="2">
        <f t="shared" ref="C11" si="13">YEARFRAC(B11,A11)</f>
        <v>2.5000000000000001E-2</v>
      </c>
      <c r="D11" s="2">
        <f t="shared" ref="D11" si="14">DATEDIF(B11,A11,"D")</f>
        <v>9</v>
      </c>
      <c r="E11" t="s">
        <v>29</v>
      </c>
      <c r="G11" s="2">
        <f>YEARFRAC($B$3,$A$3,H11)</f>
        <v>0.99726775956284153</v>
      </c>
      <c r="H11">
        <v>1.0009999999999999</v>
      </c>
      <c r="I11" t="s">
        <v>28</v>
      </c>
    </row>
    <row r="12" spans="1:13" x14ac:dyDescent="0.45">
      <c r="A12" s="4">
        <f>DATE(2025,1,10)+TIME(16,30,0)</f>
        <v>45667.6875</v>
      </c>
      <c r="B12" s="4">
        <f>DATE(2025,1,10)+TIME(20,30,0)</f>
        <v>45667.854166666664</v>
      </c>
      <c r="C12" s="2">
        <f t="shared" ref="C12" si="15">YEARFRAC(B12,A12)</f>
        <v>0</v>
      </c>
      <c r="D12" s="2">
        <f t="shared" ref="D12" si="16">DATEDIF(B12,A12,"D")</f>
        <v>0</v>
      </c>
      <c r="E12" t="s">
        <v>30</v>
      </c>
      <c r="G12" s="2">
        <f>YEARFRAC($B$3,$A$3,H12)</f>
        <v>0.99726775956284153</v>
      </c>
      <c r="H12" s="5">
        <v>1.9999998999999999</v>
      </c>
      <c r="I12" t="s">
        <v>31</v>
      </c>
    </row>
    <row r="13" spans="1:13" x14ac:dyDescent="0.45">
      <c r="A13" s="4">
        <f>DATE(2025,1,11)+TIME(0,1,0)</f>
        <v>45668.000694444447</v>
      </c>
      <c r="B13" s="4">
        <f>DATE(2025,1,10)+TIME(23,59,0)</f>
        <v>45667.999305555553</v>
      </c>
      <c r="C13" s="2">
        <f t="shared" ref="C13" si="17">YEARFRAC(B13,A13)</f>
        <v>2.7777777777777779E-3</v>
      </c>
      <c r="D13" s="2">
        <f t="shared" ref="D13" si="18">DATEDIF(B13,A13,"D")</f>
        <v>1</v>
      </c>
      <c r="E13" t="s">
        <v>32</v>
      </c>
      <c r="G13" s="2">
        <f>YEARFRAC($B$3,$A$3,H13)</f>
        <v>1</v>
      </c>
      <c r="H13" s="5"/>
      <c r="I13" t="s">
        <v>33</v>
      </c>
    </row>
    <row r="14" spans="1:13" x14ac:dyDescent="0.45">
      <c r="A14">
        <v>9</v>
      </c>
      <c r="B14">
        <v>6</v>
      </c>
      <c r="C14" s="2">
        <f t="shared" si="1"/>
        <v>8.3333333333333332E-3</v>
      </c>
      <c r="D14" s="2">
        <f t="shared" si="2"/>
        <v>3</v>
      </c>
      <c r="E14" t="s">
        <v>34</v>
      </c>
      <c r="G14" s="2" t="e">
        <f>YEARFRAC($B$3,$A$3,H14)</f>
        <v>#DIV/0!</v>
      </c>
      <c r="H14" s="5" t="e">
        <f>1/0</f>
        <v>#DIV/0!</v>
      </c>
      <c r="I14" t="s">
        <v>35</v>
      </c>
    </row>
    <row r="15" spans="1:13" x14ac:dyDescent="0.45">
      <c r="A15">
        <v>9</v>
      </c>
      <c r="B15" s="3">
        <v>6</v>
      </c>
      <c r="C15" s="2">
        <f t="shared" si="1"/>
        <v>8.3333333333333332E-3</v>
      </c>
      <c r="D15" s="2">
        <f t="shared" si="2"/>
        <v>3</v>
      </c>
      <c r="E15" t="s">
        <v>36</v>
      </c>
    </row>
    <row r="16" spans="1:13" x14ac:dyDescent="0.45">
      <c r="A16">
        <v>9.25</v>
      </c>
      <c r="B16">
        <v>6.25</v>
      </c>
      <c r="C16" s="2">
        <f t="shared" si="1"/>
        <v>8.3333333333333332E-3</v>
      </c>
      <c r="D16" s="2">
        <f t="shared" si="2"/>
        <v>3</v>
      </c>
      <c r="E16" t="s">
        <v>28</v>
      </c>
    </row>
    <row r="17" spans="1:6" x14ac:dyDescent="0.45">
      <c r="A17">
        <v>-10</v>
      </c>
      <c r="B17">
        <v>-5</v>
      </c>
      <c r="C17" s="2" t="e">
        <f t="shared" ref="C17" si="19">YEARFRAC(B17,A17)</f>
        <v>#NUM!</v>
      </c>
      <c r="D17" s="2" t="e">
        <f t="shared" ref="D17" si="20">DATEDIF(B17,A17,"D")</f>
        <v>#NUM!</v>
      </c>
      <c r="E17" t="s">
        <v>37</v>
      </c>
    </row>
    <row r="18" spans="1:6" x14ac:dyDescent="0.45">
      <c r="A18">
        <v>-50</v>
      </c>
      <c r="B18">
        <v>50</v>
      </c>
      <c r="C18" s="2" t="e">
        <f t="shared" ref="C18:C19" si="21">YEARFRAC(B18,A18)</f>
        <v>#NUM!</v>
      </c>
      <c r="D18" s="2" t="e">
        <f t="shared" ref="D18:D19" si="22">DATEDIF(B18,A18,"D")</f>
        <v>#NUM!</v>
      </c>
      <c r="E18" t="s">
        <v>37</v>
      </c>
    </row>
    <row r="19" spans="1:6" x14ac:dyDescent="0.45">
      <c r="A19">
        <v>50</v>
      </c>
      <c r="B19">
        <v>-50</v>
      </c>
      <c r="C19" s="2" t="e">
        <f t="shared" si="21"/>
        <v>#NUM!</v>
      </c>
      <c r="D19" s="2" t="e">
        <f t="shared" si="22"/>
        <v>#NUM!</v>
      </c>
      <c r="E19" t="s">
        <v>37</v>
      </c>
    </row>
    <row r="20" spans="1:6" x14ac:dyDescent="0.45">
      <c r="A20" t="e">
        <f>1/0</f>
        <v>#DIV/0!</v>
      </c>
      <c r="B20" t="e">
        <f>1/0</f>
        <v>#DIV/0!</v>
      </c>
      <c r="C20" s="2" t="e">
        <f t="shared" si="1"/>
        <v>#DIV/0!</v>
      </c>
      <c r="D20" s="2" t="e">
        <f t="shared" si="2"/>
        <v>#DIV/0!</v>
      </c>
      <c r="E20" t="s">
        <v>35</v>
      </c>
    </row>
    <row r="21" spans="1:6" x14ac:dyDescent="0.45">
      <c r="A21" t="e">
        <f>1/0</f>
        <v>#DIV/0!</v>
      </c>
      <c r="B21">
        <v>10</v>
      </c>
      <c r="C21" s="2" t="e">
        <f t="shared" si="1"/>
        <v>#DIV/0!</v>
      </c>
      <c r="D21" s="2" t="e">
        <f t="shared" si="2"/>
        <v>#DIV/0!</v>
      </c>
      <c r="E21" t="s">
        <v>35</v>
      </c>
    </row>
    <row r="22" spans="1:6" x14ac:dyDescent="0.45">
      <c r="A22">
        <v>10</v>
      </c>
      <c r="B22" t="e">
        <f>1/0</f>
        <v>#DIV/0!</v>
      </c>
      <c r="C22" s="2" t="e">
        <f t="shared" si="1"/>
        <v>#DIV/0!</v>
      </c>
      <c r="D22" s="2" t="e">
        <f t="shared" si="2"/>
        <v>#DIV/0!</v>
      </c>
      <c r="E22" t="s">
        <v>35</v>
      </c>
    </row>
    <row r="23" spans="1:6" x14ac:dyDescent="0.45">
      <c r="A23" t="e">
        <f>NA()</f>
        <v>#N/A</v>
      </c>
      <c r="B23">
        <v>10</v>
      </c>
      <c r="C23" s="2" t="e">
        <f t="shared" ref="C23:C26" si="23">YEARFRAC(B23,A23)</f>
        <v>#N/A</v>
      </c>
      <c r="D23" s="2" t="e">
        <f t="shared" ref="D23:D26" si="24">DATEDIF(B23,A23,"D")</f>
        <v>#N/A</v>
      </c>
      <c r="E23" t="s">
        <v>35</v>
      </c>
    </row>
    <row r="24" spans="1:6" x14ac:dyDescent="0.45">
      <c r="A24" t="e" cm="1">
        <f t="array" ref="A24">HELLO</f>
        <v>#NAME?</v>
      </c>
      <c r="B24">
        <v>10</v>
      </c>
      <c r="C24" s="2" t="e">
        <f t="shared" si="23"/>
        <v>#NAME?</v>
      </c>
      <c r="D24" s="2" t="e">
        <f t="shared" si="24"/>
        <v>#NAME?</v>
      </c>
      <c r="E24" t="s">
        <v>35</v>
      </c>
    </row>
    <row r="25" spans="1:6" x14ac:dyDescent="0.45">
      <c r="A25" t="e">
        <f>SQRT(-1)</f>
        <v>#NUM!</v>
      </c>
      <c r="B25">
        <v>10</v>
      </c>
      <c r="C25" s="2" t="e">
        <f t="shared" si="23"/>
        <v>#NUM!</v>
      </c>
      <c r="D25" s="2" t="e">
        <f t="shared" si="24"/>
        <v>#NUM!</v>
      </c>
      <c r="E25" t="s">
        <v>35</v>
      </c>
    </row>
    <row r="26" spans="1:6" x14ac:dyDescent="0.45">
      <c r="A26" t="e">
        <f>"x"+1</f>
        <v>#VALUE!</v>
      </c>
      <c r="B26">
        <v>10</v>
      </c>
      <c r="C26" s="2" t="e">
        <f t="shared" si="23"/>
        <v>#VALUE!</v>
      </c>
      <c r="D26" s="2" t="e">
        <f t="shared" si="24"/>
        <v>#VALUE!</v>
      </c>
      <c r="E26" t="s">
        <v>35</v>
      </c>
    </row>
    <row r="27" spans="1:6" x14ac:dyDescent="0.45">
      <c r="A27" t="str">
        <f>"2026-01-10"</f>
        <v>2026-01-10</v>
      </c>
      <c r="B27" t="str">
        <f>"2024-01-10"</f>
        <v>2024-01-10</v>
      </c>
      <c r="C27" s="2">
        <f t="shared" ref="C27" si="25">YEARFRAC(B27,A27)</f>
        <v>2</v>
      </c>
      <c r="D27" s="2">
        <f t="shared" ref="D27" si="26">DATEDIF(B27,A27,"D")</f>
        <v>731</v>
      </c>
      <c r="E27" t="s">
        <v>38</v>
      </c>
    </row>
    <row r="28" spans="1:6" x14ac:dyDescent="0.45">
      <c r="A28" t="s">
        <v>19</v>
      </c>
      <c r="B28" t="s">
        <v>39</v>
      </c>
      <c r="C28" s="2" t="e">
        <f t="shared" si="1"/>
        <v>#VALUE!</v>
      </c>
      <c r="D28" s="2" t="e">
        <f t="shared" si="2"/>
        <v>#VALUE!</v>
      </c>
      <c r="E28" t="s">
        <v>40</v>
      </c>
    </row>
    <row r="29" spans="1:6" x14ac:dyDescent="0.45">
      <c r="A29" t="s">
        <v>41</v>
      </c>
      <c r="B29" t="s">
        <v>42</v>
      </c>
      <c r="C29" s="2" t="e">
        <f t="shared" ref="C29" si="27">YEARFRAC(B29,A29)</f>
        <v>#VALUE!</v>
      </c>
      <c r="D29" s="2" t="e">
        <f t="shared" ref="D29" si="28">DATEDIF(B29,A29,"D")</f>
        <v>#VALUE!</v>
      </c>
      <c r="E29" t="s">
        <v>43</v>
      </c>
    </row>
    <row r="30" spans="1:6" x14ac:dyDescent="0.45">
      <c r="A30">
        <f>F28:F31</f>
        <v>3</v>
      </c>
      <c r="B30">
        <v>1</v>
      </c>
      <c r="C30" s="2">
        <f>YEARFRAC(B30,_xlfn.SINGLE(F:F))</f>
        <v>5.5555555555555558E-3</v>
      </c>
      <c r="D30" s="2">
        <f>DATEDIF(B30,F:F,"D")</f>
        <v>2</v>
      </c>
      <c r="E30" t="s">
        <v>44</v>
      </c>
      <c r="F30">
        <v>3</v>
      </c>
    </row>
    <row r="31" spans="1:6" x14ac:dyDescent="0.45">
      <c r="A31">
        <v>10</v>
      </c>
      <c r="B31">
        <f>F28:F31</f>
        <v>4</v>
      </c>
      <c r="C31" s="2">
        <f>YEARFRAC(_xlfn.SINGLE(F:F),A31)</f>
        <v>1.6666666666666666E-2</v>
      </c>
      <c r="D31" s="2">
        <f>DATEDIF(F:F,A31,"D")</f>
        <v>6</v>
      </c>
      <c r="E31" t="s">
        <v>45</v>
      </c>
      <c r="F31">
        <v>4</v>
      </c>
    </row>
    <row r="34" spans="1:5" ht="15.75" x14ac:dyDescent="0.5">
      <c r="A34" s="1" t="s">
        <v>0</v>
      </c>
      <c r="B34" s="1" t="s">
        <v>1</v>
      </c>
      <c r="C34" s="11" t="s">
        <v>46</v>
      </c>
      <c r="D34" s="12" t="s">
        <v>2</v>
      </c>
      <c r="E34" s="11"/>
    </row>
    <row r="35" spans="1:5" x14ac:dyDescent="0.45">
      <c r="A35" s="3">
        <f>DATE(2008,3,1)</f>
        <v>39508</v>
      </c>
      <c r="B35" s="3">
        <f>DATE(2008,8,31)</f>
        <v>39691</v>
      </c>
      <c r="C35" s="9">
        <v>0</v>
      </c>
      <c r="D35" s="7">
        <f>YEARFRAC(A35,B35,C35)</f>
        <v>0.5</v>
      </c>
      <c r="E35" s="10"/>
    </row>
    <row r="36" spans="1:5" x14ac:dyDescent="0.45">
      <c r="A36" s="3">
        <f>DATE(2008,3,1)</f>
        <v>39508</v>
      </c>
      <c r="B36" s="3">
        <f>DATE(2008,8,31)</f>
        <v>39691</v>
      </c>
      <c r="C36" s="9">
        <v>1</v>
      </c>
      <c r="D36" s="8">
        <f t="shared" ref="D36:D58" si="29">YEARFRAC(A36,B36,C36)</f>
        <v>0.5</v>
      </c>
      <c r="E36" s="10"/>
    </row>
    <row r="37" spans="1:5" x14ac:dyDescent="0.45">
      <c r="A37" s="3">
        <f>DATE(2008,3,1)</f>
        <v>39508</v>
      </c>
      <c r="B37" s="3">
        <f>DATE(2008,8,31)</f>
        <v>39691</v>
      </c>
      <c r="C37" s="9">
        <v>2</v>
      </c>
      <c r="D37" s="8">
        <f t="shared" si="29"/>
        <v>0.5083333333333333</v>
      </c>
      <c r="E37" s="10"/>
    </row>
    <row r="38" spans="1:5" x14ac:dyDescent="0.45">
      <c r="A38" s="3">
        <f>DATE(2008,3,1)</f>
        <v>39508</v>
      </c>
      <c r="B38" s="3">
        <f>DATE(2008,8,31)</f>
        <v>39691</v>
      </c>
      <c r="C38" s="9">
        <v>3</v>
      </c>
      <c r="D38" s="8">
        <f t="shared" si="29"/>
        <v>0.50136986301369868</v>
      </c>
      <c r="E38" s="10"/>
    </row>
    <row r="39" spans="1:5" x14ac:dyDescent="0.45">
      <c r="A39" s="3">
        <f>DATE(2008,3,1)</f>
        <v>39508</v>
      </c>
      <c r="B39" s="3">
        <f>DATE(2008,8,31)</f>
        <v>39691</v>
      </c>
      <c r="C39" s="9">
        <v>4</v>
      </c>
      <c r="D39" s="8">
        <f t="shared" si="29"/>
        <v>0.49722222222222223</v>
      </c>
      <c r="E39" s="10"/>
    </row>
    <row r="40" spans="1:5" x14ac:dyDescent="0.45">
      <c r="A40" s="3">
        <f>DATE(2007,3,1)</f>
        <v>39142</v>
      </c>
      <c r="B40" s="3">
        <f>DATE(2007,8,31)</f>
        <v>39325</v>
      </c>
      <c r="C40" s="9">
        <v>0</v>
      </c>
      <c r="D40" s="8">
        <f t="shared" si="29"/>
        <v>0.5</v>
      </c>
      <c r="E40" s="10"/>
    </row>
    <row r="41" spans="1:5" x14ac:dyDescent="0.45">
      <c r="A41" s="3">
        <f>DATE(2007,3,1)</f>
        <v>39142</v>
      </c>
      <c r="B41" s="3">
        <f>DATE(2007,8,31)</f>
        <v>39325</v>
      </c>
      <c r="C41" s="9">
        <v>1</v>
      </c>
      <c r="D41" s="8">
        <f t="shared" si="29"/>
        <v>0.50136986301369868</v>
      </c>
      <c r="E41" s="10"/>
    </row>
    <row r="42" spans="1:5" x14ac:dyDescent="0.45">
      <c r="A42" s="3">
        <f>DATE(2017,2,3)</f>
        <v>42769</v>
      </c>
      <c r="B42" s="3">
        <f>DATE(2017,12,1)</f>
        <v>43070</v>
      </c>
      <c r="C42" s="9">
        <v>0</v>
      </c>
      <c r="D42" s="8">
        <f t="shared" si="29"/>
        <v>0.82777777777777772</v>
      </c>
      <c r="E42" s="10"/>
    </row>
    <row r="43" spans="1:5" x14ac:dyDescent="0.45">
      <c r="A43" s="3">
        <f>DATE(2017,2,3)</f>
        <v>42769</v>
      </c>
      <c r="B43" s="3">
        <f t="shared" ref="B43:B46" si="30">DATE(2017,12,1)</f>
        <v>43070</v>
      </c>
      <c r="C43" s="9">
        <v>1</v>
      </c>
      <c r="D43" s="8">
        <f t="shared" si="29"/>
        <v>0.8246575342465754</v>
      </c>
      <c r="E43" s="10"/>
    </row>
    <row r="44" spans="1:5" x14ac:dyDescent="0.45">
      <c r="A44" s="3">
        <f>DATE(2017,2,3)</f>
        <v>42769</v>
      </c>
      <c r="B44" s="3">
        <f t="shared" si="30"/>
        <v>43070</v>
      </c>
      <c r="C44" s="9">
        <v>2</v>
      </c>
      <c r="D44" s="8">
        <f t="shared" si="29"/>
        <v>0.83611111111111114</v>
      </c>
      <c r="E44" s="10"/>
    </row>
    <row r="45" spans="1:5" x14ac:dyDescent="0.45">
      <c r="A45" s="3">
        <f>DATE(2017,2,3)</f>
        <v>42769</v>
      </c>
      <c r="B45" s="3">
        <f t="shared" si="30"/>
        <v>43070</v>
      </c>
      <c r="C45" s="9">
        <v>3</v>
      </c>
      <c r="D45" s="8">
        <f t="shared" si="29"/>
        <v>0.8246575342465754</v>
      </c>
      <c r="E45" s="10"/>
    </row>
    <row r="46" spans="1:5" x14ac:dyDescent="0.45">
      <c r="A46" s="3">
        <f>DATE(2017,2,3)</f>
        <v>42769</v>
      </c>
      <c r="B46" s="3">
        <f t="shared" si="30"/>
        <v>43070</v>
      </c>
      <c r="C46" s="9">
        <v>4</v>
      </c>
      <c r="D46" s="8">
        <f t="shared" si="29"/>
        <v>0.82777777777777772</v>
      </c>
      <c r="E46" s="10"/>
    </row>
    <row r="47" spans="1:5" x14ac:dyDescent="0.45">
      <c r="A47" s="3">
        <f>DATE(2007,4,5)</f>
        <v>39177</v>
      </c>
      <c r="B47" s="3">
        <f>DATE(2007,8,7)</f>
        <v>39301</v>
      </c>
      <c r="C47" s="9">
        <v>0</v>
      </c>
      <c r="D47" s="8">
        <f t="shared" si="29"/>
        <v>0.33888888888888891</v>
      </c>
      <c r="E47" s="10"/>
    </row>
    <row r="48" spans="1:5" x14ac:dyDescent="0.45">
      <c r="A48" s="3">
        <f>DATE(2007,4,5)</f>
        <v>39177</v>
      </c>
      <c r="B48" s="3">
        <f>DATE(2007,8,7)</f>
        <v>39301</v>
      </c>
      <c r="C48" s="9">
        <v>1</v>
      </c>
      <c r="D48" s="8">
        <f t="shared" si="29"/>
        <v>0.33972602739726027</v>
      </c>
      <c r="E48" s="10"/>
    </row>
    <row r="49" spans="1:5" x14ac:dyDescent="0.45">
      <c r="A49" s="3">
        <f>DATE(2007,4,5)</f>
        <v>39177</v>
      </c>
      <c r="B49" s="3">
        <f>DATE(2007,8,7)</f>
        <v>39301</v>
      </c>
      <c r="C49" s="9">
        <v>2</v>
      </c>
      <c r="D49" s="8">
        <f t="shared" si="29"/>
        <v>0.34444444444444444</v>
      </c>
      <c r="E49" s="10"/>
    </row>
    <row r="50" spans="1:5" x14ac:dyDescent="0.45">
      <c r="A50" s="3">
        <f>DATE(2007,4,5)</f>
        <v>39177</v>
      </c>
      <c r="B50" s="3">
        <f>DATE(2007,8,7)</f>
        <v>39301</v>
      </c>
      <c r="C50" s="9">
        <v>3</v>
      </c>
      <c r="D50" s="8">
        <f t="shared" si="29"/>
        <v>0.33972602739726027</v>
      </c>
      <c r="E50" s="10"/>
    </row>
    <row r="51" spans="1:5" x14ac:dyDescent="0.45">
      <c r="A51" s="3">
        <f>DATE(2007,4,5)</f>
        <v>39177</v>
      </c>
      <c r="B51" s="3">
        <f>DATE(2007,8,7)</f>
        <v>39301</v>
      </c>
      <c r="C51" s="9">
        <v>4</v>
      </c>
      <c r="D51" s="8">
        <f t="shared" si="29"/>
        <v>0.33888888888888891</v>
      </c>
      <c r="E51" s="10"/>
    </row>
    <row r="52" spans="1:5" x14ac:dyDescent="0.45">
      <c r="A52" s="3">
        <f>DATE(1995,5,5)</f>
        <v>34824</v>
      </c>
      <c r="B52" s="3">
        <f>DATE(2026,6,6)</f>
        <v>46179</v>
      </c>
      <c r="C52" s="9">
        <v>0</v>
      </c>
      <c r="D52" s="8">
        <f t="shared" si="29"/>
        <v>31.086111111111112</v>
      </c>
      <c r="E52" s="10"/>
    </row>
    <row r="53" spans="1:5" x14ac:dyDescent="0.45">
      <c r="A53" s="3">
        <f>DATE(1995,5,5)</f>
        <v>34824</v>
      </c>
      <c r="B53" s="3">
        <f>DATE(2026,6,6)</f>
        <v>46179</v>
      </c>
      <c r="C53" s="9">
        <v>1</v>
      </c>
      <c r="D53" s="8">
        <f t="shared" si="29"/>
        <v>31.088295687885012</v>
      </c>
      <c r="E53" s="10"/>
    </row>
    <row r="54" spans="1:5" x14ac:dyDescent="0.45">
      <c r="A54" s="3">
        <f>DATE(1995,5,5)</f>
        <v>34824</v>
      </c>
      <c r="B54" s="3">
        <f>DATE(2026,6,6)</f>
        <v>46179</v>
      </c>
      <c r="C54" s="9">
        <v>2</v>
      </c>
      <c r="D54" s="8">
        <f t="shared" si="29"/>
        <v>31.541666666666668</v>
      </c>
      <c r="E54" s="10"/>
    </row>
    <row r="55" spans="1:5" x14ac:dyDescent="0.45">
      <c r="A55" s="3">
        <f>DATE(1995,5,5)</f>
        <v>34824</v>
      </c>
      <c r="B55" s="3">
        <f>DATE(2026,6,6)</f>
        <v>46179</v>
      </c>
      <c r="C55" s="9">
        <v>3</v>
      </c>
      <c r="D55" s="8">
        <f t="shared" si="29"/>
        <v>31.109589041095891</v>
      </c>
      <c r="E55" s="10"/>
    </row>
    <row r="56" spans="1:5" x14ac:dyDescent="0.45">
      <c r="A56" s="3">
        <f>DATE(1995,5,5)</f>
        <v>34824</v>
      </c>
      <c r="B56" s="3">
        <f>DATE(2026,6,6)</f>
        <v>46179</v>
      </c>
      <c r="C56" s="9">
        <v>4</v>
      </c>
      <c r="D56" s="6">
        <f t="shared" si="29"/>
        <v>31.086111111111112</v>
      </c>
      <c r="E56" s="10"/>
    </row>
    <row r="57" spans="1:5" ht="15.75" x14ac:dyDescent="0.5">
      <c r="A57" s="11"/>
      <c r="B57" s="11"/>
      <c r="C57" s="11"/>
      <c r="D57" s="13"/>
      <c r="E57" s="11"/>
    </row>
    <row r="58" spans="1:5" x14ac:dyDescent="0.45">
      <c r="A58" s="3">
        <f>DATE(2026,6,6)</f>
        <v>46179</v>
      </c>
      <c r="B58" s="3">
        <f>DATE(2026,3,3)</f>
        <v>46084</v>
      </c>
      <c r="C58" s="9">
        <v>0</v>
      </c>
      <c r="D58" s="7">
        <f t="shared" si="29"/>
        <v>0.25833333333333336</v>
      </c>
      <c r="E58" s="10"/>
    </row>
    <row r="61" spans="1:5" x14ac:dyDescent="0.45">
      <c r="A61" s="3">
        <f>DATE(1998,8,8)</f>
        <v>36015</v>
      </c>
      <c r="B61" s="3">
        <f>DATE(2024,4,4)</f>
        <v>45386</v>
      </c>
      <c r="C61" s="9">
        <v>1</v>
      </c>
      <c r="D61" s="8">
        <f t="shared" ref="D61:D63" si="31">YEARFRAC(A61,B61,C61)</f>
        <v>25.655749340904482</v>
      </c>
      <c r="E61" s="10"/>
    </row>
    <row r="62" spans="1:5" x14ac:dyDescent="0.45">
      <c r="A62" s="3">
        <f>DATE(2023,3,3)</f>
        <v>44988</v>
      </c>
      <c r="B62" s="3">
        <f>DATE(2024,2,28)</f>
        <v>45350</v>
      </c>
      <c r="C62" s="9">
        <v>1</v>
      </c>
      <c r="D62" s="8">
        <f t="shared" si="31"/>
        <v>0.99178082191780825</v>
      </c>
      <c r="E62" s="10"/>
    </row>
    <row r="63" spans="1:5" x14ac:dyDescent="0.45">
      <c r="A63" s="3">
        <f>DATE(2022,2,2)</f>
        <v>44594</v>
      </c>
      <c r="B63" s="3">
        <f>DATE(2024,2,29)</f>
        <v>45351</v>
      </c>
      <c r="C63" s="9">
        <v>1</v>
      </c>
      <c r="D63" s="8">
        <f t="shared" si="31"/>
        <v>2.0720802919708032</v>
      </c>
      <c r="E63" s="10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YEARFRAC_DATEDIF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2026-08-27T14:02:37Z</dcterms:modified>
  <cp:category/>
  <cp:contentStatus/>
</cp:coreProperties>
</file>