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sam\Documents\IronCalc stuff\my_calc_tests\"/>
    </mc:Choice>
  </mc:AlternateContent>
  <xr:revisionPtr revIDLastSave="0" documentId="13_ncr:1_{8122FDE4-05C0-4DD8-AFDC-6E6407150AFB}" xr6:coauthVersionLast="47" xr6:coauthVersionMax="47" xr10:uidLastSave="{00000000-0000-0000-0000-000000000000}"/>
  <bookViews>
    <workbookView xWindow="2660" yWindow="2660" windowWidth="28800" windowHeight="15360" xr2:uid="{8EEA0296-F25F-4633-ADCF-E78FA5A505D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8" i="1" l="1"/>
  <c r="C28" i="1"/>
  <c r="D28" i="1"/>
  <c r="B29" i="1"/>
  <c r="C29" i="1"/>
  <c r="D29" i="1"/>
  <c r="D37" i="1"/>
  <c r="C37" i="1"/>
  <c r="B37" i="1"/>
  <c r="A36" i="1"/>
  <c r="A35" i="1"/>
  <c r="A34" i="1"/>
  <c r="A33" i="1"/>
  <c r="D32" i="1"/>
  <c r="C32" i="1"/>
  <c r="B32" i="1"/>
  <c r="D31" i="1"/>
  <c r="C31" i="1"/>
  <c r="B31" i="1"/>
  <c r="D30" i="1"/>
  <c r="C30" i="1"/>
  <c r="B30" i="1"/>
  <c r="D27" i="1"/>
  <c r="C27" i="1"/>
  <c r="B27" i="1"/>
  <c r="A26" i="1"/>
  <c r="A25" i="1"/>
  <c r="A24" i="1"/>
  <c r="A23" i="1"/>
  <c r="D22" i="1"/>
  <c r="C22" i="1"/>
  <c r="B22" i="1"/>
  <c r="D21" i="1"/>
  <c r="C21" i="1"/>
  <c r="B21" i="1"/>
  <c r="A20" i="1"/>
  <c r="D19" i="1"/>
  <c r="C19" i="1"/>
  <c r="B19" i="1"/>
  <c r="D18" i="1"/>
  <c r="C18" i="1"/>
  <c r="B18" i="1"/>
  <c r="D17" i="1"/>
  <c r="C17" i="1"/>
  <c r="B17" i="1"/>
  <c r="D16" i="1"/>
  <c r="C16" i="1"/>
  <c r="B16" i="1"/>
  <c r="D14" i="1"/>
  <c r="C14" i="1"/>
  <c r="B14" i="1"/>
  <c r="D36" i="1" l="1"/>
  <c r="C36" i="1"/>
  <c r="B36" i="1"/>
  <c r="D35" i="1"/>
  <c r="C35" i="1"/>
  <c r="B35" i="1"/>
  <c r="D34" i="1"/>
  <c r="C34" i="1"/>
  <c r="B34" i="1"/>
  <c r="D33" i="1"/>
  <c r="C33" i="1"/>
  <c r="B33" i="1"/>
  <c r="C26" i="1"/>
  <c r="B26" i="1"/>
  <c r="D26" i="1"/>
  <c r="D25" i="1"/>
  <c r="C25" i="1"/>
  <c r="B25" i="1"/>
  <c r="B24" i="1"/>
  <c r="D24" i="1"/>
  <c r="C24" i="1"/>
  <c r="B23" i="1"/>
  <c r="D23" i="1"/>
  <c r="C23" i="1"/>
  <c r="D20" i="1"/>
  <c r="B20" i="1"/>
  <c r="C20" i="1"/>
  <c r="D13" i="1"/>
  <c r="C13" i="1"/>
  <c r="B13" i="1"/>
  <c r="D12" i="1"/>
  <c r="C12" i="1"/>
  <c r="B12" i="1"/>
  <c r="D11" i="1"/>
  <c r="C11" i="1"/>
  <c r="B11" i="1"/>
  <c r="D10" i="1"/>
  <c r="D9" i="1"/>
  <c r="D8" i="1"/>
  <c r="D6" i="1"/>
  <c r="D5" i="1"/>
  <c r="D4" i="1"/>
  <c r="D3" i="1"/>
  <c r="D2" i="1"/>
  <c r="C3" i="1"/>
  <c r="C4" i="1"/>
  <c r="C5" i="1"/>
  <c r="C6" i="1"/>
  <c r="C8" i="1"/>
  <c r="C9" i="1"/>
  <c r="C10" i="1"/>
  <c r="C2" i="1"/>
  <c r="B10" i="1"/>
  <c r="A7" i="1"/>
  <c r="D7" i="1" s="1"/>
  <c r="B3" i="1"/>
  <c r="B4" i="1"/>
  <c r="B5" i="1"/>
  <c r="B6" i="1"/>
  <c r="B8" i="1"/>
  <c r="B9" i="1"/>
  <c r="B2" i="1"/>
  <c r="B7" i="1" l="1"/>
  <c r="C7" i="1"/>
</calcChain>
</file>

<file path=xl/sharedStrings.xml><?xml version="1.0" encoding="utf-8"?>
<sst xmlns="http://schemas.openxmlformats.org/spreadsheetml/2006/main" count="47" uniqueCount="44">
  <si>
    <t>DAY</t>
  </si>
  <si>
    <t>YEAR</t>
  </si>
  <si>
    <t>MONTH</t>
  </si>
  <si>
    <t>qwerty</t>
  </si>
  <si>
    <t>NOTES</t>
  </si>
  <si>
    <t>Valid serial number</t>
  </si>
  <si>
    <t>Next day, crosses into a new month</t>
  </si>
  <si>
    <t>Next day within the month</t>
  </si>
  <si>
    <t>Earlier valid serial number</t>
  </si>
  <si>
    <t>Negative value</t>
  </si>
  <si>
    <t>Error propagation</t>
  </si>
  <si>
    <t>Fractional serial number, time portion truncated</t>
  </si>
  <si>
    <t>Non-numeric string</t>
  </si>
  <si>
    <t>Large serial number, far future year</t>
  </si>
  <si>
    <t>Serial 61, first date after the 1900 leap-year bug</t>
  </si>
  <si>
    <t>Negative fractional value</t>
  </si>
  <si>
    <t>Maximum valid date</t>
  </si>
  <si>
    <t>Beyond maximum date bound</t>
  </si>
  <si>
    <t>Very large value, far beyond date bound</t>
  </si>
  <si>
    <t>Real leap day</t>
  </si>
  <si>
    <t>Last day of February in a non-leap year</t>
  </si>
  <si>
    <t>Last day of the year</t>
  </si>
  <si>
    <t>First day of the year</t>
  </si>
  <si>
    <t>45658</t>
  </si>
  <si>
    <t>Numeric text serial</t>
  </si>
  <si>
    <t>2025-06-15</t>
  </si>
  <si>
    <t>Date as ISO format string</t>
  </si>
  <si>
    <t>Beyond valid month bound in a date string</t>
  </si>
  <si>
    <t>2025-02-30</t>
  </si>
  <si>
    <t>Beyond valid day bound in a date string</t>
  </si>
  <si>
    <t>Mid-day fractional value at end of month</t>
  </si>
  <si>
    <t>Fractional value past the maximum date</t>
  </si>
  <si>
    <t>Error propagation, #N/A</t>
  </si>
  <si>
    <t>Date coerced to text by concatenation</t>
  </si>
  <si>
    <t>Fractional value on the first date after the 1900 bug</t>
  </si>
  <si>
    <t>2025-15-13</t>
  </si>
  <si>
    <t>Fractional value below valid serial</t>
  </si>
  <si>
    <t>Negative value just below valid serial</t>
  </si>
  <si>
    <t>Positive value just above valid serial</t>
  </si>
  <si>
    <t>Serial number</t>
  </si>
  <si>
    <t>"45658"</t>
  </si>
  <si>
    <t>" 45658"</t>
  </si>
  <si>
    <t>Numeric text serial in quotes</t>
  </si>
  <si>
    <t>Numeric text serial in quotes with leading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</si>
</sst>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0">
    <xf numFmtId="0" fontId="0" fillId="0" borderId="0" xfId="0"/>
    <xf numFmtId="0" fontId="1" fillId="0" borderId="0" xfId="0" applyFont="1"/>
    <xf numFmtId="0" fontId="2" fillId="2" borderId="1" xfId="1"/>
    <xf numFmtId="0" fontId="2" fillId="3" borderId="1" xfId="0" applyFont="1" applyFill="1" applyBorder="1"/>
    <xf numFmtId="0" fontId="2" fillId="3" borderId="5" xfId="0" applyFont="1" applyFill="1" applyBorder="1"/>
    <xf numFmtId="0" fontId="0" fillId="0" borderId="4" xfId="0" applyBorder="1"/>
    <xf numFmtId="49" fontId="0" fillId="0" borderId="4" xfId="0" applyNumberFormat="1" applyBorder="1"/>
    <xf numFmtId="0" fontId="2" fillId="3" borderId="2" xfId="0" applyFont="1" applyFill="1" applyBorder="1"/>
    <xf numFmtId="0" fontId="0" fillId="0" borderId="3" xfId="0" applyBorder="1"/>
    <xf numFmtId="165" fontId="0" fillId="0" borderId="4" xfId="0" applyNumberFormat="1" applyBorder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A32388-920E-40DB-9775-CC6D1FA9FD0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0562e5a-f258-4d47-af17-4b8eb89399e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1871-D94A-4C42-940B-9397DB6A9E02}">
  <dimension ref="A1:E37"/>
  <sheetViews>
    <sheetView tabSelected="1" workbookViewId="0">
      <selection activeCell="A17" sqref="A17:XFD17"/>
    </sheetView>
  </sheetViews>
  <sheetFormatPr defaultRowHeight="14.5" x14ac:dyDescent="0.35"/>
  <cols>
    <col min="1" max="1" width="19.36328125" customWidth="1"/>
    <col min="2" max="4" width="10.7265625" customWidth="1"/>
    <col min="5" max="5" width="26" customWidth="1"/>
  </cols>
  <sheetData>
    <row r="1" spans="1:5" x14ac:dyDescent="0.35">
      <c r="A1" s="1" t="s">
        <v>39</v>
      </c>
      <c r="B1" s="1" t="s">
        <v>0</v>
      </c>
      <c r="C1" s="1" t="s">
        <v>1</v>
      </c>
      <c r="D1" s="1" t="s">
        <v>2</v>
      </c>
      <c r="E1" s="1" t="s">
        <v>4</v>
      </c>
    </row>
    <row r="2" spans="1:5" x14ac:dyDescent="0.35">
      <c r="A2">
        <v>32111</v>
      </c>
      <c r="B2" s="2">
        <f>DAY(A2)</f>
        <v>30</v>
      </c>
      <c r="C2" s="2">
        <f>YEAR(A2)</f>
        <v>1987</v>
      </c>
      <c r="D2" s="2">
        <f>MONTH(A2)</f>
        <v>11</v>
      </c>
      <c r="E2" t="s">
        <v>5</v>
      </c>
    </row>
    <row r="3" spans="1:5" x14ac:dyDescent="0.35">
      <c r="A3">
        <v>32112</v>
      </c>
      <c r="B3" s="2">
        <f t="shared" ref="B3:B13" si="0">DAY(A3)</f>
        <v>1</v>
      </c>
      <c r="C3" s="2">
        <f t="shared" ref="C3:C10" si="1">YEAR(A3)</f>
        <v>1987</v>
      </c>
      <c r="D3" s="2">
        <f t="shared" ref="D3:D10" si="2">MONTH(A3)</f>
        <v>12</v>
      </c>
      <c r="E3" t="s">
        <v>6</v>
      </c>
    </row>
    <row r="4" spans="1:5" x14ac:dyDescent="0.35">
      <c r="A4">
        <v>32113</v>
      </c>
      <c r="B4" s="2">
        <f t="shared" si="0"/>
        <v>2</v>
      </c>
      <c r="C4" s="2">
        <f t="shared" si="1"/>
        <v>1987</v>
      </c>
      <c r="D4" s="2">
        <f t="shared" si="2"/>
        <v>12</v>
      </c>
      <c r="E4" t="s">
        <v>7</v>
      </c>
    </row>
    <row r="5" spans="1:5" x14ac:dyDescent="0.35">
      <c r="A5">
        <v>12344</v>
      </c>
      <c r="B5" s="2">
        <f t="shared" si="0"/>
        <v>17</v>
      </c>
      <c r="C5" s="2">
        <f t="shared" si="1"/>
        <v>1933</v>
      </c>
      <c r="D5" s="2">
        <f t="shared" si="2"/>
        <v>10</v>
      </c>
      <c r="E5" t="s">
        <v>8</v>
      </c>
    </row>
    <row r="6" spans="1:5" x14ac:dyDescent="0.35">
      <c r="A6">
        <v>-1</v>
      </c>
      <c r="B6" s="2" t="e">
        <f t="shared" si="0"/>
        <v>#NUM!</v>
      </c>
      <c r="C6" s="2" t="e">
        <f t="shared" si="1"/>
        <v>#NUM!</v>
      </c>
      <c r="D6" s="2" t="e">
        <f t="shared" si="2"/>
        <v>#NUM!</v>
      </c>
      <c r="E6" t="s">
        <v>9</v>
      </c>
    </row>
    <row r="7" spans="1:5" x14ac:dyDescent="0.35">
      <c r="A7" t="e">
        <f>1/0</f>
        <v>#DIV/0!</v>
      </c>
      <c r="B7" s="2" t="e">
        <f t="shared" si="0"/>
        <v>#DIV/0!</v>
      </c>
      <c r="C7" s="2" t="e">
        <f t="shared" si="1"/>
        <v>#DIV/0!</v>
      </c>
      <c r="D7" s="2" t="e">
        <f t="shared" si="2"/>
        <v>#DIV/0!</v>
      </c>
      <c r="E7" t="s">
        <v>10</v>
      </c>
    </row>
    <row r="8" spans="1:5" x14ac:dyDescent="0.35">
      <c r="A8">
        <v>32112.5</v>
      </c>
      <c r="B8" s="2">
        <f t="shared" si="0"/>
        <v>1</v>
      </c>
      <c r="C8" s="2">
        <f t="shared" si="1"/>
        <v>1987</v>
      </c>
      <c r="D8" s="2">
        <f t="shared" si="2"/>
        <v>12</v>
      </c>
      <c r="E8" t="s">
        <v>11</v>
      </c>
    </row>
    <row r="9" spans="1:5" x14ac:dyDescent="0.35">
      <c r="A9">
        <v>40000</v>
      </c>
      <c r="B9" s="2">
        <f t="shared" si="0"/>
        <v>6</v>
      </c>
      <c r="C9" s="2">
        <f t="shared" si="1"/>
        <v>2009</v>
      </c>
      <c r="D9" s="2">
        <f t="shared" si="2"/>
        <v>7</v>
      </c>
      <c r="E9" t="s">
        <v>5</v>
      </c>
    </row>
    <row r="10" spans="1:5" x14ac:dyDescent="0.35">
      <c r="A10" t="s">
        <v>3</v>
      </c>
      <c r="B10" s="2" t="e">
        <f t="shared" si="0"/>
        <v>#VALUE!</v>
      </c>
      <c r="C10" s="2" t="e">
        <f t="shared" si="1"/>
        <v>#VALUE!</v>
      </c>
      <c r="D10" s="2" t="e">
        <f t="shared" si="2"/>
        <v>#VALUE!</v>
      </c>
      <c r="E10" t="s">
        <v>12</v>
      </c>
    </row>
    <row r="11" spans="1:5" x14ac:dyDescent="0.35">
      <c r="A11">
        <v>40040</v>
      </c>
      <c r="B11" s="2">
        <f t="shared" si="0"/>
        <v>15</v>
      </c>
      <c r="C11" s="2">
        <f t="shared" ref="C11:C13" si="3">YEAR(A11)</f>
        <v>2009</v>
      </c>
      <c r="D11" s="2">
        <f t="shared" ref="D11:D13" si="4">MONTH(A11)</f>
        <v>8</v>
      </c>
      <c r="E11" t="s">
        <v>5</v>
      </c>
    </row>
    <row r="12" spans="1:5" x14ac:dyDescent="0.35">
      <c r="A12">
        <v>40041</v>
      </c>
      <c r="B12" s="2">
        <f t="shared" si="0"/>
        <v>16</v>
      </c>
      <c r="C12" s="2">
        <f t="shared" si="3"/>
        <v>2009</v>
      </c>
      <c r="D12" s="2">
        <f t="shared" si="4"/>
        <v>8</v>
      </c>
      <c r="E12" t="s">
        <v>7</v>
      </c>
    </row>
    <row r="13" spans="1:5" x14ac:dyDescent="0.35">
      <c r="A13">
        <v>123452</v>
      </c>
      <c r="B13" s="2">
        <f t="shared" si="0"/>
        <v>30</v>
      </c>
      <c r="C13" s="2">
        <f t="shared" si="3"/>
        <v>2237</v>
      </c>
      <c r="D13" s="2">
        <f t="shared" si="4"/>
        <v>12</v>
      </c>
      <c r="E13" t="s">
        <v>13</v>
      </c>
    </row>
    <row r="14" spans="1:5" x14ac:dyDescent="0.35">
      <c r="A14">
        <v>61</v>
      </c>
      <c r="B14" s="2">
        <f>DAY(A14)</f>
        <v>1</v>
      </c>
      <c r="C14" s="2">
        <f>YEAR(A14)</f>
        <v>1900</v>
      </c>
      <c r="D14" s="2">
        <f>MONTH(A14)</f>
        <v>3</v>
      </c>
      <c r="E14" t="s">
        <v>14</v>
      </c>
    </row>
    <row r="16" spans="1:5" x14ac:dyDescent="0.35">
      <c r="A16" s="5">
        <v>40000.5</v>
      </c>
      <c r="B16" s="4">
        <f t="shared" ref="B16:B27" si="5">DAY(A16)</f>
        <v>6</v>
      </c>
      <c r="C16" s="3">
        <f t="shared" ref="C16:C27" si="6">YEAR(A16)</f>
        <v>2009</v>
      </c>
      <c r="D16" s="7">
        <f t="shared" ref="D16:D27" si="7">MONTH(A16)</f>
        <v>7</v>
      </c>
      <c r="E16" s="8" t="s">
        <v>36</v>
      </c>
    </row>
    <row r="17" spans="1:5" x14ac:dyDescent="0.35">
      <c r="A17" s="5">
        <v>-40000.5</v>
      </c>
      <c r="B17" s="4" t="e">
        <f t="shared" si="5"/>
        <v>#NUM!</v>
      </c>
      <c r="C17" s="3" t="e">
        <f t="shared" si="6"/>
        <v>#NUM!</v>
      </c>
      <c r="D17" s="7" t="e">
        <f t="shared" si="7"/>
        <v>#NUM!</v>
      </c>
      <c r="E17" s="8" t="s">
        <v>15</v>
      </c>
    </row>
    <row r="18" spans="1:5" x14ac:dyDescent="0.35">
      <c r="A18" s="9">
        <v>-40000.000000000997</v>
      </c>
      <c r="B18" s="4" t="e">
        <f t="shared" si="5"/>
        <v>#NUM!</v>
      </c>
      <c r="C18" s="3" t="e">
        <f t="shared" si="6"/>
        <v>#NUM!</v>
      </c>
      <c r="D18" s="7" t="e">
        <f t="shared" si="7"/>
        <v>#NUM!</v>
      </c>
      <c r="E18" s="8" t="s">
        <v>37</v>
      </c>
    </row>
    <row r="19" spans="1:5" x14ac:dyDescent="0.35">
      <c r="A19" s="9">
        <v>40000.000000000997</v>
      </c>
      <c r="B19" s="4">
        <f t="shared" si="5"/>
        <v>6</v>
      </c>
      <c r="C19" s="3">
        <f t="shared" si="6"/>
        <v>2009</v>
      </c>
      <c r="D19" s="7">
        <f t="shared" si="7"/>
        <v>7</v>
      </c>
      <c r="E19" s="8" t="s">
        <v>38</v>
      </c>
    </row>
    <row r="20" spans="1:5" x14ac:dyDescent="0.35">
      <c r="A20" s="5">
        <f>DATE(9999,12,31)</f>
        <v>2958465</v>
      </c>
      <c r="B20" s="4">
        <f t="shared" si="5"/>
        <v>31</v>
      </c>
      <c r="C20" s="3">
        <f t="shared" si="6"/>
        <v>9999</v>
      </c>
      <c r="D20" s="7">
        <f t="shared" si="7"/>
        <v>12</v>
      </c>
      <c r="E20" s="8" t="s">
        <v>16</v>
      </c>
    </row>
    <row r="21" spans="1:5" x14ac:dyDescent="0.35">
      <c r="A21" s="5">
        <v>2958466</v>
      </c>
      <c r="B21" s="4" t="e">
        <f t="shared" si="5"/>
        <v>#NUM!</v>
      </c>
      <c r="C21" s="3" t="e">
        <f t="shared" si="6"/>
        <v>#NUM!</v>
      </c>
      <c r="D21" s="7" t="e">
        <f t="shared" si="7"/>
        <v>#NUM!</v>
      </c>
      <c r="E21" s="8" t="s">
        <v>17</v>
      </c>
    </row>
    <row r="22" spans="1:5" x14ac:dyDescent="0.35">
      <c r="A22" s="5">
        <v>1000000000000000</v>
      </c>
      <c r="B22" s="4" t="e">
        <f t="shared" si="5"/>
        <v>#NUM!</v>
      </c>
      <c r="C22" s="3" t="e">
        <f t="shared" si="6"/>
        <v>#NUM!</v>
      </c>
      <c r="D22" s="7" t="e">
        <f t="shared" si="7"/>
        <v>#NUM!</v>
      </c>
      <c r="E22" s="8" t="s">
        <v>18</v>
      </c>
    </row>
    <row r="23" spans="1:5" x14ac:dyDescent="0.35">
      <c r="A23" s="5">
        <f>DATE(2024,2,29)</f>
        <v>45351</v>
      </c>
      <c r="B23" s="4">
        <f t="shared" si="5"/>
        <v>29</v>
      </c>
      <c r="C23" s="3">
        <f t="shared" si="6"/>
        <v>2024</v>
      </c>
      <c r="D23" s="7">
        <f t="shared" si="7"/>
        <v>2</v>
      </c>
      <c r="E23" s="8" t="s">
        <v>19</v>
      </c>
    </row>
    <row r="24" spans="1:5" x14ac:dyDescent="0.35">
      <c r="A24" s="5">
        <f>DATE(2025,2,28)</f>
        <v>45716</v>
      </c>
      <c r="B24" s="4">
        <f t="shared" si="5"/>
        <v>28</v>
      </c>
      <c r="C24" s="3">
        <f t="shared" si="6"/>
        <v>2025</v>
      </c>
      <c r="D24" s="7">
        <f t="shared" si="7"/>
        <v>2</v>
      </c>
      <c r="E24" s="8" t="s">
        <v>20</v>
      </c>
    </row>
    <row r="25" spans="1:5" x14ac:dyDescent="0.35">
      <c r="A25" s="5">
        <f>DATE(2025,12,31)</f>
        <v>46022</v>
      </c>
      <c r="B25" s="4">
        <f t="shared" si="5"/>
        <v>31</v>
      </c>
      <c r="C25" s="3">
        <f t="shared" si="6"/>
        <v>2025</v>
      </c>
      <c r="D25" s="7">
        <f t="shared" si="7"/>
        <v>12</v>
      </c>
      <c r="E25" s="8" t="s">
        <v>21</v>
      </c>
    </row>
    <row r="26" spans="1:5" x14ac:dyDescent="0.35">
      <c r="A26" s="5">
        <f>DATE(2026,1,1)</f>
        <v>46023</v>
      </c>
      <c r="B26" s="4">
        <f t="shared" si="5"/>
        <v>1</v>
      </c>
      <c r="C26" s="3">
        <f t="shared" si="6"/>
        <v>2026</v>
      </c>
      <c r="D26" s="7">
        <f t="shared" si="7"/>
        <v>1</v>
      </c>
      <c r="E26" s="8" t="s">
        <v>22</v>
      </c>
    </row>
    <row r="27" spans="1:5" x14ac:dyDescent="0.35">
      <c r="A27" s="6" t="s">
        <v>23</v>
      </c>
      <c r="B27" s="4">
        <f t="shared" si="5"/>
        <v>1</v>
      </c>
      <c r="C27" s="3">
        <f t="shared" si="6"/>
        <v>2025</v>
      </c>
      <c r="D27" s="7">
        <f t="shared" si="7"/>
        <v>1</v>
      </c>
      <c r="E27" s="8" t="s">
        <v>24</v>
      </c>
    </row>
    <row r="28" spans="1:5" x14ac:dyDescent="0.35">
      <c r="A28" s="6" t="s">
        <v>40</v>
      </c>
      <c r="B28" s="4" t="e">
        <f t="shared" ref="B28:B29" si="8">DAY(A28)</f>
        <v>#VALUE!</v>
      </c>
      <c r="C28" s="3" t="e">
        <f t="shared" ref="C28:C29" si="9">YEAR(A28)</f>
        <v>#VALUE!</v>
      </c>
      <c r="D28" s="7" t="e">
        <f t="shared" ref="D28:D29" si="10">MONTH(A28)</f>
        <v>#VALUE!</v>
      </c>
      <c r="E28" s="8" t="s">
        <v>42</v>
      </c>
    </row>
    <row r="29" spans="1:5" x14ac:dyDescent="0.35">
      <c r="A29" s="6" t="s">
        <v>41</v>
      </c>
      <c r="B29" s="4" t="e">
        <f t="shared" si="8"/>
        <v>#VALUE!</v>
      </c>
      <c r="C29" s="3" t="e">
        <f t="shared" si="9"/>
        <v>#VALUE!</v>
      </c>
      <c r="D29" s="7" t="e">
        <f t="shared" si="10"/>
        <v>#VALUE!</v>
      </c>
      <c r="E29" s="8" t="s">
        <v>43</v>
      </c>
    </row>
    <row r="30" spans="1:5" x14ac:dyDescent="0.35">
      <c r="A30" s="6" t="s">
        <v>25</v>
      </c>
      <c r="B30" s="4">
        <f t="shared" ref="B30:B37" si="11">DAY(A30)</f>
        <v>15</v>
      </c>
      <c r="C30" s="3">
        <f t="shared" ref="C30:C37" si="12">YEAR(A30)</f>
        <v>2025</v>
      </c>
      <c r="D30" s="7">
        <f t="shared" ref="D30:D37" si="13">MONTH(A30)</f>
        <v>6</v>
      </c>
      <c r="E30" s="8" t="s">
        <v>26</v>
      </c>
    </row>
    <row r="31" spans="1:5" x14ac:dyDescent="0.35">
      <c r="A31" s="6" t="s">
        <v>35</v>
      </c>
      <c r="B31" s="4" t="e">
        <f t="shared" si="11"/>
        <v>#VALUE!</v>
      </c>
      <c r="C31" s="3" t="e">
        <f t="shared" si="12"/>
        <v>#VALUE!</v>
      </c>
      <c r="D31" s="7" t="e">
        <f t="shared" si="13"/>
        <v>#VALUE!</v>
      </c>
      <c r="E31" s="8" t="s">
        <v>27</v>
      </c>
    </row>
    <row r="32" spans="1:5" x14ac:dyDescent="0.35">
      <c r="A32" s="6" t="s">
        <v>28</v>
      </c>
      <c r="B32" s="4" t="e">
        <f t="shared" si="11"/>
        <v>#VALUE!</v>
      </c>
      <c r="C32" s="3" t="e">
        <f t="shared" si="12"/>
        <v>#VALUE!</v>
      </c>
      <c r="D32" s="7" t="e">
        <f t="shared" si="13"/>
        <v>#VALUE!</v>
      </c>
      <c r="E32" s="8" t="s">
        <v>29</v>
      </c>
    </row>
    <row r="33" spans="1:5" x14ac:dyDescent="0.35">
      <c r="A33" s="5">
        <f>DATE(2025,1,31)+0.5</f>
        <v>45688.5</v>
      </c>
      <c r="B33" s="4">
        <f t="shared" si="11"/>
        <v>31</v>
      </c>
      <c r="C33" s="3">
        <f t="shared" si="12"/>
        <v>2025</v>
      </c>
      <c r="D33" s="7">
        <f t="shared" si="13"/>
        <v>1</v>
      </c>
      <c r="E33" s="8" t="s">
        <v>30</v>
      </c>
    </row>
    <row r="34" spans="1:5" x14ac:dyDescent="0.35">
      <c r="A34" s="5">
        <f>DATE(9999,12,31)+0.5</f>
        <v>2958465.5</v>
      </c>
      <c r="B34" s="4">
        <f t="shared" si="11"/>
        <v>31</v>
      </c>
      <c r="C34" s="3">
        <f t="shared" si="12"/>
        <v>9999</v>
      </c>
      <c r="D34" s="7">
        <f t="shared" si="13"/>
        <v>12</v>
      </c>
      <c r="E34" s="8" t="s">
        <v>31</v>
      </c>
    </row>
    <row r="35" spans="1:5" x14ac:dyDescent="0.35">
      <c r="A35" s="5" t="e">
        <f>NA()</f>
        <v>#N/A</v>
      </c>
      <c r="B35" s="4" t="e">
        <f t="shared" si="11"/>
        <v>#N/A</v>
      </c>
      <c r="C35" s="3" t="e">
        <f t="shared" si="12"/>
        <v>#N/A</v>
      </c>
      <c r="D35" s="7" t="e">
        <f t="shared" si="13"/>
        <v>#N/A</v>
      </c>
      <c r="E35" s="8" t="s">
        <v>32</v>
      </c>
    </row>
    <row r="36" spans="1:5" x14ac:dyDescent="0.35">
      <c r="A36" s="6" t="str">
        <f>DATE(2025,6,15)&amp;""</f>
        <v>45823</v>
      </c>
      <c r="B36" s="4">
        <f t="shared" si="11"/>
        <v>15</v>
      </c>
      <c r="C36" s="3">
        <f t="shared" si="12"/>
        <v>2025</v>
      </c>
      <c r="D36" s="7">
        <f t="shared" si="13"/>
        <v>6</v>
      </c>
      <c r="E36" s="8" t="s">
        <v>33</v>
      </c>
    </row>
    <row r="37" spans="1:5" x14ac:dyDescent="0.35">
      <c r="A37" s="5">
        <v>61.99</v>
      </c>
      <c r="B37" s="4">
        <f t="shared" si="11"/>
        <v>1</v>
      </c>
      <c r="C37" s="3">
        <f t="shared" si="12"/>
        <v>1900</v>
      </c>
      <c r="D37" s="7">
        <f t="shared" si="13"/>
        <v>3</v>
      </c>
      <c r="E37" s="8" t="s">
        <v>34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cp:keywords/>
  <dc:description/>
  <cp:lastModifiedBy>Elsa Minsut</cp:lastModifiedBy>
  <cp:revision/>
  <dcterms:created xsi:type="dcterms:W3CDTF">2021-09-27T12:30:51Z</dcterms:created>
  <dcterms:modified xsi:type="dcterms:W3CDTF">2026-08-10T09:52:41Z</dcterms:modified>
  <cp:category/>
  <cp:contentStatus/>
</cp:coreProperties>
</file>