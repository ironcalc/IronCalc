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13_ncr:1_{331555F1-0504-4703-8AEF-9BEC15609F9A}" xr6:coauthVersionLast="47" xr6:coauthVersionMax="47" xr10:uidLastSave="{00000000-0000-0000-0000-000000000000}"/>
  <bookViews>
    <workbookView xWindow="12400" yWindow="3890" windowWidth="28800" windowHeight="15360" xr2:uid="{09282B2C-36F5-CB4F-AB93-8D5F0BC0A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A57" i="1"/>
  <c r="C57" i="1" s="1"/>
  <c r="A59" i="1"/>
  <c r="C59" i="1" s="1"/>
  <c r="C56" i="1"/>
  <c r="A52" i="1"/>
  <c r="C52" i="1" s="1"/>
  <c r="A51" i="1"/>
  <c r="C51" i="1" s="1"/>
  <c r="A54" i="1"/>
  <c r="A46" i="1"/>
  <c r="C46" i="1" s="1"/>
  <c r="A45" i="1"/>
  <c r="A44" i="1"/>
  <c r="A43" i="1"/>
  <c r="A42" i="1"/>
  <c r="A41" i="1"/>
  <c r="A40" i="1"/>
  <c r="C40" i="1" s="1"/>
  <c r="A39" i="1"/>
  <c r="C39" i="1" s="1"/>
  <c r="A38" i="1"/>
  <c r="A21" i="1"/>
  <c r="C21" i="1" s="1"/>
  <c r="A20" i="1"/>
  <c r="C20" i="1" s="1"/>
  <c r="A19" i="1"/>
  <c r="C19" i="1" s="1"/>
  <c r="A17" i="1"/>
  <c r="C17" i="1" s="1"/>
  <c r="A18" i="1"/>
  <c r="A16" i="1"/>
  <c r="C16" i="1" s="1"/>
  <c r="A15" i="1"/>
  <c r="C15" i="1" s="1"/>
  <c r="A14" i="1"/>
  <c r="C14" i="1" s="1"/>
  <c r="A13" i="1"/>
  <c r="C13" i="1" s="1"/>
  <c r="A12" i="1"/>
  <c r="C12" i="1" s="1"/>
  <c r="A11" i="1"/>
  <c r="A10" i="1"/>
  <c r="C10" i="1" s="1"/>
  <c r="A9" i="1"/>
  <c r="C9" i="1" s="1"/>
  <c r="A8" i="1"/>
  <c r="C8" i="1" s="1"/>
  <c r="A7" i="1"/>
  <c r="C7" i="1" s="1"/>
  <c r="A6" i="1"/>
  <c r="C6" i="1" s="1"/>
  <c r="A5" i="1"/>
  <c r="C5" i="1" s="1"/>
  <c r="A4" i="1"/>
  <c r="C4" i="1" s="1"/>
  <c r="A3" i="1"/>
  <c r="C3" i="1" s="1"/>
  <c r="A2" i="1"/>
  <c r="C2" i="1" s="1"/>
  <c r="A35" i="1"/>
  <c r="C35" i="1" s="1"/>
  <c r="C11" i="1"/>
  <c r="A55" i="1"/>
  <c r="C55" i="1" s="1"/>
  <c r="B54" i="1"/>
  <c r="C54" i="1" s="1"/>
  <c r="A53" i="1"/>
  <c r="C53" i="1" s="1"/>
  <c r="C50" i="1"/>
  <c r="C49" i="1"/>
  <c r="C48" i="1"/>
  <c r="C47" i="1"/>
  <c r="C45" i="1"/>
  <c r="C44" i="1"/>
  <c r="C43" i="1"/>
  <c r="C42" i="1"/>
  <c r="C41" i="1"/>
  <c r="C38" i="1"/>
  <c r="C37" i="1"/>
  <c r="C36" i="1"/>
  <c r="A34" i="1"/>
  <c r="C34" i="1" s="1"/>
  <c r="A33" i="1"/>
  <c r="C33" i="1" s="1"/>
  <c r="A32" i="1"/>
  <c r="C32" i="1" s="1"/>
  <c r="A31" i="1"/>
  <c r="C31" i="1" s="1"/>
  <c r="A30" i="1"/>
  <c r="C30" i="1" s="1"/>
  <c r="A29" i="1"/>
  <c r="C29" i="1" s="1"/>
  <c r="A28" i="1"/>
  <c r="C28" i="1" s="1"/>
  <c r="A27" i="1"/>
  <c r="C27" i="1" s="1"/>
  <c r="A26" i="1"/>
  <c r="C26" i="1" s="1"/>
  <c r="A25" i="1"/>
  <c r="C25" i="1" s="1"/>
  <c r="A24" i="1"/>
  <c r="C24" i="1" s="1"/>
  <c r="A23" i="1"/>
  <c r="C23" i="1" s="1"/>
  <c r="C18" i="1"/>
</calcChain>
</file>

<file path=xl/sharedStrings.xml><?xml version="1.0" encoding="utf-8"?>
<sst xmlns="http://schemas.openxmlformats.org/spreadsheetml/2006/main" count="47" uniqueCount="46">
  <si>
    <t>date</t>
  </si>
  <si>
    <t>months</t>
  </si>
  <si>
    <t>2</t>
  </si>
  <si>
    <t>EOMONTH</t>
  </si>
  <si>
    <t>Start on last day of a 31-day month</t>
  </si>
  <si>
    <t>Start on first day of the month</t>
  </si>
  <si>
    <t>Start mid-month</t>
  </si>
  <si>
    <t>Start on a leap day</t>
  </si>
  <si>
    <t>Leap day plus twelve months</t>
  </si>
  <si>
    <t>31-day month into February, leap year</t>
  </si>
  <si>
    <t>31-day month into February, non-leap year</t>
  </si>
  <si>
    <t>31-day month back into February</t>
  </si>
  <si>
    <t>Crossing the year boundary forward</t>
  </si>
  <si>
    <t>Crossing the year boundary backward</t>
  </si>
  <si>
    <t>Maximum date, zero offset</t>
  </si>
  <si>
    <t>Maximum date stepped back one month</t>
  </si>
  <si>
    <t>Maximum serial as a raw number</t>
  </si>
  <si>
    <t>Serial beyond the maximum date</t>
  </si>
  <si>
    <t>Negative date serial</t>
  </si>
  <si>
    <t>Months fraction just under one</t>
  </si>
  <si>
    <t>Months fraction just above minus one</t>
  </si>
  <si>
    <t>Months extremely small positive</t>
  </si>
  <si>
    <t>Months extremely small negative</t>
  </si>
  <si>
    <t>Months at the half-month midpoint</t>
  </si>
  <si>
    <t>Negative months at the midpoint</t>
  </si>
  <si>
    <t>abc</t>
  </si>
  <si>
    <t>Months as non-numeric text</t>
  </si>
  <si>
    <t>-3</t>
  </si>
  <si>
    <t>Months as negative numeric text</t>
  </si>
  <si>
    <t>3.7</t>
  </si>
  <si>
    <t>Months as fractional numeric text</t>
  </si>
  <si>
    <t>Date as non-numeric text</t>
  </si>
  <si>
    <t>2025-06-15</t>
  </si>
  <si>
    <t>Date as an ISO text string</t>
  </si>
  <si>
    <t>44987</t>
  </si>
  <si>
    <t>Date as numeric text</t>
  </si>
  <si>
    <t>Date as boolean TRUE</t>
  </si>
  <si>
    <t>Error propagation in date</t>
  </si>
  <si>
    <t>Error propagation in months</t>
  </si>
  <si>
    <t>Error propagation, #N/A in date</t>
  </si>
  <si>
    <t>Date with a near-full-day time fraction</t>
  </si>
  <si>
    <t>Date with a half-day time fraction</t>
  </si>
  <si>
    <t>Blank date</t>
  </si>
  <si>
    <t>Blank month</t>
  </si>
  <si>
    <t>Omitted date</t>
  </si>
  <si>
    <t>Omitted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</si>
</sst>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2" fillId="0" borderId="0" xfId="0" applyFont="1"/>
    <xf numFmtId="14" fontId="1" fillId="2" borderId="1" xfId="1" applyNumberFormat="1"/>
    <xf numFmtId="49" fontId="0" fillId="0" borderId="0" xfId="0" applyNumberForma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203647-3D43-4DB4-950C-20CC422BBD3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c8f9887-f038-4cb4-9c52-91ef65ffc49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70CE-DBF1-894F-A22B-7BE08F7CB20D}">
  <dimension ref="A1:F59"/>
  <sheetViews>
    <sheetView tabSelected="1" topLeftCell="A19" workbookViewId="0">
      <selection activeCell="A34" sqref="A34:XFD34"/>
    </sheetView>
  </sheetViews>
  <sheetFormatPr defaultColWidth="10.6640625" defaultRowHeight="15.5" x14ac:dyDescent="0.35"/>
  <cols>
    <col min="1" max="1" width="11.58203125" customWidth="1"/>
    <col min="4" max="4" width="39.33203125" customWidth="1"/>
  </cols>
  <sheetData>
    <row r="1" spans="1:6" s="3" customFormat="1" x14ac:dyDescent="0.35">
      <c r="A1" s="3" t="s">
        <v>0</v>
      </c>
      <c r="B1" s="3" t="s">
        <v>1</v>
      </c>
      <c r="C1" s="3" t="s">
        <v>3</v>
      </c>
      <c r="F1"/>
    </row>
    <row r="2" spans="1:6" x14ac:dyDescent="0.35">
      <c r="A2" s="1">
        <f t="shared" ref="A2:A16" si="0">DATE(2023,3,2)</f>
        <v>44987</v>
      </c>
      <c r="B2">
        <v>7</v>
      </c>
      <c r="C2" s="4">
        <f>EOMONTH(A2,B2)</f>
        <v>45230</v>
      </c>
    </row>
    <row r="3" spans="1:6" x14ac:dyDescent="0.35">
      <c r="A3" s="1">
        <f t="shared" si="0"/>
        <v>44987</v>
      </c>
      <c r="B3">
        <v>3</v>
      </c>
      <c r="C3" s="4">
        <f t="shared" ref="C3:C21" si="1">EOMONTH(A3,B3)</f>
        <v>45107</v>
      </c>
    </row>
    <row r="4" spans="1:6" x14ac:dyDescent="0.35">
      <c r="A4" s="1">
        <f t="shared" si="0"/>
        <v>44987</v>
      </c>
      <c r="B4">
        <v>-7</v>
      </c>
      <c r="C4" s="4">
        <f t="shared" si="1"/>
        <v>44804</v>
      </c>
    </row>
    <row r="5" spans="1:6" x14ac:dyDescent="0.35">
      <c r="A5" s="1">
        <f t="shared" si="0"/>
        <v>44987</v>
      </c>
      <c r="B5">
        <v>-123</v>
      </c>
      <c r="C5" s="4">
        <f t="shared" si="1"/>
        <v>41274</v>
      </c>
    </row>
    <row r="6" spans="1:6" x14ac:dyDescent="0.35">
      <c r="A6" s="1">
        <f t="shared" si="0"/>
        <v>44987</v>
      </c>
      <c r="B6">
        <v>123</v>
      </c>
      <c r="C6" s="4">
        <f t="shared" si="1"/>
        <v>48760</v>
      </c>
    </row>
    <row r="7" spans="1:6" x14ac:dyDescent="0.35">
      <c r="A7" s="1">
        <f t="shared" si="0"/>
        <v>44987</v>
      </c>
      <c r="B7">
        <v>4.5</v>
      </c>
      <c r="C7" s="4">
        <f t="shared" si="1"/>
        <v>45138</v>
      </c>
    </row>
    <row r="8" spans="1:6" x14ac:dyDescent="0.35">
      <c r="A8" s="1">
        <f t="shared" si="0"/>
        <v>44987</v>
      </c>
      <c r="B8">
        <v>-4.7</v>
      </c>
      <c r="C8" s="4">
        <f t="shared" si="1"/>
        <v>44895</v>
      </c>
    </row>
    <row r="9" spans="1:6" x14ac:dyDescent="0.35">
      <c r="A9" s="1">
        <f t="shared" si="0"/>
        <v>44987</v>
      </c>
      <c r="B9">
        <v>-4.2</v>
      </c>
      <c r="C9" s="4">
        <f t="shared" si="1"/>
        <v>44895</v>
      </c>
    </row>
    <row r="10" spans="1:6" x14ac:dyDescent="0.35">
      <c r="A10" s="1">
        <f t="shared" si="0"/>
        <v>44987</v>
      </c>
      <c r="B10">
        <v>77.8</v>
      </c>
      <c r="C10" s="4">
        <f t="shared" si="1"/>
        <v>47361</v>
      </c>
    </row>
    <row r="11" spans="1:6" x14ac:dyDescent="0.35">
      <c r="A11" s="1">
        <f t="shared" si="0"/>
        <v>44987</v>
      </c>
      <c r="B11" t="b">
        <v>1</v>
      </c>
      <c r="C11" s="4" t="e">
        <f t="shared" si="1"/>
        <v>#VALUE!</v>
      </c>
    </row>
    <row r="12" spans="1:6" x14ac:dyDescent="0.35">
      <c r="A12" s="1">
        <f t="shared" si="0"/>
        <v>44987</v>
      </c>
      <c r="B12" t="b">
        <v>0</v>
      </c>
      <c r="C12" s="4" t="e">
        <f t="shared" si="1"/>
        <v>#VALUE!</v>
      </c>
    </row>
    <row r="13" spans="1:6" x14ac:dyDescent="0.35">
      <c r="A13" s="1">
        <f t="shared" si="0"/>
        <v>44987</v>
      </c>
      <c r="B13">
        <v>0</v>
      </c>
      <c r="C13" s="4">
        <f t="shared" si="1"/>
        <v>45016</v>
      </c>
    </row>
    <row r="14" spans="1:6" x14ac:dyDescent="0.35">
      <c r="A14" s="1">
        <f t="shared" si="0"/>
        <v>44987</v>
      </c>
      <c r="C14" s="4">
        <f t="shared" si="1"/>
        <v>45016</v>
      </c>
    </row>
    <row r="15" spans="1:6" x14ac:dyDescent="0.35">
      <c r="A15" s="1">
        <f t="shared" si="0"/>
        <v>44987</v>
      </c>
      <c r="B15" s="2" t="s">
        <v>2</v>
      </c>
      <c r="C15" s="4">
        <f t="shared" si="1"/>
        <v>45077</v>
      </c>
    </row>
    <row r="16" spans="1:6" x14ac:dyDescent="0.35">
      <c r="A16" s="1">
        <f t="shared" si="0"/>
        <v>44987</v>
      </c>
      <c r="C16" s="4">
        <f t="shared" si="1"/>
        <v>45016</v>
      </c>
    </row>
    <row r="17" spans="1:4" x14ac:dyDescent="0.35">
      <c r="A17" s="1">
        <f>DATE(1957,3,2)</f>
        <v>20881</v>
      </c>
      <c r="B17">
        <v>1230</v>
      </c>
      <c r="C17" s="4">
        <f t="shared" si="1"/>
        <v>58348</v>
      </c>
    </row>
    <row r="18" spans="1:4" x14ac:dyDescent="0.35">
      <c r="A18" s="1">
        <f>DATE(2023,3,2)</f>
        <v>44987</v>
      </c>
      <c r="B18">
        <v>-1240.3330000000001</v>
      </c>
      <c r="C18" s="4">
        <f t="shared" si="1"/>
        <v>7274</v>
      </c>
    </row>
    <row r="19" spans="1:4" x14ac:dyDescent="0.35">
      <c r="A19" s="1">
        <f>DATE(2023,11,1)</f>
        <v>45231</v>
      </c>
      <c r="B19">
        <v>1</v>
      </c>
      <c r="C19" s="4">
        <f t="shared" si="1"/>
        <v>45291</v>
      </c>
    </row>
    <row r="20" spans="1:4" x14ac:dyDescent="0.35">
      <c r="A20" s="1">
        <f>DATE(2023,11,30)</f>
        <v>45260</v>
      </c>
      <c r="B20">
        <v>1</v>
      </c>
      <c r="C20" s="4">
        <f t="shared" si="1"/>
        <v>45291</v>
      </c>
    </row>
    <row r="21" spans="1:4" x14ac:dyDescent="0.35">
      <c r="A21" s="1">
        <f>DATE(2023,11,1)</f>
        <v>45231</v>
      </c>
      <c r="B21">
        <v>2</v>
      </c>
      <c r="C21" s="4">
        <f t="shared" si="1"/>
        <v>45322</v>
      </c>
    </row>
    <row r="23" spans="1:4" x14ac:dyDescent="0.35">
      <c r="A23" s="1">
        <f>DATE(2025,1,31)</f>
        <v>45688</v>
      </c>
      <c r="B23">
        <v>0</v>
      </c>
      <c r="C23" s="4">
        <f t="shared" ref="C23:C43" si="2">EOMONTH(A23,B23)</f>
        <v>45688</v>
      </c>
      <c r="D23" s="1" t="s">
        <v>4</v>
      </c>
    </row>
    <row r="24" spans="1:4" x14ac:dyDescent="0.35">
      <c r="A24" s="1">
        <f>DATE(2025,1,1)</f>
        <v>45658</v>
      </c>
      <c r="B24">
        <v>0</v>
      </c>
      <c r="C24" s="4">
        <f t="shared" si="2"/>
        <v>45688</v>
      </c>
      <c r="D24" s="1" t="s">
        <v>5</v>
      </c>
    </row>
    <row r="25" spans="1:4" x14ac:dyDescent="0.35">
      <c r="A25" s="1">
        <f>DATE(2025,1,15)</f>
        <v>45672</v>
      </c>
      <c r="B25">
        <v>0</v>
      </c>
      <c r="C25" s="4">
        <f t="shared" si="2"/>
        <v>45688</v>
      </c>
      <c r="D25" s="1" t="s">
        <v>6</v>
      </c>
    </row>
    <row r="26" spans="1:4" x14ac:dyDescent="0.35">
      <c r="A26" s="1">
        <f>DATE(2024,2,29)</f>
        <v>45351</v>
      </c>
      <c r="B26">
        <v>0</v>
      </c>
      <c r="C26" s="4">
        <f t="shared" si="2"/>
        <v>45351</v>
      </c>
      <c r="D26" s="1" t="s">
        <v>7</v>
      </c>
    </row>
    <row r="27" spans="1:4" x14ac:dyDescent="0.35">
      <c r="A27" s="1">
        <f>DATE(2024,2,29)</f>
        <v>45351</v>
      </c>
      <c r="B27">
        <v>12</v>
      </c>
      <c r="C27" s="4">
        <f t="shared" si="2"/>
        <v>45716</v>
      </c>
      <c r="D27" s="1" t="s">
        <v>8</v>
      </c>
    </row>
    <row r="28" spans="1:4" x14ac:dyDescent="0.35">
      <c r="A28" s="1">
        <f>DATE(2024,1,31)</f>
        <v>45322</v>
      </c>
      <c r="B28">
        <v>1</v>
      </c>
      <c r="C28" s="4">
        <f t="shared" si="2"/>
        <v>45351</v>
      </c>
      <c r="D28" s="1" t="s">
        <v>9</v>
      </c>
    </row>
    <row r="29" spans="1:4" x14ac:dyDescent="0.35">
      <c r="A29" s="1">
        <f>DATE(2025,1,31)</f>
        <v>45688</v>
      </c>
      <c r="B29">
        <v>1</v>
      </c>
      <c r="C29" s="4">
        <f t="shared" si="2"/>
        <v>45716</v>
      </c>
      <c r="D29" s="1" t="s">
        <v>10</v>
      </c>
    </row>
    <row r="30" spans="1:4" x14ac:dyDescent="0.35">
      <c r="A30" s="1">
        <f>DATE(2025,3,31)</f>
        <v>45747</v>
      </c>
      <c r="B30">
        <v>-1</v>
      </c>
      <c r="C30" s="4">
        <f t="shared" si="2"/>
        <v>45716</v>
      </c>
      <c r="D30" s="1" t="s">
        <v>11</v>
      </c>
    </row>
    <row r="31" spans="1:4" x14ac:dyDescent="0.35">
      <c r="A31" s="1">
        <f>DATE(2025,12,31)</f>
        <v>46022</v>
      </c>
      <c r="B31">
        <v>1</v>
      </c>
      <c r="C31" s="4">
        <f t="shared" si="2"/>
        <v>46053</v>
      </c>
      <c r="D31" s="1" t="s">
        <v>12</v>
      </c>
    </row>
    <row r="32" spans="1:4" x14ac:dyDescent="0.35">
      <c r="A32" s="1">
        <f>DATE(2025,1,1)</f>
        <v>45658</v>
      </c>
      <c r="B32">
        <v>-1</v>
      </c>
      <c r="C32" s="4">
        <f t="shared" si="2"/>
        <v>45657</v>
      </c>
      <c r="D32" s="1" t="s">
        <v>13</v>
      </c>
    </row>
    <row r="33" spans="1:4" x14ac:dyDescent="0.35">
      <c r="A33" s="1">
        <f>DATE(9999,12,31)</f>
        <v>2958465</v>
      </c>
      <c r="B33">
        <v>0</v>
      </c>
      <c r="C33" s="4">
        <f t="shared" si="2"/>
        <v>2958465</v>
      </c>
      <c r="D33" s="1" t="s">
        <v>14</v>
      </c>
    </row>
    <row r="34" spans="1:4" x14ac:dyDescent="0.35">
      <c r="A34" s="1">
        <f>DATE(9999,12,31)</f>
        <v>2958465</v>
      </c>
      <c r="B34">
        <v>-1</v>
      </c>
      <c r="C34" s="4">
        <f t="shared" si="2"/>
        <v>2958434</v>
      </c>
      <c r="D34" s="1" t="s">
        <v>15</v>
      </c>
    </row>
    <row r="35" spans="1:4" x14ac:dyDescent="0.35">
      <c r="A35" s="1">
        <f>DATE(9999,12,31)</f>
        <v>2958465</v>
      </c>
      <c r="B35">
        <v>0</v>
      </c>
      <c r="C35" s="4">
        <f t="shared" si="2"/>
        <v>2958465</v>
      </c>
      <c r="D35" s="1" t="s">
        <v>16</v>
      </c>
    </row>
    <row r="36" spans="1:4" x14ac:dyDescent="0.35">
      <c r="A36">
        <v>2958466</v>
      </c>
      <c r="B36">
        <v>0</v>
      </c>
      <c r="C36" s="4" t="e">
        <f t="shared" si="2"/>
        <v>#NUM!</v>
      </c>
      <c r="D36" s="1" t="s">
        <v>17</v>
      </c>
    </row>
    <row r="37" spans="1:4" x14ac:dyDescent="0.35">
      <c r="A37">
        <v>-1</v>
      </c>
      <c r="B37">
        <v>0</v>
      </c>
      <c r="C37" s="4" t="e">
        <f t="shared" si="2"/>
        <v>#NUM!</v>
      </c>
      <c r="D37" s="1" t="s">
        <v>18</v>
      </c>
    </row>
    <row r="38" spans="1:4" x14ac:dyDescent="0.35">
      <c r="A38" s="1">
        <f t="shared" ref="A38:A46" si="3">DATE(2023,3,2)</f>
        <v>44987</v>
      </c>
      <c r="B38">
        <v>0.99999990000000005</v>
      </c>
      <c r="C38" s="4">
        <f t="shared" si="2"/>
        <v>45016</v>
      </c>
      <c r="D38" s="1" t="s">
        <v>19</v>
      </c>
    </row>
    <row r="39" spans="1:4" x14ac:dyDescent="0.35">
      <c r="A39" s="1">
        <f t="shared" si="3"/>
        <v>44987</v>
      </c>
      <c r="B39">
        <v>-0.99999990000000005</v>
      </c>
      <c r="C39" s="4">
        <f t="shared" si="2"/>
        <v>45016</v>
      </c>
      <c r="D39" s="1" t="s">
        <v>20</v>
      </c>
    </row>
    <row r="40" spans="1:4" x14ac:dyDescent="0.35">
      <c r="A40" s="1">
        <f t="shared" si="3"/>
        <v>44987</v>
      </c>
      <c r="B40">
        <v>9.9999999999999995E-8</v>
      </c>
      <c r="C40" s="4">
        <f t="shared" si="2"/>
        <v>45016</v>
      </c>
      <c r="D40" s="1" t="s">
        <v>21</v>
      </c>
    </row>
    <row r="41" spans="1:4" x14ac:dyDescent="0.35">
      <c r="A41" s="1">
        <f t="shared" si="3"/>
        <v>44987</v>
      </c>
      <c r="B41">
        <v>-9.9999999999999995E-8</v>
      </c>
      <c r="C41" s="4">
        <f t="shared" si="2"/>
        <v>45016</v>
      </c>
      <c r="D41" s="1" t="s">
        <v>22</v>
      </c>
    </row>
    <row r="42" spans="1:4" x14ac:dyDescent="0.35">
      <c r="A42" s="1">
        <f t="shared" si="3"/>
        <v>44987</v>
      </c>
      <c r="B42">
        <v>0.5</v>
      </c>
      <c r="C42" s="4">
        <f t="shared" si="2"/>
        <v>45016</v>
      </c>
      <c r="D42" s="1" t="s">
        <v>23</v>
      </c>
    </row>
    <row r="43" spans="1:4" x14ac:dyDescent="0.35">
      <c r="A43" s="1">
        <f t="shared" si="3"/>
        <v>44987</v>
      </c>
      <c r="B43">
        <v>-0.5</v>
      </c>
      <c r="C43" s="4">
        <f t="shared" si="2"/>
        <v>45016</v>
      </c>
      <c r="D43" s="1" t="s">
        <v>24</v>
      </c>
    </row>
    <row r="44" spans="1:4" x14ac:dyDescent="0.35">
      <c r="A44">
        <f t="shared" si="3"/>
        <v>44987</v>
      </c>
      <c r="B44" s="5" t="s">
        <v>25</v>
      </c>
      <c r="C44" s="4" t="e">
        <f t="shared" ref="C44:C55" si="4">EOMONTH(A44,B44)</f>
        <v>#VALUE!</v>
      </c>
      <c r="D44" s="1" t="s">
        <v>26</v>
      </c>
    </row>
    <row r="45" spans="1:4" x14ac:dyDescent="0.35">
      <c r="A45">
        <f t="shared" si="3"/>
        <v>44987</v>
      </c>
      <c r="B45" s="5" t="s">
        <v>27</v>
      </c>
      <c r="C45" s="4">
        <f t="shared" si="4"/>
        <v>44926</v>
      </c>
      <c r="D45" s="1" t="s">
        <v>28</v>
      </c>
    </row>
    <row r="46" spans="1:4" x14ac:dyDescent="0.35">
      <c r="A46">
        <f t="shared" si="3"/>
        <v>44987</v>
      </c>
      <c r="B46" s="5" t="s">
        <v>29</v>
      </c>
      <c r="C46" s="4">
        <f t="shared" si="4"/>
        <v>45107</v>
      </c>
      <c r="D46" s="1" t="s">
        <v>30</v>
      </c>
    </row>
    <row r="47" spans="1:4" x14ac:dyDescent="0.35">
      <c r="A47" s="5" t="s">
        <v>25</v>
      </c>
      <c r="B47" s="5">
        <v>1</v>
      </c>
      <c r="C47" s="4" t="e">
        <f t="shared" si="4"/>
        <v>#VALUE!</v>
      </c>
      <c r="D47" s="1" t="s">
        <v>31</v>
      </c>
    </row>
    <row r="48" spans="1:4" x14ac:dyDescent="0.35">
      <c r="A48" s="5" t="s">
        <v>32</v>
      </c>
      <c r="B48" s="5">
        <v>1</v>
      </c>
      <c r="C48" s="4">
        <f t="shared" si="4"/>
        <v>45869</v>
      </c>
      <c r="D48" s="1" t="s">
        <v>33</v>
      </c>
    </row>
    <row r="49" spans="1:4" x14ac:dyDescent="0.35">
      <c r="A49" s="5" t="s">
        <v>34</v>
      </c>
      <c r="B49" s="5">
        <v>1</v>
      </c>
      <c r="C49" s="4">
        <f t="shared" si="4"/>
        <v>45046</v>
      </c>
      <c r="D49" s="1" t="s">
        <v>35</v>
      </c>
    </row>
    <row r="50" spans="1:4" x14ac:dyDescent="0.35">
      <c r="A50" s="1" t="b">
        <v>1</v>
      </c>
      <c r="B50">
        <v>1</v>
      </c>
      <c r="C50" s="4" t="e">
        <f t="shared" si="4"/>
        <v>#VALUE!</v>
      </c>
      <c r="D50" s="1" t="s">
        <v>36</v>
      </c>
    </row>
    <row r="51" spans="1:4" x14ac:dyDescent="0.35">
      <c r="A51" s="1">
        <f>DATE(2023,3,2)+0.9999999</f>
        <v>44987.999999899999</v>
      </c>
      <c r="B51">
        <v>1</v>
      </c>
      <c r="C51" s="4">
        <f t="shared" si="4"/>
        <v>45046</v>
      </c>
      <c r="D51" s="1" t="s">
        <v>40</v>
      </c>
    </row>
    <row r="52" spans="1:4" x14ac:dyDescent="0.35">
      <c r="A52" s="1">
        <f>DATE(2023,3,2)+0.5</f>
        <v>44987.5</v>
      </c>
      <c r="B52">
        <v>0</v>
      </c>
      <c r="C52" s="4">
        <f t="shared" si="4"/>
        <v>45016</v>
      </c>
      <c r="D52" s="1" t="s">
        <v>41</v>
      </c>
    </row>
    <row r="53" spans="1:4" x14ac:dyDescent="0.35">
      <c r="A53" s="1" t="e">
        <f>1/0</f>
        <v>#DIV/0!</v>
      </c>
      <c r="B53">
        <v>1</v>
      </c>
      <c r="C53" s="4" t="e">
        <f t="shared" si="4"/>
        <v>#DIV/0!</v>
      </c>
      <c r="D53" s="1" t="s">
        <v>37</v>
      </c>
    </row>
    <row r="54" spans="1:4" x14ac:dyDescent="0.35">
      <c r="A54" s="1">
        <f>DATE(2023,3,2)</f>
        <v>44987</v>
      </c>
      <c r="B54" t="e">
        <f>1/0</f>
        <v>#DIV/0!</v>
      </c>
      <c r="C54" s="4" t="e">
        <f t="shared" si="4"/>
        <v>#DIV/0!</v>
      </c>
      <c r="D54" s="1" t="s">
        <v>38</v>
      </c>
    </row>
    <row r="55" spans="1:4" x14ac:dyDescent="0.35">
      <c r="A55" s="1" t="e">
        <f>NA()</f>
        <v>#N/A</v>
      </c>
      <c r="B55">
        <v>1</v>
      </c>
      <c r="C55" s="4" t="e">
        <f t="shared" si="4"/>
        <v>#N/A</v>
      </c>
      <c r="D55" s="1" t="s">
        <v>39</v>
      </c>
    </row>
    <row r="56" spans="1:4" x14ac:dyDescent="0.35">
      <c r="A56" s="1"/>
      <c r="B56">
        <v>7</v>
      </c>
      <c r="C56" s="4">
        <f t="shared" ref="C56:C59" si="5">EOMONTH(A56,B56)</f>
        <v>244</v>
      </c>
      <c r="D56" s="1" t="s">
        <v>42</v>
      </c>
    </row>
    <row r="57" spans="1:4" x14ac:dyDescent="0.35">
      <c r="A57" s="1">
        <f t="shared" ref="A57:A59" si="6">DATE(2023,3,2)</f>
        <v>44987</v>
      </c>
      <c r="C57" s="4">
        <f t="shared" si="5"/>
        <v>45016</v>
      </c>
      <c r="D57" s="1" t="s">
        <v>43</v>
      </c>
    </row>
    <row r="58" spans="1:4" x14ac:dyDescent="0.35">
      <c r="A58" s="1"/>
      <c r="B58">
        <v>9</v>
      </c>
      <c r="C58" s="4">
        <f t="shared" si="5"/>
        <v>305</v>
      </c>
      <c r="D58" s="1" t="s">
        <v>44</v>
      </c>
    </row>
    <row r="59" spans="1:4" x14ac:dyDescent="0.35">
      <c r="A59" s="1">
        <f t="shared" si="6"/>
        <v>44987</v>
      </c>
      <c r="C59" s="4">
        <f t="shared" si="5"/>
        <v>45016</v>
      </c>
      <c r="D59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Hatcher</dc:creator>
  <cp:lastModifiedBy>Elsa Minsut</cp:lastModifiedBy>
  <dcterms:created xsi:type="dcterms:W3CDTF">2023-04-07T11:59:27Z</dcterms:created>
  <dcterms:modified xsi:type="dcterms:W3CDTF">2026-08-25T10:41:09Z</dcterms:modified>
</cp:coreProperties>
</file>