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99391DB-AD9C-4142-9421-458D57AF6645}" xr6:coauthVersionLast="47" xr6:coauthVersionMax="47" xr10:uidLastSave="{00000000-0000-0000-0000-000000000000}"/>
  <bookViews>
    <workbookView xWindow="9410" yWindow="2140" windowWidth="28800" windowHeight="15290" xr2:uid="{00000000-000D-0000-FFFF-FFFF00000000}"/>
  </bookViews>
  <sheets>
    <sheet name="DATEVALU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3" l="1"/>
  <c r="B59" i="3"/>
  <c r="B18" i="3"/>
  <c r="B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A16" i="3"/>
  <c r="B16" i="3" s="1"/>
  <c r="A15" i="3"/>
  <c r="B15" i="3" s="1"/>
  <c r="B22" i="3"/>
  <c r="B28" i="3"/>
  <c r="B29" i="3"/>
  <c r="A19" i="3"/>
  <c r="B19" i="3" s="1"/>
  <c r="A17" i="3"/>
  <c r="B17" i="3" s="1"/>
  <c r="A14" i="3"/>
  <c r="B14" i="3" s="1"/>
  <c r="A35" i="3"/>
  <c r="B35" i="3" s="1"/>
  <c r="A34" i="3"/>
  <c r="B34" i="3" s="1"/>
  <c r="A33" i="3" a="1"/>
  <c r="B33" i="3" s="1"/>
  <c r="A32" i="3"/>
  <c r="B32" i="3" s="1"/>
  <c r="A31" i="3"/>
  <c r="B31" i="3" s="1"/>
  <c r="A30" i="3"/>
  <c r="B30" i="3" s="1"/>
  <c r="A27" i="3"/>
  <c r="B27" i="3" s="1"/>
  <c r="A26" i="3"/>
  <c r="B26" i="3" s="1"/>
  <c r="A25" i="3"/>
  <c r="B25" i="3" s="1"/>
  <c r="A24" i="3"/>
  <c r="B24" i="3" s="1"/>
  <c r="A23" i="3"/>
  <c r="B23" i="3" s="1"/>
  <c r="B3" i="3"/>
  <c r="B4" i="3"/>
  <c r="B5" i="3"/>
  <c r="B6" i="3"/>
  <c r="B8" i="3"/>
  <c r="B9" i="3"/>
  <c r="B10" i="3"/>
  <c r="B11" i="3"/>
  <c r="B12" i="3"/>
  <c r="B13" i="3"/>
  <c r="B20" i="3"/>
  <c r="B21" i="3"/>
  <c r="B2" i="3"/>
  <c r="A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<sst xmlns="http://schemas.openxmlformats.org/spreadsheetml/2006/main" count="97" uniqueCount="90">
  <si>
    <t>DATE TEXT</t>
  </si>
  <si>
    <t>DATEVALUE</t>
  </si>
  <si>
    <t>NOTES</t>
  </si>
  <si>
    <t>Date as string</t>
  </si>
  <si>
    <t>Month out of bounds</t>
  </si>
  <si>
    <t>Date high bound</t>
  </si>
  <si>
    <t>Above date high bound</t>
  </si>
  <si>
    <t>Below date low bound</t>
  </si>
  <si>
    <t>Quotation marks</t>
  </si>
  <si>
    <t>abc</t>
  </si>
  <si>
    <t>String</t>
  </si>
  <si>
    <t>Number</t>
  </si>
  <si>
    <t>Date in date format</t>
  </si>
  <si>
    <t>Date from date formula</t>
  </si>
  <si>
    <t>Time</t>
  </si>
  <si>
    <t>Blank</t>
  </si>
  <si>
    <t>Blank with quotes</t>
  </si>
  <si>
    <t>Boolean</t>
  </si>
  <si>
    <t>Implicit intersection</t>
  </si>
  <si>
    <t>eight</t>
  </si>
  <si>
    <t>Non-numeric string</t>
  </si>
  <si>
    <t>Symbol fails coercion</t>
  </si>
  <si>
    <t>Correct Error propagation</t>
  </si>
  <si>
    <t>Date string in quotes</t>
  </si>
  <si>
    <t>Date string in quotes, leading &amp; trailing space</t>
  </si>
  <si>
    <t>2026-12-01</t>
  </si>
  <si>
    <t>2026-13-01</t>
  </si>
  <si>
    <t>9999-12-31</t>
  </si>
  <si>
    <t>10000-01-01</t>
  </si>
  <si>
    <t>1789-05-05</t>
  </si>
  <si>
    <t>2025-02-29</t>
  </si>
  <si>
    <t>"2026-01-12"</t>
  </si>
  <si>
    <t>2026-07-16 4:35 PM</t>
  </si>
  <si>
    <t>2024-12-01</t>
  </si>
  <si>
    <t>2025-12-01</t>
  </si>
  <si>
    <t>2027-12-01</t>
  </si>
  <si>
    <t>Date with time (string), ISO with 12-hour clock</t>
  </si>
  <si>
    <t>1900-02-29</t>
  </si>
  <si>
    <t>Phantom 29-Feb-1900</t>
  </si>
  <si>
    <t>1900-03-01</t>
  </si>
  <si>
    <t>Day after the phantom 1900 date</t>
  </si>
  <si>
    <t>9999-12-30</t>
  </si>
  <si>
    <t>One day below the maximum date</t>
  </si>
  <si>
    <t>9999-13-01</t>
  </si>
  <si>
    <t>Month out of bounds at the maximum year</t>
  </si>
  <si>
    <t>2024-02-29</t>
  </si>
  <si>
    <t>Valid leap day</t>
  </si>
  <si>
    <t>2100-02-29</t>
  </si>
  <si>
    <t>Century non-leap year rejects 29 Feb</t>
  </si>
  <si>
    <t>2000-02-29</t>
  </si>
  <si>
    <t>Year 2000 is a leap year</t>
  </si>
  <si>
    <t>2026-00-01</t>
  </si>
  <si>
    <t>Month zero</t>
  </si>
  <si>
    <t>2026-01-00</t>
  </si>
  <si>
    <t>Day zero</t>
  </si>
  <si>
    <t>2026-01-32</t>
  </si>
  <si>
    <t>Day beyond month length</t>
  </si>
  <si>
    <t>2026-04-31</t>
  </si>
  <si>
    <t>Day 31 in a 30-day month</t>
  </si>
  <si>
    <t>2026-1-1</t>
  </si>
  <si>
    <t>Unpadded month and day</t>
  </si>
  <si>
    <t>26-01-01</t>
  </si>
  <si>
    <t>Two-digit year</t>
  </si>
  <si>
    <t>2026-01-01 00:00:00</t>
  </si>
  <si>
    <t>ISO with midnight time</t>
  </si>
  <si>
    <t>2026-01-01 23:59:59</t>
  </si>
  <si>
    <t>ISO with end-of-day time</t>
  </si>
  <si>
    <t>2026/01/01</t>
  </si>
  <si>
    <t>Slash separators in ISO order</t>
  </si>
  <si>
    <t>2026.01.01</t>
  </si>
  <si>
    <t>Dot separators in ISO order</t>
  </si>
  <si>
    <t xml:space="preserve">2026-01-01 </t>
  </si>
  <si>
    <t>Trailing space</t>
  </si>
  <si>
    <t xml:space="preserve"> 2026-01-01</t>
  </si>
  <si>
    <t>Leading space</t>
  </si>
  <si>
    <t>2026-01-01x</t>
  </si>
  <si>
    <t>Trailing junk character</t>
  </si>
  <si>
    <t>-2026-01-01</t>
  </si>
  <si>
    <t>Negative year prefix</t>
  </si>
  <si>
    <t>Invalid leap day</t>
  </si>
  <si>
    <t>Number-like string</t>
  </si>
  <si>
    <t>Numeric string in quotes</t>
  </si>
  <si>
    <t>Numeric string in quotes, leading &amp; trailing space</t>
  </si>
  <si>
    <t>Numeric string zero</t>
  </si>
  <si>
    <t>Numeric string float</t>
  </si>
  <si>
    <t>Numeric string with zero prefix</t>
  </si>
  <si>
    <t>mmdd with day gt 12</t>
  </si>
  <si>
    <t>2021-6-15</t>
  </si>
  <si>
    <t>ambiguous ddmm</t>
  </si>
  <si>
    <t>2023-1-2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</si>
</sst>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1" fontId="1" fillId="2" borderId="1" xfId="1" applyNumberFormat="1" applyAlignment="1">
      <alignment wrapText="1"/>
    </xf>
    <xf numFmtId="18" fontId="0" fillId="0" borderId="0" xfId="0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D6E910-FE5D-4E5F-B519-F7CF4528E3C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dbb76a-b14a-47a7-9635-9dd80391c9b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K59"/>
  <sheetViews>
    <sheetView tabSelected="1" workbookViewId="0">
      <selection activeCell="I25" sqref="I25"/>
    </sheetView>
  </sheetViews>
  <sheetFormatPr defaultColWidth="8.81640625" defaultRowHeight="14.5" x14ac:dyDescent="0.35"/>
  <cols>
    <col min="1" max="1" width="21" customWidth="1"/>
    <col min="2" max="2" width="15.7265625" customWidth="1"/>
    <col min="3" max="3" width="38.26953125" bestFit="1" customWidth="1"/>
    <col min="5" max="5" width="11.1796875" bestFit="1" customWidth="1"/>
    <col min="7" max="7" width="13.45312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</row>
    <row r="2" spans="1:11" x14ac:dyDescent="0.35">
      <c r="A2" s="2" t="s">
        <v>25</v>
      </c>
      <c r="B2" s="4">
        <f>DATEVALUE(A2)</f>
        <v>46357</v>
      </c>
      <c r="C2" s="2" t="s">
        <v>3</v>
      </c>
    </row>
    <row r="3" spans="1:11" s="2" customFormat="1" x14ac:dyDescent="0.35">
      <c r="A3" s="2" t="s">
        <v>26</v>
      </c>
      <c r="B3" s="4" t="e">
        <f t="shared" ref="B3:B35" si="0">DATEVALUE(A3)</f>
        <v>#VALUE!</v>
      </c>
      <c r="C3" s="2" t="s">
        <v>4</v>
      </c>
      <c r="D3"/>
      <c r="E3"/>
      <c r="F3"/>
      <c r="G3"/>
      <c r="H3"/>
      <c r="I3"/>
      <c r="J3"/>
      <c r="K3"/>
    </row>
    <row r="4" spans="1:11" s="2" customFormat="1" x14ac:dyDescent="0.35">
      <c r="A4" s="2" t="s">
        <v>27</v>
      </c>
      <c r="B4" s="4">
        <f t="shared" si="0"/>
        <v>2958465</v>
      </c>
      <c r="C4" s="2" t="s">
        <v>5</v>
      </c>
      <c r="D4"/>
      <c r="E4"/>
      <c r="F4"/>
      <c r="G4"/>
      <c r="H4"/>
      <c r="I4"/>
      <c r="J4"/>
      <c r="K4"/>
    </row>
    <row r="5" spans="1:11" s="2" customFormat="1" x14ac:dyDescent="0.35">
      <c r="A5" s="2" t="s">
        <v>28</v>
      </c>
      <c r="B5" s="4" t="e">
        <f t="shared" si="0"/>
        <v>#VALUE!</v>
      </c>
      <c r="C5" s="2" t="s">
        <v>6</v>
      </c>
      <c r="D5"/>
      <c r="E5"/>
      <c r="F5"/>
      <c r="G5"/>
      <c r="H5"/>
      <c r="I5"/>
      <c r="J5"/>
      <c r="K5"/>
    </row>
    <row r="6" spans="1:11" s="2" customFormat="1" x14ac:dyDescent="0.35">
      <c r="A6" s="2" t="s">
        <v>29</v>
      </c>
      <c r="B6" s="4" t="e">
        <f t="shared" si="0"/>
        <v>#VALUE!</v>
      </c>
      <c r="C6" s="2" t="s">
        <v>7</v>
      </c>
      <c r="D6"/>
      <c r="E6"/>
      <c r="F6"/>
      <c r="G6"/>
      <c r="H6"/>
      <c r="I6"/>
      <c r="J6"/>
      <c r="K6"/>
    </row>
    <row r="7" spans="1:11" s="2" customFormat="1" x14ac:dyDescent="0.35">
      <c r="A7" t="s">
        <v>45</v>
      </c>
      <c r="B7" s="4">
        <f>DATEVALUE(A7)</f>
        <v>45351</v>
      </c>
      <c r="C7" t="s">
        <v>46</v>
      </c>
      <c r="D7"/>
      <c r="E7"/>
      <c r="F7"/>
      <c r="G7"/>
      <c r="H7"/>
      <c r="I7"/>
      <c r="J7"/>
      <c r="K7"/>
    </row>
    <row r="8" spans="1:11" s="2" customFormat="1" x14ac:dyDescent="0.35">
      <c r="A8" s="2" t="s">
        <v>30</v>
      </c>
      <c r="B8" s="4" t="e">
        <f t="shared" si="0"/>
        <v>#VALUE!</v>
      </c>
      <c r="C8" t="s">
        <v>79</v>
      </c>
      <c r="D8"/>
      <c r="E8"/>
      <c r="F8"/>
      <c r="G8"/>
      <c r="H8"/>
      <c r="I8"/>
      <c r="J8"/>
      <c r="K8"/>
    </row>
    <row r="9" spans="1:11" s="2" customFormat="1" x14ac:dyDescent="0.35">
      <c r="A9" s="2" t="s">
        <v>31</v>
      </c>
      <c r="B9" s="4" t="e">
        <f t="shared" si="0"/>
        <v>#VALUE!</v>
      </c>
      <c r="C9" s="2" t="s">
        <v>8</v>
      </c>
      <c r="D9"/>
      <c r="E9"/>
      <c r="F9"/>
      <c r="G9"/>
      <c r="H9"/>
      <c r="I9"/>
      <c r="J9"/>
      <c r="K9"/>
    </row>
    <row r="10" spans="1:11" x14ac:dyDescent="0.35">
      <c r="A10" s="2" t="s">
        <v>32</v>
      </c>
      <c r="B10" s="4">
        <f t="shared" si="0"/>
        <v>46219</v>
      </c>
      <c r="C10" s="2" t="s">
        <v>36</v>
      </c>
    </row>
    <row r="11" spans="1:11" x14ac:dyDescent="0.35">
      <c r="A11" t="s">
        <v>9</v>
      </c>
      <c r="B11" s="4" t="e">
        <f t="shared" si="0"/>
        <v>#VALUE!</v>
      </c>
      <c r="C11" t="s">
        <v>10</v>
      </c>
    </row>
    <row r="12" spans="1:11" x14ac:dyDescent="0.35">
      <c r="A12">
        <v>72</v>
      </c>
      <c r="B12" s="4" t="e">
        <f t="shared" si="0"/>
        <v>#VALUE!</v>
      </c>
      <c r="C12" t="s">
        <v>11</v>
      </c>
    </row>
    <row r="13" spans="1:11" x14ac:dyDescent="0.35">
      <c r="A13" s="3">
        <v>45854</v>
      </c>
      <c r="B13" s="4" t="e">
        <f t="shared" si="0"/>
        <v>#VALUE!</v>
      </c>
      <c r="C13" t="s">
        <v>12</v>
      </c>
    </row>
    <row r="14" spans="1:11" x14ac:dyDescent="0.35">
      <c r="A14" s="3">
        <f>DATE(2024,1,10)</f>
        <v>45301</v>
      </c>
      <c r="B14" s="4" t="e">
        <f>DATEVALUE(A14)</f>
        <v>#VALUE!</v>
      </c>
      <c r="C14" t="s">
        <v>13</v>
      </c>
    </row>
    <row r="15" spans="1:11" x14ac:dyDescent="0.35">
      <c r="A15" t="str">
        <f>"2024-01-10"</f>
        <v>2024-01-10</v>
      </c>
      <c r="B15" s="4">
        <f>DATEVALUE(A15)</f>
        <v>45301</v>
      </c>
      <c r="C15" t="s">
        <v>23</v>
      </c>
    </row>
    <row r="16" spans="1:11" x14ac:dyDescent="0.35">
      <c r="A16" t="str">
        <f>" 2024-01-10 "</f>
        <v xml:space="preserve"> 2024-01-10 </v>
      </c>
      <c r="B16" s="4">
        <f>DATEVALUE(A16)</f>
        <v>45301</v>
      </c>
      <c r="C16" t="s">
        <v>24</v>
      </c>
    </row>
    <row r="17" spans="1:5" x14ac:dyDescent="0.35">
      <c r="A17" s="5">
        <f>TIME(14,30,0)</f>
        <v>0.60416666666666663</v>
      </c>
      <c r="B17" s="4" t="e">
        <f>DATEVALUE(A17)</f>
        <v>#VALUE!</v>
      </c>
      <c r="C17" t="s">
        <v>14</v>
      </c>
    </row>
    <row r="18" spans="1:5" x14ac:dyDescent="0.35">
      <c r="A18" s="5"/>
      <c r="B18" s="4" t="e">
        <f t="shared" si="0"/>
        <v>#VALUE!</v>
      </c>
      <c r="C18" t="s">
        <v>15</v>
      </c>
    </row>
    <row r="19" spans="1:5" x14ac:dyDescent="0.35">
      <c r="A19" s="3" t="str">
        <f>""</f>
        <v/>
      </c>
      <c r="B19" s="4" t="e">
        <f t="shared" si="0"/>
        <v>#VALUE!</v>
      </c>
      <c r="C19" t="s">
        <v>16</v>
      </c>
    </row>
    <row r="20" spans="1:5" x14ac:dyDescent="0.35">
      <c r="A20" t="b">
        <v>1</v>
      </c>
      <c r="B20" s="4" t="e">
        <f t="shared" si="0"/>
        <v>#VALUE!</v>
      </c>
      <c r="C20" t="s">
        <v>17</v>
      </c>
      <c r="E20" s="2" t="s">
        <v>33</v>
      </c>
    </row>
    <row r="21" spans="1:5" x14ac:dyDescent="0.35">
      <c r="A21" t="b">
        <v>0</v>
      </c>
      <c r="B21" s="4" t="e">
        <f t="shared" si="0"/>
        <v>#VALUE!</v>
      </c>
      <c r="C21" t="s">
        <v>17</v>
      </c>
      <c r="E21" s="2" t="s">
        <v>34</v>
      </c>
    </row>
    <row r="22" spans="1:5" x14ac:dyDescent="0.35">
      <c r="A22" t="str">
        <f>E20:E22</f>
        <v>2026-12-01</v>
      </c>
      <c r="B22" s="4">
        <f>DATEVALUE(E20:E22)</f>
        <v>46357</v>
      </c>
      <c r="C22" t="s">
        <v>18</v>
      </c>
      <c r="E22" s="2" t="s">
        <v>25</v>
      </c>
    </row>
    <row r="23" spans="1:5" x14ac:dyDescent="0.35">
      <c r="A23" t="str">
        <f>"8"</f>
        <v>8</v>
      </c>
      <c r="B23" s="4" t="e">
        <f t="shared" si="0"/>
        <v>#VALUE!</v>
      </c>
      <c r="C23" t="s">
        <v>81</v>
      </c>
      <c r="E23" s="2" t="s">
        <v>35</v>
      </c>
    </row>
    <row r="24" spans="1:5" x14ac:dyDescent="0.35">
      <c r="A24" t="str">
        <f>" 10 "</f>
        <v xml:space="preserve"> 10 </v>
      </c>
      <c r="B24" s="4" t="e">
        <f t="shared" si="0"/>
        <v>#VALUE!</v>
      </c>
      <c r="C24" t="s">
        <v>82</v>
      </c>
    </row>
    <row r="25" spans="1:5" x14ac:dyDescent="0.35">
      <c r="A25" t="str">
        <f>"0"</f>
        <v>0</v>
      </c>
      <c r="B25" s="4" t="e">
        <f t="shared" si="0"/>
        <v>#VALUE!</v>
      </c>
      <c r="C25" t="s">
        <v>83</v>
      </c>
    </row>
    <row r="26" spans="1:5" x14ac:dyDescent="0.35">
      <c r="A26" t="str">
        <f>"10.0"</f>
        <v>10.0</v>
      </c>
      <c r="B26" s="4" t="e">
        <f t="shared" si="0"/>
        <v>#VALUE!</v>
      </c>
      <c r="C26" t="s">
        <v>84</v>
      </c>
    </row>
    <row r="27" spans="1:5" x14ac:dyDescent="0.35">
      <c r="A27" t="str">
        <f>"008"</f>
        <v>008</v>
      </c>
      <c r="B27" s="4" t="e">
        <f t="shared" si="0"/>
        <v>#VALUE!</v>
      </c>
      <c r="C27" t="s">
        <v>85</v>
      </c>
    </row>
    <row r="28" spans="1:5" x14ac:dyDescent="0.35">
      <c r="A28" t="s">
        <v>19</v>
      </c>
      <c r="B28" s="4" t="e">
        <f t="shared" si="0"/>
        <v>#VALUE!</v>
      </c>
      <c r="C28" t="s">
        <v>80</v>
      </c>
    </row>
    <row r="29" spans="1:5" x14ac:dyDescent="0.35">
      <c r="A29" t="s">
        <v>9</v>
      </c>
      <c r="B29" s="4" t="e">
        <f t="shared" si="0"/>
        <v>#VALUE!</v>
      </c>
      <c r="C29" t="s">
        <v>20</v>
      </c>
    </row>
    <row r="30" spans="1:5" x14ac:dyDescent="0.35">
      <c r="A30" t="str">
        <f>"@"</f>
        <v>@</v>
      </c>
      <c r="B30" s="4" t="e">
        <f t="shared" si="0"/>
        <v>#VALUE!</v>
      </c>
      <c r="C30" t="s">
        <v>21</v>
      </c>
    </row>
    <row r="31" spans="1:5" x14ac:dyDescent="0.35">
      <c r="A31" s="3" t="e">
        <f>1/0</f>
        <v>#DIV/0!</v>
      </c>
      <c r="B31" s="4" t="e">
        <f t="shared" si="0"/>
        <v>#DIV/0!</v>
      </c>
      <c r="C31" t="s">
        <v>22</v>
      </c>
    </row>
    <row r="32" spans="1:5" x14ac:dyDescent="0.35">
      <c r="A32" t="e">
        <f>NA()</f>
        <v>#N/A</v>
      </c>
      <c r="B32" s="4" t="e">
        <f t="shared" si="0"/>
        <v>#N/A</v>
      </c>
      <c r="C32" t="s">
        <v>22</v>
      </c>
    </row>
    <row r="33" spans="1:3" x14ac:dyDescent="0.35">
      <c r="A33" t="e" cm="1">
        <f t="array" ref="A33">HELLO</f>
        <v>#NAME?</v>
      </c>
      <c r="B33" s="4" t="e">
        <f t="shared" si="0"/>
        <v>#NAME?</v>
      </c>
      <c r="C33" t="s">
        <v>22</v>
      </c>
    </row>
    <row r="34" spans="1:3" x14ac:dyDescent="0.35">
      <c r="A34" t="e">
        <f>SQRT(-1)</f>
        <v>#NUM!</v>
      </c>
      <c r="B34" s="4" t="e">
        <f t="shared" si="0"/>
        <v>#NUM!</v>
      </c>
      <c r="C34" t="s">
        <v>22</v>
      </c>
    </row>
    <row r="35" spans="1:3" x14ac:dyDescent="0.35">
      <c r="A35" t="e">
        <f>"x"+1</f>
        <v>#VALUE!</v>
      </c>
      <c r="B35" s="4" t="e">
        <f t="shared" si="0"/>
        <v>#VALUE!</v>
      </c>
      <c r="C35" t="s">
        <v>22</v>
      </c>
    </row>
    <row r="37" spans="1:3" x14ac:dyDescent="0.35">
      <c r="A37" t="s">
        <v>37</v>
      </c>
      <c r="B37" s="4">
        <f t="shared" ref="B37:B59" si="1">DATEVALUE(A37)</f>
        <v>60</v>
      </c>
      <c r="C37" t="s">
        <v>38</v>
      </c>
    </row>
    <row r="38" spans="1:3" x14ac:dyDescent="0.35">
      <c r="A38" t="s">
        <v>39</v>
      </c>
      <c r="B38" s="4">
        <f t="shared" si="1"/>
        <v>61</v>
      </c>
      <c r="C38" t="s">
        <v>40</v>
      </c>
    </row>
    <row r="39" spans="1:3" x14ac:dyDescent="0.35">
      <c r="A39" t="s">
        <v>41</v>
      </c>
      <c r="B39" s="4">
        <f t="shared" si="1"/>
        <v>2958464</v>
      </c>
      <c r="C39" t="s">
        <v>42</v>
      </c>
    </row>
    <row r="40" spans="1:3" x14ac:dyDescent="0.35">
      <c r="A40" t="s">
        <v>43</v>
      </c>
      <c r="B40" s="4" t="e">
        <f t="shared" si="1"/>
        <v>#VALUE!</v>
      </c>
      <c r="C40" t="s">
        <v>44</v>
      </c>
    </row>
    <row r="41" spans="1:3" x14ac:dyDescent="0.35">
      <c r="A41" t="s">
        <v>47</v>
      </c>
      <c r="B41" s="4" t="e">
        <f t="shared" si="1"/>
        <v>#VALUE!</v>
      </c>
      <c r="C41" t="s">
        <v>48</v>
      </c>
    </row>
    <row r="42" spans="1:3" x14ac:dyDescent="0.35">
      <c r="A42" t="s">
        <v>49</v>
      </c>
      <c r="B42" s="4">
        <f t="shared" si="1"/>
        <v>36585</v>
      </c>
      <c r="C42" t="s">
        <v>50</v>
      </c>
    </row>
    <row r="43" spans="1:3" x14ac:dyDescent="0.35">
      <c r="A43" t="s">
        <v>51</v>
      </c>
      <c r="B43" s="4" t="e">
        <f t="shared" si="1"/>
        <v>#VALUE!</v>
      </c>
      <c r="C43" t="s">
        <v>52</v>
      </c>
    </row>
    <row r="44" spans="1:3" x14ac:dyDescent="0.35">
      <c r="A44" t="s">
        <v>53</v>
      </c>
      <c r="B44" s="4" t="e">
        <f t="shared" si="1"/>
        <v>#VALUE!</v>
      </c>
      <c r="C44" t="s">
        <v>54</v>
      </c>
    </row>
    <row r="45" spans="1:3" x14ac:dyDescent="0.35">
      <c r="A45" t="s">
        <v>55</v>
      </c>
      <c r="B45" s="4" t="e">
        <f t="shared" si="1"/>
        <v>#VALUE!</v>
      </c>
      <c r="C45" t="s">
        <v>56</v>
      </c>
    </row>
    <row r="46" spans="1:3" x14ac:dyDescent="0.35">
      <c r="A46" t="s">
        <v>57</v>
      </c>
      <c r="B46" s="4" t="e">
        <f t="shared" si="1"/>
        <v>#VALUE!</v>
      </c>
      <c r="C46" t="s">
        <v>58</v>
      </c>
    </row>
    <row r="47" spans="1:3" x14ac:dyDescent="0.35">
      <c r="A47" t="s">
        <v>59</v>
      </c>
      <c r="B47" s="4">
        <f t="shared" si="1"/>
        <v>46023</v>
      </c>
      <c r="C47" t="s">
        <v>60</v>
      </c>
    </row>
    <row r="48" spans="1:3" x14ac:dyDescent="0.35">
      <c r="A48" t="s">
        <v>61</v>
      </c>
      <c r="B48" s="4">
        <f t="shared" si="1"/>
        <v>36917</v>
      </c>
      <c r="C48" t="s">
        <v>62</v>
      </c>
    </row>
    <row r="49" spans="1:3" x14ac:dyDescent="0.35">
      <c r="A49" t="s">
        <v>63</v>
      </c>
      <c r="B49" s="4">
        <f t="shared" si="1"/>
        <v>46023</v>
      </c>
      <c r="C49" t="s">
        <v>64</v>
      </c>
    </row>
    <row r="50" spans="1:3" x14ac:dyDescent="0.35">
      <c r="A50" t="s">
        <v>65</v>
      </c>
      <c r="B50" s="4">
        <f t="shared" si="1"/>
        <v>46023</v>
      </c>
      <c r="C50" t="s">
        <v>66</v>
      </c>
    </row>
    <row r="51" spans="1:3" x14ac:dyDescent="0.35">
      <c r="A51" t="s">
        <v>67</v>
      </c>
      <c r="B51" s="4">
        <f t="shared" si="1"/>
        <v>46023</v>
      </c>
      <c r="C51" t="s">
        <v>68</v>
      </c>
    </row>
    <row r="52" spans="1:3" x14ac:dyDescent="0.35">
      <c r="A52" t="s">
        <v>69</v>
      </c>
      <c r="B52" s="4" t="e">
        <f t="shared" si="1"/>
        <v>#VALUE!</v>
      </c>
      <c r="C52" t="s">
        <v>70</v>
      </c>
    </row>
    <row r="53" spans="1:3" x14ac:dyDescent="0.35">
      <c r="A53" t="s">
        <v>71</v>
      </c>
      <c r="B53" s="4">
        <f t="shared" si="1"/>
        <v>46023</v>
      </c>
      <c r="C53" t="s">
        <v>72</v>
      </c>
    </row>
    <row r="54" spans="1:3" x14ac:dyDescent="0.35">
      <c r="A54" t="s">
        <v>73</v>
      </c>
      <c r="B54" s="4">
        <f t="shared" si="1"/>
        <v>46023</v>
      </c>
      <c r="C54" t="s">
        <v>74</v>
      </c>
    </row>
    <row r="55" spans="1:3" x14ac:dyDescent="0.35">
      <c r="A55" t="s">
        <v>75</v>
      </c>
      <c r="B55" s="4" t="e">
        <f t="shared" si="1"/>
        <v>#VALUE!</v>
      </c>
      <c r="C55" t="s">
        <v>76</v>
      </c>
    </row>
    <row r="56" spans="1:3" x14ac:dyDescent="0.35">
      <c r="A56" t="s">
        <v>77</v>
      </c>
      <c r="B56" s="4" t="e">
        <f t="shared" si="1"/>
        <v>#VALUE!</v>
      </c>
      <c r="C56" t="s">
        <v>78</v>
      </c>
    </row>
    <row r="58" spans="1:3" x14ac:dyDescent="0.35">
      <c r="A58" s="2" t="s">
        <v>89</v>
      </c>
      <c r="B58" s="4">
        <f t="shared" si="1"/>
        <v>44928</v>
      </c>
      <c r="C58" t="s">
        <v>88</v>
      </c>
    </row>
    <row r="59" spans="1:3" x14ac:dyDescent="0.35">
      <c r="A59" s="2" t="s">
        <v>87</v>
      </c>
      <c r="B59" s="4">
        <f t="shared" si="1"/>
        <v>44362</v>
      </c>
      <c r="C59" t="s">
        <v>86</v>
      </c>
    </row>
  </sheetData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2026-08-20T10:57:58Z</dcterms:modified>
  <cp:category/>
  <cp:contentStatus/>
</cp:coreProperties>
</file>