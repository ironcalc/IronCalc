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369ED41F-C734-4449-8310-300AD206851C}" xr6:coauthVersionLast="47" xr6:coauthVersionMax="47" xr10:uidLastSave="{00000000-0000-0000-0000-000000000000}"/>
  <bookViews>
    <workbookView xWindow="14630" yWindow="4060" windowWidth="20040" windowHeight="15360" xr2:uid="{8EEA0296-F25F-4633-ADCF-E78FA5A505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" i="1" l="1"/>
  <c r="C12" i="1" s="1"/>
  <c r="A13" i="1"/>
  <c r="C13" i="1"/>
  <c r="A6" i="1"/>
  <c r="C6" i="1" s="1"/>
  <c r="A7" i="1"/>
  <c r="C7" i="1" s="1"/>
  <c r="C39" i="1"/>
  <c r="C37" i="1"/>
  <c r="C36" i="1"/>
  <c r="C35" i="1"/>
  <c r="C34" i="1"/>
  <c r="C33" i="1"/>
  <c r="C32" i="1"/>
  <c r="C21" i="1"/>
  <c r="C18" i="1"/>
  <c r="C15" i="1"/>
  <c r="C14" i="1"/>
  <c r="A47" i="1"/>
  <c r="C47" i="1" s="1"/>
  <c r="A46" i="1"/>
  <c r="C46" i="1" s="1"/>
  <c r="A45" i="1"/>
  <c r="C45" i="1" s="1"/>
  <c r="A44" i="1"/>
  <c r="C44" i="1" s="1"/>
  <c r="A43" i="1"/>
  <c r="C43" i="1" s="1"/>
  <c r="B42" i="1"/>
  <c r="A42" i="1"/>
  <c r="C42" i="1" s="1"/>
  <c r="A41" i="1"/>
  <c r="C41" i="1" s="1"/>
  <c r="A40" i="1"/>
  <c r="C40" i="1" s="1"/>
  <c r="A38" i="1"/>
  <c r="C38" i="1" s="1"/>
  <c r="A31" i="1"/>
  <c r="C31" i="1" s="1"/>
  <c r="A30" i="1"/>
  <c r="C30" i="1" s="1"/>
  <c r="A29" i="1"/>
  <c r="C29" i="1" s="1"/>
  <c r="A28" i="1"/>
  <c r="C28" i="1" s="1"/>
  <c r="A27" i="1"/>
  <c r="C27" i="1" s="1"/>
  <c r="A26" i="1"/>
  <c r="C26" i="1" s="1"/>
  <c r="A25" i="1"/>
  <c r="C25" i="1" s="1"/>
  <c r="A24" i="1"/>
  <c r="C24" i="1" s="1"/>
  <c r="A23" i="1"/>
  <c r="C23" i="1" s="1"/>
  <c r="A22" i="1"/>
  <c r="C22" i="1" s="1"/>
  <c r="B20" i="1"/>
  <c r="A20" i="1"/>
  <c r="A19" i="1"/>
  <c r="C19" i="1" s="1"/>
  <c r="A17" i="1"/>
  <c r="C17" i="1" s="1"/>
  <c r="A16" i="1"/>
  <c r="C16" i="1" s="1"/>
  <c r="A11" i="1"/>
  <c r="C11" i="1" s="1"/>
  <c r="A10" i="1"/>
  <c r="C10" i="1" s="1"/>
  <c r="A9" i="1"/>
  <c r="C9" i="1" s="1"/>
  <c r="A8" i="1"/>
  <c r="C8" i="1" s="1"/>
  <c r="A5" i="1"/>
  <c r="C5" i="1" s="1"/>
  <c r="A4" i="1"/>
  <c r="C4" i="1" s="1"/>
  <c r="A3" i="1"/>
  <c r="C3" i="1" s="1"/>
  <c r="A2" i="1"/>
  <c r="C2" i="1" s="1"/>
  <c r="C20" i="1" l="1"/>
</calcChain>
</file>

<file path=xl/sharedStrings.xml><?xml version="1.0" encoding="utf-8"?>
<sst xmlns="http://schemas.openxmlformats.org/spreadsheetml/2006/main" count="53" uniqueCount="49">
  <si>
    <t>qwerty</t>
  </si>
  <si>
    <t>START DATE</t>
  </si>
  <si>
    <t>MONTHS</t>
  </si>
  <si>
    <t>Baseline: end-of-Nov + 5 months</t>
  </si>
  <si>
    <t>Baseline: + 10 months</t>
  </si>
  <si>
    <t>Zero months -&gt; returns start date</t>
  </si>
  <si>
    <t>Negative months</t>
  </si>
  <si>
    <t>Serial 61 = 1-Mar-1900; we agree with Excel for serials &gt; 60</t>
  </si>
  <si>
    <t>Far-future serial 123452</t>
  </si>
  <si>
    <t>Month-end rollover: 31-Jan -&gt; 29-Feb (leap year clamp)</t>
  </si>
  <si>
    <t>Month-end rollover: 31-Jan -&gt; 28-Feb (non-leap clamp)</t>
  </si>
  <si>
    <t>Backward clamp: 31-Mar -&gt; 29-Feb</t>
  </si>
  <si>
    <t>Leap day + 12 months -&gt; 28-Feb-2025 (clamped)</t>
  </si>
  <si>
    <t>Leap day + 48 months -&gt; 29-Feb-2028 (leap to leap)</t>
  </si>
  <si>
    <t>31-day -&gt; 30-day month clamp (31-May -&gt; 30-Jun)</t>
  </si>
  <si>
    <t>Year rollover forward across December</t>
  </si>
  <si>
    <t>Year rollover backward across January</t>
  </si>
  <si>
    <t>abc</t>
  </si>
  <si>
    <t>Fractional serial + fractional months; both truncated</t>
  </si>
  <si>
    <t>Below minimum date</t>
  </si>
  <si>
    <t>Beyond max date</t>
  </si>
  <si>
    <t>EDATE</t>
  </si>
  <si>
    <t>NOTES</t>
  </si>
  <si>
    <t>Large positive month offset</t>
  </si>
  <si>
    <t>Very small near zero</t>
  </si>
  <si>
    <t>Very small negative near zero</t>
  </si>
  <si>
    <t>Negative fractional months</t>
  </si>
  <si>
    <t>Blank months cell</t>
  </si>
  <si>
    <t xml:space="preserve">Fractional months &gt; -1 </t>
  </si>
  <si>
    <t>Fractional months &lt; 1</t>
  </si>
  <si>
    <t xml:space="preserve">Month offset past year 9999 </t>
  </si>
  <si>
    <t xml:space="preserve">Very large month offset </t>
  </si>
  <si>
    <t>Boolean TRUE months</t>
  </si>
  <si>
    <t>Boolean TRUE start</t>
  </si>
  <si>
    <t>Non-numeric text months</t>
  </si>
  <si>
    <t>Text date in quotes</t>
  </si>
  <si>
    <t>Numeric string months</t>
  </si>
  <si>
    <t xml:space="preserve">Numeric string start </t>
  </si>
  <si>
    <t xml:space="preserve">Serial 2958466 shown raw, above max </t>
  </si>
  <si>
    <t xml:space="preserve">Max serial minus 1 month </t>
  </si>
  <si>
    <t>Max serial, 0 months</t>
  </si>
  <si>
    <t>Whole-year offset</t>
  </si>
  <si>
    <t>Non-numeric text start</t>
  </si>
  <si>
    <t>Error months propagates</t>
  </si>
  <si>
    <t>Error start date propagates</t>
  </si>
  <si>
    <t>Negative start serial</t>
  </si>
  <si>
    <t xml:space="preserve">Goes below serial 1 </t>
  </si>
  <si>
    <t>Same start, 82.9 months</t>
  </si>
  <si>
    <t>"1987-30-11"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</si>
</sst>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2" xfId="0" applyNumberFormat="1" applyBorder="1"/>
    <xf numFmtId="49" fontId="0" fillId="0" borderId="2" xfId="0" applyNumberFormat="1" applyBorder="1"/>
    <xf numFmtId="0" fontId="0" fillId="0" borderId="2" xfId="0" applyBorder="1"/>
    <xf numFmtId="0" fontId="1" fillId="0" borderId="0" xfId="0" applyFont="1"/>
    <xf numFmtId="164" fontId="0" fillId="0" borderId="0" xfId="0" applyNumberFormat="1"/>
    <xf numFmtId="49" fontId="0" fillId="0" borderId="1" xfId="0" applyNumberFormat="1" applyBorder="1"/>
    <xf numFmtId="164" fontId="2" fillId="2" borderId="3" xfId="0" applyNumberFormat="1" applyFont="1" applyFill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E72DCC-E549-41A1-96D5-8985CA637AF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987d63c-ed27-4b94-83f5-792096d4ec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1871-D94A-4C42-940B-9397DB6A9E02}">
  <dimension ref="A1:D47"/>
  <sheetViews>
    <sheetView tabSelected="1" workbookViewId="0">
      <pane ySplit="1" topLeftCell="A17" activePane="bottomLeft" state="frozen"/>
      <selection pane="bottomLeft" activeCell="D50" sqref="D50"/>
    </sheetView>
  </sheetViews>
  <sheetFormatPr defaultRowHeight="14.5" x14ac:dyDescent="0.35"/>
  <cols>
    <col min="1" max="1" width="17.26953125" customWidth="1"/>
    <col min="2" max="2" width="13.6328125" customWidth="1"/>
    <col min="3" max="3" width="17.26953125" customWidth="1"/>
    <col min="4" max="4" width="69.08984375" customWidth="1"/>
    <col min="5" max="5" width="11.54296875" customWidth="1"/>
    <col min="6" max="6" width="15.1796875" customWidth="1"/>
    <col min="7" max="7" width="18.81640625" customWidth="1"/>
    <col min="8" max="8" width="21" customWidth="1"/>
    <col min="9" max="9" width="17" customWidth="1"/>
    <col min="10" max="10" width="25.81640625" customWidth="1"/>
    <col min="11" max="11" width="20.81640625" customWidth="1"/>
  </cols>
  <sheetData>
    <row r="1" spans="1:4" x14ac:dyDescent="0.35">
      <c r="A1" s="5" t="s">
        <v>1</v>
      </c>
      <c r="B1" s="5" t="s">
        <v>2</v>
      </c>
      <c r="C1" s="5" t="s">
        <v>21</v>
      </c>
      <c r="D1" s="5" t="s">
        <v>22</v>
      </c>
    </row>
    <row r="2" spans="1:4" x14ac:dyDescent="0.35">
      <c r="A2" s="6">
        <f>DATE(1987,11,30)</f>
        <v>32111</v>
      </c>
      <c r="B2">
        <v>5</v>
      </c>
      <c r="C2" s="8">
        <f>EDATE(A2,B2)</f>
        <v>32263</v>
      </c>
      <c r="D2" t="s">
        <v>3</v>
      </c>
    </row>
    <row r="3" spans="1:4" x14ac:dyDescent="0.35">
      <c r="A3" s="2">
        <f>DATE(1987,12,1)</f>
        <v>32112</v>
      </c>
      <c r="B3" s="1">
        <v>10</v>
      </c>
      <c r="C3" s="8">
        <f t="shared" ref="C3:C47" si="0">EDATE(A3,B3)</f>
        <v>32417</v>
      </c>
      <c r="D3" t="s">
        <v>4</v>
      </c>
    </row>
    <row r="4" spans="1:4" x14ac:dyDescent="0.35">
      <c r="A4" s="2">
        <f>DATE(1987,12,2)</f>
        <v>32113</v>
      </c>
      <c r="B4" s="1">
        <v>112</v>
      </c>
      <c r="C4" s="8">
        <f t="shared" si="0"/>
        <v>35522</v>
      </c>
      <c r="D4" t="s">
        <v>23</v>
      </c>
    </row>
    <row r="5" spans="1:4" x14ac:dyDescent="0.35">
      <c r="A5" s="2">
        <f>DATE(1933,10,17)</f>
        <v>12344</v>
      </c>
      <c r="B5" s="1">
        <v>0</v>
      </c>
      <c r="C5" s="8">
        <f t="shared" si="0"/>
        <v>12344</v>
      </c>
      <c r="D5" t="s">
        <v>5</v>
      </c>
    </row>
    <row r="6" spans="1:4" x14ac:dyDescent="0.35">
      <c r="A6" s="2">
        <f>DATE(1987,12,1)</f>
        <v>32112</v>
      </c>
      <c r="B6" s="9">
        <v>9.9999999999999995E-8</v>
      </c>
      <c r="C6" s="8">
        <f t="shared" si="0"/>
        <v>32112</v>
      </c>
      <c r="D6" t="s">
        <v>24</v>
      </c>
    </row>
    <row r="7" spans="1:4" x14ac:dyDescent="0.35">
      <c r="A7" s="2">
        <f>DATE(1987,12,1)</f>
        <v>32112</v>
      </c>
      <c r="B7" s="9">
        <v>-9.9999999999999995E-8</v>
      </c>
      <c r="C7" s="8">
        <f t="shared" si="0"/>
        <v>32112</v>
      </c>
      <c r="D7" t="s">
        <v>25</v>
      </c>
    </row>
    <row r="8" spans="1:4" x14ac:dyDescent="0.35">
      <c r="A8" s="2">
        <f>DATE(1987,11,30)</f>
        <v>32111</v>
      </c>
      <c r="B8" s="1">
        <v>-5</v>
      </c>
      <c r="C8" s="8">
        <f t="shared" si="0"/>
        <v>31958</v>
      </c>
      <c r="D8" t="s">
        <v>6</v>
      </c>
    </row>
    <row r="9" spans="1:4" x14ac:dyDescent="0.35">
      <c r="A9" s="2">
        <f>DATE(1987,12,1)</f>
        <v>32112</v>
      </c>
      <c r="B9" s="1">
        <v>-235.5</v>
      </c>
      <c r="C9" s="8">
        <f t="shared" si="0"/>
        <v>24959</v>
      </c>
      <c r="D9" t="s">
        <v>26</v>
      </c>
    </row>
    <row r="10" spans="1:4" x14ac:dyDescent="0.35">
      <c r="A10" s="2">
        <f>DATE(1987,12,2)</f>
        <v>32113</v>
      </c>
      <c r="B10" s="1">
        <v>-11.2</v>
      </c>
      <c r="C10" s="8">
        <f t="shared" si="0"/>
        <v>31779</v>
      </c>
      <c r="D10" t="s">
        <v>26</v>
      </c>
    </row>
    <row r="11" spans="1:4" x14ac:dyDescent="0.35">
      <c r="A11" s="2">
        <f>DATE(1933,10,17)</f>
        <v>12344</v>
      </c>
      <c r="B11" s="1">
        <v>-2.7</v>
      </c>
      <c r="C11" s="8">
        <f t="shared" si="0"/>
        <v>12283</v>
      </c>
      <c r="D11" t="s">
        <v>26</v>
      </c>
    </row>
    <row r="12" spans="1:4" x14ac:dyDescent="0.35">
      <c r="A12" s="2">
        <f t="shared" ref="A12:A13" si="1">DATE(1933,10,17)</f>
        <v>12344</v>
      </c>
      <c r="B12" s="1">
        <v>-2.9999999900000001</v>
      </c>
      <c r="C12" s="8">
        <f t="shared" ref="C12:C13" si="2">EDATE(A12,B12)</f>
        <v>12283</v>
      </c>
      <c r="D12" t="s">
        <v>26</v>
      </c>
    </row>
    <row r="13" spans="1:4" x14ac:dyDescent="0.35">
      <c r="A13" s="2">
        <f t="shared" si="1"/>
        <v>12344</v>
      </c>
      <c r="B13" s="1">
        <v>-2.0000000099999999</v>
      </c>
      <c r="C13" s="8">
        <f t="shared" si="2"/>
        <v>12283</v>
      </c>
      <c r="D13" t="s">
        <v>26</v>
      </c>
    </row>
    <row r="14" spans="1:4" x14ac:dyDescent="0.35">
      <c r="A14" s="4">
        <v>32112.5</v>
      </c>
      <c r="B14" s="1">
        <v>82.33</v>
      </c>
      <c r="C14" s="8">
        <f t="shared" si="0"/>
        <v>34608</v>
      </c>
      <c r="D14" t="s">
        <v>18</v>
      </c>
    </row>
    <row r="15" spans="1:4" x14ac:dyDescent="0.35">
      <c r="A15" s="4">
        <v>32112.5</v>
      </c>
      <c r="B15" s="1">
        <v>82.9</v>
      </c>
      <c r="C15" s="8">
        <f t="shared" si="0"/>
        <v>34608</v>
      </c>
      <c r="D15" t="s">
        <v>47</v>
      </c>
    </row>
    <row r="16" spans="1:4" x14ac:dyDescent="0.35">
      <c r="A16" s="2">
        <f>DATE(1900,3,1)</f>
        <v>61</v>
      </c>
      <c r="B16" s="1">
        <v>5</v>
      </c>
      <c r="C16" s="8">
        <f t="shared" si="0"/>
        <v>214</v>
      </c>
      <c r="D16" t="s">
        <v>7</v>
      </c>
    </row>
    <row r="17" spans="1:4" x14ac:dyDescent="0.35">
      <c r="A17" s="2">
        <f>DATE(1900,3,1)</f>
        <v>61</v>
      </c>
      <c r="B17" s="1">
        <v>-7</v>
      </c>
      <c r="C17" s="8" t="e">
        <f t="shared" si="0"/>
        <v>#NUM!</v>
      </c>
      <c r="D17" t="s">
        <v>46</v>
      </c>
    </row>
    <row r="18" spans="1:4" x14ac:dyDescent="0.35">
      <c r="A18" s="4">
        <v>-1</v>
      </c>
      <c r="B18" s="1">
        <v>1</v>
      </c>
      <c r="C18" s="8" t="e">
        <f t="shared" si="0"/>
        <v>#NUM!</v>
      </c>
      <c r="D18" t="s">
        <v>45</v>
      </c>
    </row>
    <row r="19" spans="1:4" x14ac:dyDescent="0.35">
      <c r="A19" s="2" t="e">
        <f>1/0</f>
        <v>#DIV/0!</v>
      </c>
      <c r="B19" s="1">
        <v>1</v>
      </c>
      <c r="C19" s="8" t="e">
        <f t="shared" si="0"/>
        <v>#DIV/0!</v>
      </c>
      <c r="D19" t="s">
        <v>44</v>
      </c>
    </row>
    <row r="20" spans="1:4" x14ac:dyDescent="0.35">
      <c r="A20" s="2">
        <f>DATE(1987,11,30)</f>
        <v>32111</v>
      </c>
      <c r="B20" s="1" t="e">
        <f>1/0</f>
        <v>#DIV/0!</v>
      </c>
      <c r="C20" s="8" t="e">
        <f t="shared" si="0"/>
        <v>#DIV/0!</v>
      </c>
      <c r="D20" t="s">
        <v>43</v>
      </c>
    </row>
    <row r="21" spans="1:4" x14ac:dyDescent="0.35">
      <c r="A21" s="2" t="s">
        <v>0</v>
      </c>
      <c r="B21" s="1">
        <v>1</v>
      </c>
      <c r="C21" s="8" t="e">
        <f t="shared" si="0"/>
        <v>#VALUE!</v>
      </c>
      <c r="D21" t="s">
        <v>42</v>
      </c>
    </row>
    <row r="22" spans="1:4" x14ac:dyDescent="0.35">
      <c r="A22" s="2">
        <f>DATE(2009,7,6)</f>
        <v>40000</v>
      </c>
      <c r="B22" s="1">
        <v>12</v>
      </c>
      <c r="C22" s="8">
        <f t="shared" si="0"/>
        <v>40365</v>
      </c>
      <c r="D22" t="s">
        <v>41</v>
      </c>
    </row>
    <row r="23" spans="1:4" x14ac:dyDescent="0.35">
      <c r="A23" s="2">
        <f>DATE(2237,12,30)</f>
        <v>123452</v>
      </c>
      <c r="B23" s="1">
        <v>5</v>
      </c>
      <c r="C23" s="8">
        <f t="shared" si="0"/>
        <v>123603</v>
      </c>
      <c r="D23" t="s">
        <v>8</v>
      </c>
    </row>
    <row r="24" spans="1:4" x14ac:dyDescent="0.35">
      <c r="A24" s="2">
        <f>DATE(2024,1,31)</f>
        <v>45322</v>
      </c>
      <c r="B24" s="1">
        <v>1</v>
      </c>
      <c r="C24" s="8">
        <f t="shared" si="0"/>
        <v>45351</v>
      </c>
      <c r="D24" t="s">
        <v>9</v>
      </c>
    </row>
    <row r="25" spans="1:4" x14ac:dyDescent="0.35">
      <c r="A25" s="2">
        <f>DATE(2023,1,31)</f>
        <v>44957</v>
      </c>
      <c r="B25" s="1">
        <v>1</v>
      </c>
      <c r="C25" s="8">
        <f t="shared" si="0"/>
        <v>44985</v>
      </c>
      <c r="D25" t="s">
        <v>10</v>
      </c>
    </row>
    <row r="26" spans="1:4" x14ac:dyDescent="0.35">
      <c r="A26" s="2">
        <f>DATE(2024,3,31)</f>
        <v>45382</v>
      </c>
      <c r="B26" s="1">
        <v>-1</v>
      </c>
      <c r="C26" s="8">
        <f t="shared" si="0"/>
        <v>45351</v>
      </c>
      <c r="D26" t="s">
        <v>11</v>
      </c>
    </row>
    <row r="27" spans="1:4" x14ac:dyDescent="0.35">
      <c r="A27" s="2">
        <f>DATE(2024,2,29)</f>
        <v>45351</v>
      </c>
      <c r="B27" s="1">
        <v>12</v>
      </c>
      <c r="C27" s="8">
        <f t="shared" si="0"/>
        <v>45716</v>
      </c>
      <c r="D27" t="s">
        <v>12</v>
      </c>
    </row>
    <row r="28" spans="1:4" x14ac:dyDescent="0.35">
      <c r="A28" s="2">
        <f>DATE(2024,2,29)</f>
        <v>45351</v>
      </c>
      <c r="B28" s="1">
        <v>48</v>
      </c>
      <c r="C28" s="8">
        <f t="shared" si="0"/>
        <v>46812</v>
      </c>
      <c r="D28" t="s">
        <v>13</v>
      </c>
    </row>
    <row r="29" spans="1:4" x14ac:dyDescent="0.35">
      <c r="A29" s="2">
        <f>DATE(2024,5,31)</f>
        <v>45443</v>
      </c>
      <c r="B29" s="1">
        <v>1</v>
      </c>
      <c r="C29" s="8">
        <f t="shared" si="0"/>
        <v>45473</v>
      </c>
      <c r="D29" t="s">
        <v>14</v>
      </c>
    </row>
    <row r="30" spans="1:4" x14ac:dyDescent="0.35">
      <c r="A30" s="2">
        <f>DATE(2024,12,31)</f>
        <v>45657</v>
      </c>
      <c r="B30" s="1">
        <v>1</v>
      </c>
      <c r="C30" s="8">
        <f t="shared" si="0"/>
        <v>45688</v>
      </c>
      <c r="D30" t="s">
        <v>15</v>
      </c>
    </row>
    <row r="31" spans="1:4" x14ac:dyDescent="0.35">
      <c r="A31" s="2">
        <f>DATE(2024,1,1)</f>
        <v>45292</v>
      </c>
      <c r="B31" s="1">
        <v>-1</v>
      </c>
      <c r="C31" s="8">
        <f t="shared" si="0"/>
        <v>45261</v>
      </c>
      <c r="D31" t="s">
        <v>16</v>
      </c>
    </row>
    <row r="32" spans="1:4" x14ac:dyDescent="0.35">
      <c r="A32" s="4">
        <v>1</v>
      </c>
      <c r="B32" s="1">
        <v>-1</v>
      </c>
      <c r="C32" s="8" t="e">
        <f t="shared" si="0"/>
        <v>#NUM!</v>
      </c>
      <c r="D32" t="s">
        <v>19</v>
      </c>
    </row>
    <row r="33" spans="1:4" x14ac:dyDescent="0.35">
      <c r="A33" s="4">
        <v>2958465</v>
      </c>
      <c r="B33" s="1">
        <v>0</v>
      </c>
      <c r="C33" s="8">
        <f t="shared" si="0"/>
        <v>2958465</v>
      </c>
      <c r="D33" t="s">
        <v>40</v>
      </c>
    </row>
    <row r="34" spans="1:4" x14ac:dyDescent="0.35">
      <c r="A34" s="4">
        <v>2958465</v>
      </c>
      <c r="B34" s="1">
        <v>1</v>
      </c>
      <c r="C34" s="8" t="e">
        <f t="shared" si="0"/>
        <v>#NUM!</v>
      </c>
      <c r="D34" t="s">
        <v>20</v>
      </c>
    </row>
    <row r="35" spans="1:4" x14ac:dyDescent="0.35">
      <c r="A35" s="4">
        <v>2958465</v>
      </c>
      <c r="B35" s="1">
        <v>-1</v>
      </c>
      <c r="C35" s="8">
        <f t="shared" si="0"/>
        <v>2958434</v>
      </c>
      <c r="D35" t="s">
        <v>39</v>
      </c>
    </row>
    <row r="36" spans="1:4" x14ac:dyDescent="0.35">
      <c r="A36" s="4">
        <v>2958466</v>
      </c>
      <c r="B36" s="1">
        <v>0</v>
      </c>
      <c r="C36" s="8" t="e">
        <f t="shared" si="0"/>
        <v>#NUM!</v>
      </c>
      <c r="D36" t="s">
        <v>38</v>
      </c>
    </row>
    <row r="37" spans="1:4" x14ac:dyDescent="0.35">
      <c r="A37" s="3">
        <v>32111</v>
      </c>
      <c r="B37" s="1">
        <v>5</v>
      </c>
      <c r="C37" s="8">
        <f t="shared" si="0"/>
        <v>32263</v>
      </c>
      <c r="D37" t="s">
        <v>37</v>
      </c>
    </row>
    <row r="38" spans="1:4" x14ac:dyDescent="0.35">
      <c r="A38" s="2">
        <f>DATE(1987,11,30)</f>
        <v>32111</v>
      </c>
      <c r="B38" s="7">
        <v>5</v>
      </c>
      <c r="C38" s="8">
        <f t="shared" si="0"/>
        <v>32263</v>
      </c>
      <c r="D38" t="s">
        <v>36</v>
      </c>
    </row>
    <row r="39" spans="1:4" x14ac:dyDescent="0.35">
      <c r="A39" s="3" t="s">
        <v>48</v>
      </c>
      <c r="B39" s="1">
        <v>5</v>
      </c>
      <c r="C39" s="8" t="e">
        <f t="shared" si="0"/>
        <v>#VALUE!</v>
      </c>
      <c r="D39" t="s">
        <v>35</v>
      </c>
    </row>
    <row r="40" spans="1:4" x14ac:dyDescent="0.35">
      <c r="A40" s="2">
        <f>DATE(1987,11,30)</f>
        <v>32111</v>
      </c>
      <c r="B40" s="7" t="s">
        <v>17</v>
      </c>
      <c r="C40" s="8" t="e">
        <f t="shared" si="0"/>
        <v>#VALUE!</v>
      </c>
      <c r="D40" t="s">
        <v>34</v>
      </c>
    </row>
    <row r="41" spans="1:4" x14ac:dyDescent="0.35">
      <c r="A41" s="2" t="b">
        <f>TRUE</f>
        <v>1</v>
      </c>
      <c r="B41" s="1">
        <v>1</v>
      </c>
      <c r="C41" s="8" t="e">
        <f t="shared" si="0"/>
        <v>#VALUE!</v>
      </c>
      <c r="D41" t="s">
        <v>33</v>
      </c>
    </row>
    <row r="42" spans="1:4" x14ac:dyDescent="0.35">
      <c r="A42" s="2">
        <f t="shared" ref="A42:A47" si="3">DATE(1987,11,30)</f>
        <v>32111</v>
      </c>
      <c r="B42" s="1" t="b">
        <f>TRUE</f>
        <v>1</v>
      </c>
      <c r="C42" s="8" t="e">
        <f t="shared" si="0"/>
        <v>#VALUE!</v>
      </c>
      <c r="D42" t="s">
        <v>32</v>
      </c>
    </row>
    <row r="43" spans="1:4" x14ac:dyDescent="0.35">
      <c r="A43" s="2">
        <f t="shared" si="3"/>
        <v>32111</v>
      </c>
      <c r="B43" s="1">
        <v>0.99999998999999995</v>
      </c>
      <c r="C43" s="8">
        <f t="shared" si="0"/>
        <v>32111</v>
      </c>
      <c r="D43" t="s">
        <v>29</v>
      </c>
    </row>
    <row r="44" spans="1:4" x14ac:dyDescent="0.35">
      <c r="A44" s="2">
        <f t="shared" si="3"/>
        <v>32111</v>
      </c>
      <c r="B44" s="1">
        <v>-0.99999998999999995</v>
      </c>
      <c r="C44" s="8">
        <f t="shared" si="0"/>
        <v>32111</v>
      </c>
      <c r="D44" t="s">
        <v>28</v>
      </c>
    </row>
    <row r="45" spans="1:4" x14ac:dyDescent="0.35">
      <c r="A45" s="2">
        <f t="shared" si="3"/>
        <v>32111</v>
      </c>
      <c r="B45" s="1">
        <v>1200</v>
      </c>
      <c r="C45" s="8">
        <f t="shared" si="0"/>
        <v>68636</v>
      </c>
      <c r="D45" t="s">
        <v>31</v>
      </c>
    </row>
    <row r="46" spans="1:4" x14ac:dyDescent="0.35">
      <c r="A46" s="2">
        <f t="shared" si="3"/>
        <v>32111</v>
      </c>
      <c r="B46" s="1">
        <v>100000</v>
      </c>
      <c r="C46" s="8" t="e">
        <f t="shared" si="0"/>
        <v>#NUM!</v>
      </c>
      <c r="D46" t="s">
        <v>30</v>
      </c>
    </row>
    <row r="47" spans="1:4" x14ac:dyDescent="0.35">
      <c r="A47" s="2">
        <f t="shared" si="3"/>
        <v>32111</v>
      </c>
      <c r="B47" s="1"/>
      <c r="C47" s="8">
        <f t="shared" si="0"/>
        <v>32111</v>
      </c>
      <c r="D47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cp:keywords/>
  <dc:description/>
  <cp:lastModifiedBy>Elsa Minsut</cp:lastModifiedBy>
  <cp:revision/>
  <dcterms:created xsi:type="dcterms:W3CDTF">2021-09-27T12:30:51Z</dcterms:created>
  <dcterms:modified xsi:type="dcterms:W3CDTF">2026-08-26T08:57:00Z</dcterms:modified>
  <cp:category/>
  <cp:contentStatus/>
</cp:coreProperties>
</file>