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tamshapira/Library/Containers/com.microsoft.Excel/Data/ironcalc-fixture/"/>
    </mc:Choice>
  </mc:AlternateContent>
  <xr:revisionPtr revIDLastSave="0" documentId="8_{FE999C2F-9D47-654B-AD31-2551225CE066}" xr6:coauthVersionLast="47" xr6:coauthVersionMax="47" xr10:uidLastSave="{00000000-0000-0000-0000-000000000000}"/>
  <bookViews>
    <workbookView xWindow="3260" yWindow="2260" windowWidth="28040" windowHeight="17180" xr2:uid="{A715DFB3-81D6-A44E-9451-71442B773B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B13" i="1"/>
  <c r="B12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A5" i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<sst xmlns="http://schemas.openxmlformats.org/spreadsheetml/2006/main" count="23" uniqueCount="22">
  <si>
    <t>INPUT</t>
  </si>
  <si>
    <t>YEAR</t>
  </si>
  <si>
    <t>MONTH</t>
  </si>
  <si>
    <t>DAY</t>
  </si>
  <si>
    <t>WEEKDAY</t>
  </si>
  <si>
    <t>WEEKDAY type 2</t>
  </si>
  <si>
    <t>WEEKDAY type 3</t>
  </si>
  <si>
    <t>NOTES</t>
  </si>
  <si>
    <t>Serial 0 is 0 January 1900 in Excel, a Saturday (#1569)</t>
  </si>
  <si>
    <t>An empty cell is treated as 0</t>
  </si>
  <si>
    <t>The time of day is discarded</t>
  </si>
  <si>
    <t>FALSE is serial 0</t>
  </si>
  <si>
    <t>1 March 1900: IronCalc and Excel agree from here on</t>
  </si>
  <si>
    <t>Negative serials are invalid</t>
  </si>
  <si>
    <t>FORMULA</t>
  </si>
  <si>
    <t>RESULT</t>
  </si>
  <si>
    <t>=DATE(YEAR(A3)+5,9,1)</t>
  </si>
  <si>
    <t>A date built from an empty date input</t>
  </si>
  <si>
    <t>=DATE(YEAR(A3)+12,MONTH(A3),DAY(A3))</t>
  </si>
  <si>
    <t>Day 0 of January 1912 is 31 December 1911</t>
  </si>
  <si>
    <t>=SUM(DAY({0,61}))</t>
  </si>
  <si>
    <t>Array arguments are evaluated element-wise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</si>
</sst>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4330-4002-374B-9C20-A8BD5B625A13}">
  <dimension ref="A1:H1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f>YEAR(A2)</f>
        <v>1900</v>
      </c>
      <c r="C2">
        <f>MONTH(A2)</f>
        <v>1</v>
      </c>
      <c r="D2">
        <f>DAY(A2)</f>
        <v>0</v>
      </c>
      <c r="E2">
        <f>WEEKDAY(A2)</f>
        <v>7</v>
      </c>
      <c r="F2">
        <f>WEEKDAY(A2,2)</f>
        <v>6</v>
      </c>
      <c r="G2">
        <f>WEEKDAY(A2,3)</f>
        <v>5</v>
      </c>
      <c r="H2" t="s">
        <v>8</v>
      </c>
    </row>
    <row r="3" spans="1:8" x14ac:dyDescent="0.2">
      <c r="B3">
        <f>YEAR(A3)</f>
        <v>1900</v>
      </c>
      <c r="C3">
        <f>MONTH(A3)</f>
        <v>1</v>
      </c>
      <c r="D3">
        <f>DAY(A3)</f>
        <v>0</v>
      </c>
      <c r="E3">
        <f>WEEKDAY(A3)</f>
        <v>7</v>
      </c>
      <c r="F3">
        <f>WEEKDAY(A3,2)</f>
        <v>6</v>
      </c>
      <c r="G3">
        <f>WEEKDAY(A3,3)</f>
        <v>5</v>
      </c>
      <c r="H3" t="s">
        <v>9</v>
      </c>
    </row>
    <row r="4" spans="1:8" x14ac:dyDescent="0.2">
      <c r="A4">
        <v>0.75</v>
      </c>
      <c r="B4">
        <f>YEAR(A4)</f>
        <v>1900</v>
      </c>
      <c r="C4">
        <f>MONTH(A4)</f>
        <v>1</v>
      </c>
      <c r="D4">
        <f>DAY(A4)</f>
        <v>0</v>
      </c>
      <c r="E4">
        <f>WEEKDAY(A4)</f>
        <v>7</v>
      </c>
      <c r="F4">
        <f>WEEKDAY(A4,2)</f>
        <v>6</v>
      </c>
      <c r="G4">
        <f>WEEKDAY(A4,3)</f>
        <v>5</v>
      </c>
      <c r="H4" t="s">
        <v>10</v>
      </c>
    </row>
    <row r="5" spans="1:8" x14ac:dyDescent="0.2">
      <c r="A5" t="b">
        <f>FALSE</f>
        <v>0</v>
      </c>
      <c r="B5">
        <f>YEAR(A5)</f>
        <v>1900</v>
      </c>
      <c r="C5">
        <f>MONTH(A5)</f>
        <v>1</v>
      </c>
      <c r="D5">
        <f>DAY(A5)</f>
        <v>0</v>
      </c>
      <c r="E5">
        <f>WEEKDAY(A5)</f>
        <v>7</v>
      </c>
      <c r="F5">
        <f>WEEKDAY(A5,2)</f>
        <v>6</v>
      </c>
      <c r="G5">
        <f>WEEKDAY(A5,3)</f>
        <v>5</v>
      </c>
      <c r="H5" t="s">
        <v>11</v>
      </c>
    </row>
    <row r="6" spans="1:8" x14ac:dyDescent="0.2">
      <c r="A6">
        <v>61</v>
      </c>
      <c r="B6">
        <f>YEAR(A6)</f>
        <v>1900</v>
      </c>
      <c r="C6">
        <f>MONTH(A6)</f>
        <v>3</v>
      </c>
      <c r="D6">
        <f>DAY(A6)</f>
        <v>1</v>
      </c>
      <c r="E6">
        <f>WEEKDAY(A6)</f>
        <v>5</v>
      </c>
      <c r="F6">
        <f>WEEKDAY(A6,2)</f>
        <v>4</v>
      </c>
      <c r="G6">
        <f>WEEKDAY(A6,3)</f>
        <v>3</v>
      </c>
      <c r="H6" t="s">
        <v>12</v>
      </c>
    </row>
    <row r="7" spans="1:8" x14ac:dyDescent="0.2">
      <c r="A7">
        <v>45658</v>
      </c>
      <c r="B7">
        <f>YEAR(A7)</f>
        <v>2025</v>
      </c>
      <c r="C7">
        <f>MONTH(A7)</f>
        <v>1</v>
      </c>
      <c r="D7">
        <f>DAY(A7)</f>
        <v>1</v>
      </c>
      <c r="E7">
        <f>WEEKDAY(A7)</f>
        <v>4</v>
      </c>
      <c r="F7">
        <f>WEEKDAY(A7,2)</f>
        <v>3</v>
      </c>
      <c r="G7">
        <f>WEEKDAY(A7,3)</f>
        <v>2</v>
      </c>
      <c r="H7" s="1">
        <v>45658</v>
      </c>
    </row>
    <row r="8" spans="1:8" x14ac:dyDescent="0.2">
      <c r="A8">
        <v>-1</v>
      </c>
      <c r="B8" t="e">
        <f>YEAR(A8)</f>
        <v>#NUM!</v>
      </c>
      <c r="C8" t="e">
        <f>MONTH(A8)</f>
        <v>#NUM!</v>
      </c>
      <c r="D8" t="e">
        <f>DAY(A8)</f>
        <v>#NUM!</v>
      </c>
      <c r="E8" t="e">
        <f>WEEKDAY(A8)</f>
        <v>#NUM!</v>
      </c>
      <c r="F8" t="e">
        <f>WEEKDAY(A8,2)</f>
        <v>#NUM!</v>
      </c>
      <c r="G8" t="e">
        <f>WEEKDAY(A8,3)</f>
        <v>#NUM!</v>
      </c>
      <c r="H8" t="s">
        <v>13</v>
      </c>
    </row>
    <row r="11" spans="1:8" x14ac:dyDescent="0.2">
      <c r="A11" t="s">
        <v>14</v>
      </c>
      <c r="B11" t="s">
        <v>15</v>
      </c>
      <c r="H11" t="s">
        <v>7</v>
      </c>
    </row>
    <row r="12" spans="1:8" x14ac:dyDescent="0.2">
      <c r="A12" s="2" t="s">
        <v>16</v>
      </c>
      <c r="B12" s="3">
        <f>DATE(YEAR(A3)+5,9,1)</f>
        <v>2071</v>
      </c>
      <c r="H12" t="s">
        <v>17</v>
      </c>
    </row>
    <row r="13" spans="1:8" x14ac:dyDescent="0.2">
      <c r="A13" s="2" t="s">
        <v>18</v>
      </c>
      <c r="B13" s="3">
        <f>DATE(YEAR(A3)+12,MONTH(A3),DAY(A3))</f>
        <v>4383</v>
      </c>
      <c r="H13" t="s">
        <v>19</v>
      </c>
    </row>
    <row r="14" spans="1:8" x14ac:dyDescent="0.2">
      <c r="A14" s="2" t="s">
        <v>20</v>
      </c>
      <c r="B14">
        <f>SUM(DAY({0,61}))</f>
        <v>1</v>
      </c>
      <c r="H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 Shapira</dc:creator>
  <cp:lastModifiedBy>Yotam Shapira</cp:lastModifiedBy>
  <dcterms:created xsi:type="dcterms:W3CDTF">2026-10-21T10:51:23Z</dcterms:created>
  <dcterms:modified xsi:type="dcterms:W3CDTF">2026-10-21T10:51:25Z</dcterms:modified>
</cp:coreProperties>
</file>