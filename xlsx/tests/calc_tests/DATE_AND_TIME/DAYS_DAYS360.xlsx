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AC1D8147-1BE7-4D18-B3D6-C90419CBC8D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A7" i="3"/>
  <c r="D69" i="3"/>
  <c r="C69" i="3"/>
  <c r="A68" i="3"/>
  <c r="B67" i="3"/>
  <c r="A65" i="3"/>
  <c r="C66" i="3"/>
  <c r="D66" i="3"/>
  <c r="B64" i="3"/>
  <c r="B82" i="3"/>
  <c r="A82" i="3"/>
  <c r="B81" i="3"/>
  <c r="A81" i="3"/>
  <c r="B80" i="3"/>
  <c r="A80" i="3"/>
  <c r="B79" i="3"/>
  <c r="A79" i="3"/>
  <c r="B78" i="3"/>
  <c r="A78" i="3"/>
  <c r="B77" i="3"/>
  <c r="A77" i="3"/>
  <c r="B63" i="3"/>
  <c r="A63" i="3"/>
  <c r="B62" i="3"/>
  <c r="A62" i="3"/>
  <c r="B61" i="3"/>
  <c r="A61" i="3"/>
  <c r="B60" i="3"/>
  <c r="H24" i="3"/>
  <c r="H23" i="3"/>
  <c r="H22" i="3"/>
  <c r="H21" i="3"/>
  <c r="H20" i="3"/>
  <c r="H19" i="3"/>
  <c r="H18" i="3"/>
  <c r="H17" i="3"/>
  <c r="H16" i="3"/>
  <c r="H15" i="3"/>
  <c r="D70" i="3"/>
  <c r="D71" i="3"/>
  <c r="D72" i="3"/>
  <c r="D73" i="3"/>
  <c r="D74" i="3"/>
  <c r="D75" i="3"/>
  <c r="C70" i="3"/>
  <c r="C71" i="3"/>
  <c r="C72" i="3"/>
  <c r="C73" i="3"/>
  <c r="C74" i="3"/>
  <c r="C75" i="3"/>
  <c r="B59" i="3"/>
  <c r="A59" i="3"/>
  <c r="C59" i="3" s="1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D7" i="3"/>
  <c r="C7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B23" i="3"/>
  <c r="B21" i="3"/>
  <c r="A21" i="3"/>
  <c r="B20" i="3"/>
  <c r="A20" i="3"/>
  <c r="B19" i="3"/>
  <c r="A19" i="3"/>
  <c r="B18" i="3"/>
  <c r="A18" i="3"/>
  <c r="C18" i="3" s="1"/>
  <c r="B17" i="3"/>
  <c r="A17" i="3"/>
  <c r="B16" i="3"/>
  <c r="A16" i="3"/>
  <c r="B15" i="3"/>
  <c r="A15" i="3"/>
  <c r="C15" i="3" s="1"/>
  <c r="B14" i="3"/>
  <c r="A14" i="3"/>
  <c r="B13" i="3"/>
  <c r="A13" i="3"/>
  <c r="B12" i="3"/>
  <c r="A12" i="3"/>
  <c r="B11" i="3"/>
  <c r="A11" i="3"/>
  <c r="B10" i="3"/>
  <c r="A10" i="3"/>
  <c r="C10" i="3" s="1"/>
  <c r="B9" i="3"/>
  <c r="A9" i="3"/>
  <c r="B8" i="3"/>
  <c r="A8" i="3"/>
  <c r="C8" i="3" s="1"/>
  <c r="B6" i="3"/>
  <c r="A6" i="3"/>
  <c r="B5" i="3"/>
  <c r="A5" i="3"/>
  <c r="B4" i="3"/>
  <c r="A4" i="3"/>
  <c r="B3" i="3"/>
  <c r="A3" i="3"/>
  <c r="B2" i="3"/>
  <c r="A2" i="3"/>
  <c r="B33" i="3"/>
  <c r="A35" i="3"/>
  <c r="A34" i="3"/>
  <c r="A33" i="3"/>
  <c r="C25" i="3"/>
  <c r="D25" i="3"/>
  <c r="D43" i="3"/>
  <c r="C43" i="3"/>
  <c r="D42" i="3"/>
  <c r="C42" i="3"/>
  <c r="C27" i="3"/>
  <c r="D27" i="3"/>
  <c r="C56" i="3" l="1"/>
  <c r="C57" i="3"/>
  <c r="C4" i="3"/>
  <c r="D62" i="3"/>
  <c r="D68" i="3"/>
  <c r="C68" i="3"/>
  <c r="D67" i="3"/>
  <c r="C67" i="3"/>
  <c r="C58" i="3"/>
  <c r="C65" i="3"/>
  <c r="D65" i="3"/>
  <c r="C64" i="3"/>
  <c r="D64" i="3"/>
  <c r="C63" i="3"/>
  <c r="C21" i="3"/>
  <c r="C16" i="3"/>
  <c r="D56" i="3"/>
  <c r="D57" i="3"/>
  <c r="D58" i="3"/>
  <c r="D10" i="3"/>
  <c r="D4" i="3"/>
  <c r="C17" i="3"/>
  <c r="D8" i="3"/>
  <c r="D20" i="3"/>
  <c r="C19" i="3"/>
  <c r="D9" i="3"/>
  <c r="C9" i="3"/>
  <c r="D63" i="3"/>
  <c r="D59" i="3"/>
  <c r="D21" i="3"/>
  <c r="C20" i="3"/>
  <c r="D19" i="3"/>
  <c r="D18" i="3"/>
  <c r="D17" i="3"/>
  <c r="D16" i="3"/>
  <c r="D15" i="3"/>
  <c r="C14" i="3"/>
  <c r="D47" i="3"/>
  <c r="C47" i="3"/>
  <c r="D48" i="3"/>
  <c r="C48" i="3"/>
  <c r="D49" i="3"/>
  <c r="C49" i="3"/>
  <c r="D50" i="3"/>
  <c r="C50" i="3"/>
  <c r="D51" i="3"/>
  <c r="C51" i="3"/>
  <c r="D52" i="3"/>
  <c r="C52" i="3"/>
  <c r="D53" i="3"/>
  <c r="C53" i="3"/>
  <c r="D54" i="3"/>
  <c r="C54" i="3"/>
  <c r="D55" i="3"/>
  <c r="C55" i="3"/>
  <c r="C62" i="3"/>
  <c r="D60" i="3"/>
  <c r="C60" i="3"/>
  <c r="D46" i="3"/>
  <c r="C46" i="3"/>
  <c r="D82" i="3"/>
  <c r="C82" i="3"/>
  <c r="D81" i="3"/>
  <c r="C81" i="3"/>
  <c r="D80" i="3"/>
  <c r="C80" i="3"/>
  <c r="D79" i="3"/>
  <c r="C79" i="3"/>
  <c r="D78" i="3"/>
  <c r="C78" i="3"/>
  <c r="D77" i="3"/>
  <c r="C77" i="3"/>
  <c r="D61" i="3"/>
  <c r="C61" i="3"/>
  <c r="D14" i="3"/>
  <c r="D2" i="3"/>
  <c r="D3" i="3"/>
  <c r="D5" i="3"/>
  <c r="D6" i="3"/>
  <c r="D11" i="3"/>
  <c r="D12" i="3"/>
  <c r="D13" i="3"/>
  <c r="D22" i="3"/>
  <c r="D23" i="3"/>
  <c r="D24" i="3"/>
  <c r="D26" i="3"/>
  <c r="D28" i="3"/>
  <c r="D29" i="3"/>
  <c r="D33" i="3"/>
  <c r="D36" i="3"/>
  <c r="D37" i="3"/>
  <c r="D38" i="3"/>
  <c r="D39" i="3"/>
  <c r="D40" i="3"/>
  <c r="D41" i="3"/>
  <c r="C23" i="3"/>
  <c r="C13" i="3"/>
  <c r="C12" i="3"/>
  <c r="C11" i="3"/>
  <c r="C37" i="3"/>
  <c r="C38" i="3"/>
  <c r="C39" i="3"/>
  <c r="C40" i="3"/>
  <c r="C41" i="3"/>
  <c r="C22" i="3"/>
  <c r="C26" i="3"/>
  <c r="C28" i="3"/>
  <c r="C29" i="3"/>
  <c r="A30" i="3"/>
  <c r="B30" i="3"/>
  <c r="B32" i="3"/>
  <c r="D32" i="3" s="1"/>
  <c r="C5" i="3"/>
  <c r="C6" i="3"/>
  <c r="C24" i="3"/>
  <c r="C33" i="3"/>
  <c r="C36" i="3"/>
  <c r="C3" i="3"/>
  <c r="C2" i="3"/>
  <c r="A44" i="3"/>
  <c r="D44" i="3" s="1"/>
  <c r="A31" i="3"/>
  <c r="D31" i="3" s="1"/>
  <c r="D30" i="3" l="1"/>
  <c r="C31" i="3"/>
  <c r="C44" i="3"/>
  <c r="C30" i="3"/>
</calcChain>
</file>

<file path=xl/sharedStrings.xml><?xml version="1.0" encoding="utf-8"?>
<sst xmlns="http://schemas.openxmlformats.org/spreadsheetml/2006/main" count="134" uniqueCount="119">
  <si>
    <t>End date</t>
  </si>
  <si>
    <t>Start date</t>
  </si>
  <si>
    <t>DAYS</t>
  </si>
  <si>
    <t>DAYS360</t>
  </si>
  <si>
    <t>NOTES</t>
  </si>
  <si>
    <t>METHOD</t>
  </si>
  <si>
    <t>Small range</t>
  </si>
  <si>
    <t>Large range</t>
  </si>
  <si>
    <t>Argument out of bounds</t>
  </si>
  <si>
    <t>Negative range</t>
  </si>
  <si>
    <t>abc</t>
  </si>
  <si>
    <t>Argument is string</t>
  </si>
  <si>
    <t>DATE function</t>
  </si>
  <si>
    <t>Argument is decimal number</t>
  </si>
  <si>
    <t>Same start &amp; end date</t>
  </si>
  <si>
    <t>Argument is negative number</t>
  </si>
  <si>
    <t>Leap year - Feb 29th</t>
  </si>
  <si>
    <t>Leap year - days in Feb</t>
  </si>
  <si>
    <t>Integer number</t>
  </si>
  <si>
    <t>Integer/date type mix</t>
  </si>
  <si>
    <t>Decimal number</t>
  </si>
  <si>
    <t>Empty cells are treated as zero</t>
  </si>
  <si>
    <t>Error propagation</t>
  </si>
  <si>
    <t>def</t>
  </si>
  <si>
    <t>Number is boolean</t>
  </si>
  <si>
    <t>Implicit intersection in first argument</t>
  </si>
  <si>
    <t>Implicit intersection in second argument</t>
  </si>
  <si>
    <t>Result from a formula</t>
  </si>
  <si>
    <t>Year range</t>
  </si>
  <si>
    <t>Year range (leap year)</t>
  </si>
  <si>
    <t>Friday to Monday</t>
  </si>
  <si>
    <t>Saturday to Monday</t>
  </si>
  <si>
    <t>Sunday to Monday</t>
  </si>
  <si>
    <t>"07/01/2026"</t>
  </si>
  <si>
    <t>" 07/01/2026 "</t>
  </si>
  <si>
    <t>String</t>
  </si>
  <si>
    <t>Zero</t>
  </si>
  <si>
    <t>Non-numerical string</t>
  </si>
  <si>
    <t>Negative number</t>
  </si>
  <si>
    <t>End of month to end of month</t>
  </si>
  <si>
    <t>End of month (31 days)</t>
  </si>
  <si>
    <t>Non-leap year - Feb 29th</t>
  </si>
  <si>
    <t>Days in Feb</t>
  </si>
  <si>
    <t>End of Feb to end of Feb (leap year)</t>
  </si>
  <si>
    <t>Date with time portion</t>
  </si>
  <si>
    <t>Date with time portion - same day</t>
  </si>
  <si>
    <t>Date with time portion - minutes into next day</t>
  </si>
  <si>
    <t>"TRUE"</t>
  </si>
  <si>
    <t>Text in quotes</t>
  </si>
  <si>
    <t>TRUE</t>
  </si>
  <si>
    <t>Text in single quotes</t>
  </si>
  <si>
    <t>" TRUE"</t>
  </si>
  <si>
    <t>Text in quotes with preceding space</t>
  </si>
  <si>
    <t>EOM: start on 31st into Feb (non-leap)</t>
  </si>
  <si>
    <t>EOM: start on 31st into Feb 29 (leap)</t>
  </si>
  <si>
    <t>EOM: Feb 28 to Mar 31 (non-leap)</t>
  </si>
  <si>
    <t>EOM: Feb 29 to Mar 31 (leap)</t>
  </si>
  <si>
    <t>EOM: 31st to 31st, two months apart</t>
  </si>
  <si>
    <t>EOM: 31st to 31st across a 30-day month</t>
  </si>
  <si>
    <t>EOM: start on 30th, end on 30th</t>
  </si>
  <si>
    <t>EOM: start 31st vs 30th, same end date</t>
  </si>
  <si>
    <t>EOM: 30th to 31st within one month</t>
  </si>
  <si>
    <t>EOM: full year ending on the 31st</t>
  </si>
  <si>
    <t>EOM: 31st crossing the year boundary</t>
  </si>
  <si>
    <t>EOM: same date, both end of a 30-day month</t>
  </si>
  <si>
    <t>EOM: same date, both end of Feb</t>
  </si>
  <si>
    <t>Serial boundary: max supported date</t>
  </si>
  <si>
    <t>Serial boundary: one past max date</t>
  </si>
  <si>
    <t>Fractional serials within the same day</t>
  </si>
  <si>
    <t>Fractional serials straddling midnight</t>
  </si>
  <si>
    <t>Negative fractional serials</t>
  </si>
  <si>
    <t>2026-07-01</t>
  </si>
  <si>
    <t>July 1, 2026</t>
  </si>
  <si>
    <t>1/1/29</t>
  </si>
  <si>
    <t>1/1/30</t>
  </si>
  <si>
    <t>45000</t>
  </si>
  <si>
    <t>2025-02-29</t>
  </si>
  <si>
    <t>2026-06-01</t>
  </si>
  <si>
    <t>June 1, 2026</t>
  </si>
  <si>
    <t>1/1/28</t>
  </si>
  <si>
    <t>44999</t>
  </si>
  <si>
    <t>2025-02-01</t>
  </si>
  <si>
    <t>String: ISO 8601 format</t>
  </si>
  <si>
    <t>String: long month-name format</t>
  </si>
  <si>
    <t>String: 2-digit year below the 2029 pivot</t>
  </si>
  <si>
    <t>String: 2-digit year across the 2029/2030 pivot</t>
  </si>
  <si>
    <t>String: numeric text serial</t>
  </si>
  <si>
    <t>String: Feb 29 in a non-leap year</t>
  </si>
  <si>
    <t>Precision: near-full day inside one calendar day</t>
  </si>
  <si>
    <t>Precision: minimal span across midnight</t>
  </si>
  <si>
    <t>Precision: exact half-day offsets, one day apart</t>
  </si>
  <si>
    <t>Precision: just over one day, fractional both sides</t>
  </si>
  <si>
    <t>Precision: reversed fractional arguments</t>
  </si>
  <si>
    <t>Precision: end is whole day, start is late same day</t>
  </si>
  <si>
    <t>Argument is number 1 (equivalent to TRUE)</t>
  </si>
  <si>
    <t>Argument is negative 1</t>
  </si>
  <si>
    <t>Argument is small negative decimal</t>
  </si>
  <si>
    <t>Argument is near-zero decimal</t>
  </si>
  <si>
    <t>Argument is very large number</t>
  </si>
  <si>
    <t>false</t>
  </si>
  <si>
    <t>Argument is lowercase text FALSE</t>
  </si>
  <si>
    <t>1</t>
  </si>
  <si>
    <t>Argument is numeric text 1</t>
  </si>
  <si>
    <t>0</t>
  </si>
  <si>
    <t>Argument is numeric text 0</t>
  </si>
  <si>
    <t>Argument is empty text string</t>
  </si>
  <si>
    <t xml:space="preserve"> </t>
  </si>
  <si>
    <t>Argument is a single space</t>
  </si>
  <si>
    <t>Argument is boolean TRUE (European method)</t>
  </si>
  <si>
    <t>Argument is boolean FALSE (US/NASD method)</t>
  </si>
  <si>
    <t>Argument is number 0</t>
  </si>
  <si>
    <t>Argument is number 1</t>
  </si>
  <si>
    <t>Argument omitted (empty cell)</t>
  </si>
  <si>
    <t>Empty first argument</t>
  </si>
  <si>
    <t>Empty second argument</t>
  </si>
  <si>
    <t>All arguments empty</t>
  </si>
  <si>
    <t>Empty first argument (direct ref)</t>
  </si>
  <si>
    <t>Empty second argument (direct ref)</t>
  </si>
  <si>
    <t>All arguments empty (direct 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</si>
</sst>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0" fillId="0" borderId="0" xfId="0" quotePrefix="1"/>
    <xf numFmtId="0" fontId="2" fillId="0" borderId="0" xfId="0" applyFont="1"/>
    <xf numFmtId="0" fontId="1" fillId="2" borderId="1" xfId="1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  <xf numFmtId="0" fontId="3" fillId="0" borderId="0" xfId="0" quotePrefix="1" applyFont="1"/>
    <xf numFmtId="1" fontId="0" fillId="0" borderId="0" xfId="0" applyNumberFormat="1"/>
    <xf numFmtId="22" fontId="3" fillId="0" borderId="0" xfId="0" applyNumberFormat="1" applyFont="1"/>
    <xf numFmtId="164" fontId="0" fillId="0" borderId="0" xfId="0" applyNumberFormat="1"/>
    <xf numFmtId="14" fontId="0" fillId="0" borderId="0" xfId="0" quotePrefix="1" applyNumberFormat="1"/>
    <xf numFmtId="49" fontId="0" fillId="0" borderId="0" xfId="0" applyNumberFormat="1"/>
    <xf numFmtId="0" fontId="0" fillId="0" borderId="0" xfId="0" applyNumberForma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6A674C-B614-904F-A0CA-546DE22D6D5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19b96e0-13af-4550-9022-7fcfc58faa8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J82"/>
  <sheetViews>
    <sheetView tabSelected="1" topLeftCell="A3" workbookViewId="0">
      <selection activeCell="B87" sqref="B87"/>
    </sheetView>
  </sheetViews>
  <sheetFormatPr defaultColWidth="8.81640625" defaultRowHeight="14.5" x14ac:dyDescent="0.35"/>
  <cols>
    <col min="1" max="2" width="17.08984375" customWidth="1"/>
    <col min="3" max="4" width="15.6328125" customWidth="1"/>
    <col min="5" max="5" width="38.36328125" bestFit="1" customWidth="1"/>
    <col min="8" max="8" width="12.81640625" customWidth="1"/>
    <col min="9" max="9" width="11.36328125" customWidth="1"/>
    <col min="10" max="10" width="27.1796875" customWidth="1"/>
  </cols>
  <sheetData>
    <row r="1" spans="1:10" ht="1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5" t="s">
        <v>3</v>
      </c>
      <c r="I1" s="2" t="s">
        <v>5</v>
      </c>
      <c r="J1" s="2" t="s">
        <v>4</v>
      </c>
    </row>
    <row r="2" spans="1:10" x14ac:dyDescent="0.35">
      <c r="A2" s="4">
        <f>DATE(2025,1,10)</f>
        <v>45667</v>
      </c>
      <c r="B2" s="4">
        <f>DATE(2025,1,1)</f>
        <v>45658</v>
      </c>
      <c r="C2" s="3">
        <f t="shared" ref="C2:C31" si="0">_xlfn.DAYS(A2,B2)</f>
        <v>9</v>
      </c>
      <c r="D2" s="3">
        <f t="shared" ref="D2:D33" si="1">DAYS360(B2,A2)</f>
        <v>9</v>
      </c>
      <c r="E2" t="s">
        <v>6</v>
      </c>
      <c r="H2" s="3">
        <f>DAYS360(DATE(2025,1,1),DATE(2025,1,31),I2)</f>
        <v>29</v>
      </c>
      <c r="I2" t="b">
        <v>1</v>
      </c>
      <c r="J2" t="s">
        <v>108</v>
      </c>
    </row>
    <row r="3" spans="1:10" x14ac:dyDescent="0.35">
      <c r="A3" s="4">
        <f>DATE(2026,1,1)</f>
        <v>46023</v>
      </c>
      <c r="B3" s="4">
        <f>DATE(2025,1,1)</f>
        <v>45658</v>
      </c>
      <c r="C3" s="3">
        <f t="shared" si="0"/>
        <v>365</v>
      </c>
      <c r="D3" s="3">
        <f t="shared" si="1"/>
        <v>360</v>
      </c>
      <c r="E3" t="s">
        <v>28</v>
      </c>
      <c r="H3" s="3">
        <f t="shared" ref="H3:H14" si="2">DAYS360(DATE(2025,1,1),DATE(2025,1,31),I3)</f>
        <v>30</v>
      </c>
      <c r="I3" t="b">
        <v>0</v>
      </c>
      <c r="J3" t="s">
        <v>109</v>
      </c>
    </row>
    <row r="4" spans="1:10" x14ac:dyDescent="0.35">
      <c r="A4" s="4">
        <f>DATE(2025,1,1)</f>
        <v>45658</v>
      </c>
      <c r="B4" s="4">
        <f>DATE(2024,1,1)</f>
        <v>45292</v>
      </c>
      <c r="C4" s="3">
        <f t="shared" si="0"/>
        <v>366</v>
      </c>
      <c r="D4" s="3">
        <f t="shared" si="1"/>
        <v>360</v>
      </c>
      <c r="E4" t="s">
        <v>29</v>
      </c>
      <c r="H4" s="3">
        <f t="shared" si="2"/>
        <v>29</v>
      </c>
      <c r="I4">
        <v>18</v>
      </c>
      <c r="J4" t="s">
        <v>8</v>
      </c>
    </row>
    <row r="5" spans="1:10" x14ac:dyDescent="0.35">
      <c r="A5" s="4">
        <f>DATE(9990,5,12)</f>
        <v>2954945</v>
      </c>
      <c r="B5" s="4">
        <f>DATE(1990,5,12)</f>
        <v>33005</v>
      </c>
      <c r="C5" s="3">
        <f t="shared" si="0"/>
        <v>2921940</v>
      </c>
      <c r="D5" s="3">
        <f t="shared" si="1"/>
        <v>2880000</v>
      </c>
      <c r="E5" t="s">
        <v>7</v>
      </c>
      <c r="H5" s="3" t="e">
        <f t="shared" si="2"/>
        <v>#VALUE!</v>
      </c>
      <c r="I5" t="s">
        <v>10</v>
      </c>
      <c r="J5" t="s">
        <v>11</v>
      </c>
    </row>
    <row r="6" spans="1:10" x14ac:dyDescent="0.35">
      <c r="A6" s="4">
        <f>DATE(2025,1,1)</f>
        <v>45658</v>
      </c>
      <c r="B6" s="4">
        <f>DATE(2025,1,10)</f>
        <v>45667</v>
      </c>
      <c r="C6" s="3">
        <f t="shared" si="0"/>
        <v>-9</v>
      </c>
      <c r="D6" s="3">
        <f t="shared" si="1"/>
        <v>-9</v>
      </c>
      <c r="E6" t="s">
        <v>9</v>
      </c>
      <c r="H6" s="3">
        <f t="shared" si="2"/>
        <v>29</v>
      </c>
      <c r="I6">
        <v>-2</v>
      </c>
      <c r="J6" t="s">
        <v>15</v>
      </c>
    </row>
    <row r="7" spans="1:10" x14ac:dyDescent="0.35">
      <c r="A7" s="4">
        <f>DATE(2026,2,4)</f>
        <v>46057</v>
      </c>
      <c r="B7" s="4">
        <f>DATE(2025,10,12)</f>
        <v>45942</v>
      </c>
      <c r="C7" s="3">
        <f>_xlfn.DAYS(DATE(2026,2,4),DATE(2025,10,12))</f>
        <v>115</v>
      </c>
      <c r="D7" s="3">
        <f>DAYS360(DATE(2025,10,12),DATE(2026,2,4))</f>
        <v>112</v>
      </c>
      <c r="E7" t="s">
        <v>12</v>
      </c>
      <c r="H7" s="3">
        <f t="shared" si="2"/>
        <v>30</v>
      </c>
      <c r="I7">
        <v>0</v>
      </c>
      <c r="J7" t="s">
        <v>110</v>
      </c>
    </row>
    <row r="8" spans="1:10" x14ac:dyDescent="0.35">
      <c r="A8" s="4">
        <f>DATE(2025,12,8)</f>
        <v>45999</v>
      </c>
      <c r="B8" s="4">
        <f>DATE(2025,12,5)</f>
        <v>45996</v>
      </c>
      <c r="C8" s="3">
        <f t="shared" si="0"/>
        <v>3</v>
      </c>
      <c r="D8" s="3">
        <f t="shared" si="1"/>
        <v>3</v>
      </c>
      <c r="E8" t="s">
        <v>30</v>
      </c>
      <c r="H8" s="3">
        <f t="shared" si="2"/>
        <v>29</v>
      </c>
      <c r="I8">
        <v>1</v>
      </c>
      <c r="J8" t="s">
        <v>111</v>
      </c>
    </row>
    <row r="9" spans="1:10" x14ac:dyDescent="0.35">
      <c r="A9" s="4">
        <f>DATE(2025,12,8)</f>
        <v>45999</v>
      </c>
      <c r="B9" s="4">
        <f>DATE(2025,12,6)</f>
        <v>45997</v>
      </c>
      <c r="C9" s="3">
        <f t="shared" si="0"/>
        <v>2</v>
      </c>
      <c r="D9" s="3">
        <f t="shared" si="1"/>
        <v>2</v>
      </c>
      <c r="E9" t="s">
        <v>31</v>
      </c>
      <c r="H9" s="3">
        <f t="shared" si="2"/>
        <v>30</v>
      </c>
      <c r="J9" t="s">
        <v>112</v>
      </c>
    </row>
    <row r="10" spans="1:10" x14ac:dyDescent="0.35">
      <c r="A10" s="4">
        <f>DATE(2025,12,8)</f>
        <v>45999</v>
      </c>
      <c r="B10" s="4">
        <f>DATE(2025,12,7)</f>
        <v>45998</v>
      </c>
      <c r="C10" s="3">
        <f t="shared" si="0"/>
        <v>1</v>
      </c>
      <c r="D10" s="3">
        <f t="shared" si="1"/>
        <v>1</v>
      </c>
      <c r="E10" t="s">
        <v>32</v>
      </c>
      <c r="H10" s="3">
        <f t="shared" si="2"/>
        <v>29</v>
      </c>
      <c r="I10">
        <v>0.99990000000000001</v>
      </c>
      <c r="J10" t="s">
        <v>13</v>
      </c>
    </row>
    <row r="11" spans="1:10" x14ac:dyDescent="0.35">
      <c r="A11" s="4">
        <f>DATE(2025,12,8)</f>
        <v>45999</v>
      </c>
      <c r="B11" s="4">
        <f>DATE(2025,12,8)</f>
        <v>45999</v>
      </c>
      <c r="C11" s="3">
        <f t="shared" si="0"/>
        <v>0</v>
      </c>
      <c r="D11" s="3">
        <f t="shared" si="1"/>
        <v>0</v>
      </c>
      <c r="E11" t="s">
        <v>14</v>
      </c>
      <c r="H11" s="3">
        <f t="shared" si="2"/>
        <v>29</v>
      </c>
      <c r="I11">
        <v>1E-4</v>
      </c>
      <c r="J11" t="s">
        <v>13</v>
      </c>
    </row>
    <row r="12" spans="1:10" x14ac:dyDescent="0.35">
      <c r="A12" s="4">
        <f>DATE(2024,3,1)</f>
        <v>45352</v>
      </c>
      <c r="B12" s="4">
        <f>DATE(2024,2,28)</f>
        <v>45350</v>
      </c>
      <c r="C12" s="3">
        <f t="shared" si="0"/>
        <v>2</v>
      </c>
      <c r="D12" s="3">
        <f t="shared" si="1"/>
        <v>3</v>
      </c>
      <c r="E12" t="s">
        <v>16</v>
      </c>
      <c r="H12" s="3">
        <f t="shared" si="2"/>
        <v>29</v>
      </c>
      <c r="I12" s="1" t="s">
        <v>49</v>
      </c>
      <c r="J12" t="s">
        <v>50</v>
      </c>
    </row>
    <row r="13" spans="1:10" x14ac:dyDescent="0.35">
      <c r="A13" s="4">
        <f>DATE(2024,3,1)</f>
        <v>45352</v>
      </c>
      <c r="B13" s="4">
        <f>DATE(2024,2,1)</f>
        <v>45323</v>
      </c>
      <c r="C13" s="3">
        <f t="shared" si="0"/>
        <v>29</v>
      </c>
      <c r="D13" s="3">
        <f t="shared" si="1"/>
        <v>30</v>
      </c>
      <c r="E13" t="s">
        <v>17</v>
      </c>
      <c r="H13" s="3" t="e">
        <f t="shared" si="2"/>
        <v>#VALUE!</v>
      </c>
      <c r="I13" t="s">
        <v>47</v>
      </c>
      <c r="J13" t="s">
        <v>48</v>
      </c>
    </row>
    <row r="14" spans="1:10" x14ac:dyDescent="0.35">
      <c r="A14" s="4">
        <f>DATE(2025,2,28)</f>
        <v>45716</v>
      </c>
      <c r="B14" s="4">
        <f>DATE(2024,2,29)</f>
        <v>45351</v>
      </c>
      <c r="C14" s="3">
        <f t="shared" si="0"/>
        <v>365</v>
      </c>
      <c r="D14" s="3">
        <f t="shared" si="1"/>
        <v>358</v>
      </c>
      <c r="E14" t="s">
        <v>43</v>
      </c>
      <c r="H14" s="3" t="e">
        <f t="shared" si="2"/>
        <v>#VALUE!</v>
      </c>
      <c r="I14" t="s">
        <v>51</v>
      </c>
      <c r="J14" t="s">
        <v>52</v>
      </c>
    </row>
    <row r="15" spans="1:10" x14ac:dyDescent="0.35">
      <c r="A15" s="4">
        <f>DATE(2025,3,1)</f>
        <v>45717</v>
      </c>
      <c r="B15" s="4">
        <f>DATE(2025,2,28)</f>
        <v>45716</v>
      </c>
      <c r="C15" s="3">
        <f t="shared" si="0"/>
        <v>1</v>
      </c>
      <c r="D15" s="3">
        <f t="shared" si="1"/>
        <v>1</v>
      </c>
      <c r="E15" t="s">
        <v>41</v>
      </c>
      <c r="H15" s="3">
        <f>DAYS360(DATE(2025,1,1),DATE(2025,1,31),I15)</f>
        <v>29</v>
      </c>
      <c r="I15">
        <v>1</v>
      </c>
      <c r="J15" t="s">
        <v>94</v>
      </c>
    </row>
    <row r="16" spans="1:10" x14ac:dyDescent="0.35">
      <c r="A16" s="4">
        <f>DATE(2025,7,31)</f>
        <v>45869</v>
      </c>
      <c r="B16" s="4">
        <f>DATE(2025,6,30)</f>
        <v>45838</v>
      </c>
      <c r="C16" s="3">
        <f t="shared" si="0"/>
        <v>31</v>
      </c>
      <c r="D16" s="3">
        <f t="shared" si="1"/>
        <v>30</v>
      </c>
      <c r="E16" t="s">
        <v>39</v>
      </c>
      <c r="H16" s="3">
        <f>DAYS360(DATE(2025,1,1),DATE(2025,1,31),I16)</f>
        <v>29</v>
      </c>
      <c r="I16">
        <v>-1</v>
      </c>
      <c r="J16" t="s">
        <v>95</v>
      </c>
    </row>
    <row r="17" spans="1:10" x14ac:dyDescent="0.35">
      <c r="A17" s="4">
        <f>DATE(2025,7,31)</f>
        <v>45869</v>
      </c>
      <c r="B17" s="4">
        <f>DATE(2025,7,30)</f>
        <v>45868</v>
      </c>
      <c r="C17" s="3">
        <f t="shared" si="0"/>
        <v>1</v>
      </c>
      <c r="D17" s="3">
        <f t="shared" si="1"/>
        <v>0</v>
      </c>
      <c r="E17" t="s">
        <v>40</v>
      </c>
      <c r="H17" s="3">
        <f>DAYS360(DATE(2025,1,1),DATE(2025,1,31),I17)</f>
        <v>29</v>
      </c>
      <c r="I17">
        <v>-1E-4</v>
      </c>
      <c r="J17" t="s">
        <v>96</v>
      </c>
    </row>
    <row r="18" spans="1:10" x14ac:dyDescent="0.35">
      <c r="A18" s="4">
        <f>DATE(2024,2,28)</f>
        <v>45350</v>
      </c>
      <c r="B18" s="4">
        <f>DATE(2024,1,31)</f>
        <v>45322</v>
      </c>
      <c r="C18" s="3">
        <f t="shared" si="0"/>
        <v>28</v>
      </c>
      <c r="D18" s="3">
        <f t="shared" si="1"/>
        <v>28</v>
      </c>
      <c r="E18" t="s">
        <v>42</v>
      </c>
      <c r="H18" s="3">
        <f>DAYS360(DATE(2025,1,1),DATE(2025,1,31),I18)</f>
        <v>29</v>
      </c>
      <c r="I18">
        <v>1.0000000000000001E-15</v>
      </c>
      <c r="J18" t="s">
        <v>97</v>
      </c>
    </row>
    <row r="19" spans="1:10" x14ac:dyDescent="0.35">
      <c r="A19" s="4">
        <f>DATE(2025,1,13)</f>
        <v>45670</v>
      </c>
      <c r="B19" s="8">
        <f>DATE(2025,1,10)+TIME(16,30,0)</f>
        <v>45667.6875</v>
      </c>
      <c r="C19" s="3">
        <f t="shared" si="0"/>
        <v>3</v>
      </c>
      <c r="D19" s="3">
        <f t="shared" si="1"/>
        <v>3</v>
      </c>
      <c r="E19" t="s">
        <v>44</v>
      </c>
      <c r="H19" s="3">
        <f>DAYS360(DATE(2025,1,1),DATE(2025,1,31),I19)</f>
        <v>29</v>
      </c>
      <c r="I19">
        <v>1000000</v>
      </c>
      <c r="J19" t="s">
        <v>98</v>
      </c>
    </row>
    <row r="20" spans="1:10" x14ac:dyDescent="0.35">
      <c r="A20" s="8">
        <f>DATE(2025,1,10)+TIME(23,59,0)</f>
        <v>45667.999305555553</v>
      </c>
      <c r="B20" s="8">
        <f>DATE(2025,1,10)+TIME(0,1,0)</f>
        <v>45667.000694444447</v>
      </c>
      <c r="C20" s="3">
        <f t="shared" si="0"/>
        <v>0</v>
      </c>
      <c r="D20" s="3">
        <f t="shared" si="1"/>
        <v>0</v>
      </c>
      <c r="E20" t="s">
        <v>45</v>
      </c>
      <c r="H20" s="3">
        <f>DAYS360(DATE(2025,1,1),DATE(2025,1,31),I20)</f>
        <v>30</v>
      </c>
      <c r="I20" s="11" t="s">
        <v>99</v>
      </c>
      <c r="J20" t="s">
        <v>100</v>
      </c>
    </row>
    <row r="21" spans="1:10" x14ac:dyDescent="0.35">
      <c r="A21" s="8">
        <f>DATE(2025,1,14)+TIME(0,1,0)</f>
        <v>45671.000694444447</v>
      </c>
      <c r="B21" s="8">
        <f>DATE(2025,1,13)+TIME(23,59,0)</f>
        <v>45670.999305555553</v>
      </c>
      <c r="C21" s="3">
        <f t="shared" si="0"/>
        <v>1</v>
      </c>
      <c r="D21" s="3">
        <f t="shared" si="1"/>
        <v>1</v>
      </c>
      <c r="E21" t="s">
        <v>46</v>
      </c>
      <c r="H21" s="3" t="e">
        <f>DAYS360(DATE(2025,1,1),DATE(2025,1,31),I21)</f>
        <v>#VALUE!</v>
      </c>
      <c r="I21" s="11" t="s">
        <v>101</v>
      </c>
      <c r="J21" t="s">
        <v>102</v>
      </c>
    </row>
    <row r="22" spans="1:10" x14ac:dyDescent="0.35">
      <c r="A22">
        <v>9</v>
      </c>
      <c r="B22">
        <v>6</v>
      </c>
      <c r="C22" s="3">
        <f t="shared" si="0"/>
        <v>3</v>
      </c>
      <c r="D22" s="3">
        <f t="shared" si="1"/>
        <v>3</v>
      </c>
      <c r="E22" t="s">
        <v>18</v>
      </c>
      <c r="H22" s="3" t="e">
        <f>DAYS360(DATE(2025,1,1),DATE(2025,1,31),I22)</f>
        <v>#VALUE!</v>
      </c>
      <c r="I22" s="11" t="s">
        <v>103</v>
      </c>
      <c r="J22" t="s">
        <v>104</v>
      </c>
    </row>
    <row r="23" spans="1:10" x14ac:dyDescent="0.35">
      <c r="A23">
        <v>46000</v>
      </c>
      <c r="B23" s="4">
        <f>DATE(2025,12,1)</f>
        <v>45992</v>
      </c>
      <c r="C23" s="3">
        <f t="shared" si="0"/>
        <v>8</v>
      </c>
      <c r="D23" s="3">
        <f t="shared" si="1"/>
        <v>8</v>
      </c>
      <c r="E23" t="s">
        <v>19</v>
      </c>
      <c r="H23" s="3">
        <f>DAYS360(DATE(2025,1,1),DATE(2025,1,31),I23)</f>
        <v>30</v>
      </c>
      <c r="I23" s="11"/>
      <c r="J23" t="s">
        <v>105</v>
      </c>
    </row>
    <row r="24" spans="1:10" x14ac:dyDescent="0.35">
      <c r="A24" s="9">
        <v>46000.999999</v>
      </c>
      <c r="B24" s="9">
        <v>45992.000001</v>
      </c>
      <c r="C24" s="3">
        <f t="shared" si="0"/>
        <v>8</v>
      </c>
      <c r="D24" s="3">
        <f t="shared" si="1"/>
        <v>9</v>
      </c>
      <c r="E24" t="s">
        <v>20</v>
      </c>
      <c r="H24" s="3" t="e">
        <f>DAYS360(DATE(2025,1,1),DATE(2025,1,31),I24)</f>
        <v>#VALUE!</v>
      </c>
      <c r="I24" s="11" t="s">
        <v>106</v>
      </c>
      <c r="J24" t="s">
        <v>107</v>
      </c>
    </row>
    <row r="25" spans="1:10" x14ac:dyDescent="0.35">
      <c r="A25">
        <v>-5</v>
      </c>
      <c r="B25" s="7">
        <v>-10</v>
      </c>
      <c r="C25" s="3" t="e">
        <f t="shared" si="0"/>
        <v>#NUM!</v>
      </c>
      <c r="D25" s="3" t="e">
        <f t="shared" si="1"/>
        <v>#NUM!</v>
      </c>
      <c r="E25" t="s">
        <v>38</v>
      </c>
    </row>
    <row r="26" spans="1:10" x14ac:dyDescent="0.35">
      <c r="A26">
        <v>1</v>
      </c>
      <c r="B26">
        <v>0</v>
      </c>
      <c r="C26" s="3">
        <f t="shared" si="0"/>
        <v>1</v>
      </c>
      <c r="D26" s="3">
        <f t="shared" si="1"/>
        <v>1</v>
      </c>
      <c r="E26" t="s">
        <v>36</v>
      </c>
    </row>
    <row r="27" spans="1:10" x14ac:dyDescent="0.35">
      <c r="A27">
        <v>10</v>
      </c>
      <c r="B27">
        <v>0</v>
      </c>
      <c r="C27" s="3">
        <f t="shared" si="0"/>
        <v>10</v>
      </c>
      <c r="D27" s="3">
        <f t="shared" si="1"/>
        <v>10</v>
      </c>
      <c r="E27" t="s">
        <v>36</v>
      </c>
    </row>
    <row r="28" spans="1:10" x14ac:dyDescent="0.35">
      <c r="A28">
        <v>10</v>
      </c>
      <c r="C28" s="3">
        <f t="shared" si="0"/>
        <v>10</v>
      </c>
      <c r="D28" s="3">
        <f t="shared" si="1"/>
        <v>10</v>
      </c>
      <c r="E28" t="s">
        <v>21</v>
      </c>
    </row>
    <row r="29" spans="1:10" x14ac:dyDescent="0.35">
      <c r="B29">
        <v>10</v>
      </c>
      <c r="C29" s="3">
        <f t="shared" si="0"/>
        <v>-10</v>
      </c>
      <c r="D29" s="3">
        <f t="shared" si="1"/>
        <v>-10</v>
      </c>
      <c r="E29" t="s">
        <v>21</v>
      </c>
    </row>
    <row r="30" spans="1:10" x14ac:dyDescent="0.35">
      <c r="A30" t="e">
        <f>1/0</f>
        <v>#DIV/0!</v>
      </c>
      <c r="B30" t="e">
        <f>1/0</f>
        <v>#DIV/0!</v>
      </c>
      <c r="C30" s="3" t="e">
        <f t="shared" si="0"/>
        <v>#DIV/0!</v>
      </c>
      <c r="D30" s="3" t="e">
        <f t="shared" si="1"/>
        <v>#DIV/0!</v>
      </c>
      <c r="E30" t="s">
        <v>22</v>
      </c>
    </row>
    <row r="31" spans="1:10" x14ac:dyDescent="0.35">
      <c r="A31" t="e">
        <f>1/0</f>
        <v>#DIV/0!</v>
      </c>
      <c r="B31">
        <v>10</v>
      </c>
      <c r="C31" s="3" t="e">
        <f t="shared" si="0"/>
        <v>#DIV/0!</v>
      </c>
      <c r="D31" s="3" t="e">
        <f t="shared" si="1"/>
        <v>#DIV/0!</v>
      </c>
      <c r="E31" t="s">
        <v>22</v>
      </c>
    </row>
    <row r="32" spans="1:10" x14ac:dyDescent="0.35">
      <c r="A32">
        <v>10</v>
      </c>
      <c r="B32" t="e">
        <f>1/0</f>
        <v>#DIV/0!</v>
      </c>
      <c r="C32" s="3"/>
      <c r="D32" s="3" t="e">
        <f t="shared" si="1"/>
        <v>#DIV/0!</v>
      </c>
      <c r="E32" t="s">
        <v>22</v>
      </c>
    </row>
    <row r="33" spans="1:6" x14ac:dyDescent="0.35">
      <c r="A33" s="10">
        <f>DATE(2025,10,1)</f>
        <v>45931</v>
      </c>
      <c r="B33" s="10">
        <f>DATE(2025,1,7)</f>
        <v>45664</v>
      </c>
      <c r="C33" s="3">
        <f>_xlfn.DAYS(A33,B33)</f>
        <v>267</v>
      </c>
      <c r="D33" s="3">
        <f t="shared" si="1"/>
        <v>264</v>
      </c>
      <c r="E33" t="s">
        <v>35</v>
      </c>
    </row>
    <row r="34" spans="1:6" x14ac:dyDescent="0.35">
      <c r="A34" s="10">
        <f>DATE(2025,10,1)</f>
        <v>45931</v>
      </c>
      <c r="B34" s="6" t="s">
        <v>33</v>
      </c>
      <c r="C34" s="3"/>
      <c r="D34" s="3"/>
      <c r="E34" t="s">
        <v>35</v>
      </c>
    </row>
    <row r="35" spans="1:6" x14ac:dyDescent="0.35">
      <c r="A35" s="10">
        <f>DATE(2025,10,1)</f>
        <v>45931</v>
      </c>
      <c r="B35" s="6" t="s">
        <v>34</v>
      </c>
      <c r="C35" s="3"/>
      <c r="D35" s="3"/>
      <c r="E35" t="s">
        <v>35</v>
      </c>
    </row>
    <row r="36" spans="1:6" x14ac:dyDescent="0.35">
      <c r="A36" t="s">
        <v>10</v>
      </c>
      <c r="B36" t="s">
        <v>23</v>
      </c>
      <c r="C36" s="3" t="e">
        <f t="shared" ref="C36:C41" si="3">_xlfn.DAYS(A36,B36)</f>
        <v>#VALUE!</v>
      </c>
      <c r="D36" s="3" t="e">
        <f t="shared" ref="D36:D41" si="4">DAYS360(B36,A36)</f>
        <v>#VALUE!</v>
      </c>
      <c r="E36" t="s">
        <v>37</v>
      </c>
    </row>
    <row r="37" spans="1:6" x14ac:dyDescent="0.35">
      <c r="A37" t="b">
        <v>1</v>
      </c>
      <c r="B37" t="b">
        <v>0</v>
      </c>
      <c r="C37" s="3">
        <f t="shared" si="3"/>
        <v>1</v>
      </c>
      <c r="D37" s="3">
        <f t="shared" si="4"/>
        <v>1</v>
      </c>
      <c r="E37" t="s">
        <v>24</v>
      </c>
    </row>
    <row r="38" spans="1:6" x14ac:dyDescent="0.35">
      <c r="A38" t="b">
        <v>1</v>
      </c>
      <c r="C38" s="3">
        <f t="shared" si="3"/>
        <v>1</v>
      </c>
      <c r="D38" s="3">
        <f t="shared" si="4"/>
        <v>1</v>
      </c>
      <c r="E38" t="s">
        <v>24</v>
      </c>
    </row>
    <row r="39" spans="1:6" x14ac:dyDescent="0.35">
      <c r="A39" t="b">
        <v>0</v>
      </c>
      <c r="C39" s="3">
        <f t="shared" si="3"/>
        <v>0</v>
      </c>
      <c r="D39" s="3">
        <f t="shared" si="4"/>
        <v>0</v>
      </c>
      <c r="E39" t="s">
        <v>24</v>
      </c>
    </row>
    <row r="40" spans="1:6" x14ac:dyDescent="0.35">
      <c r="B40" t="b">
        <v>1</v>
      </c>
      <c r="C40" s="3">
        <f t="shared" si="3"/>
        <v>-1</v>
      </c>
      <c r="D40" s="3">
        <f t="shared" si="4"/>
        <v>-1</v>
      </c>
      <c r="E40" t="s">
        <v>24</v>
      </c>
      <c r="F40">
        <v>1</v>
      </c>
    </row>
    <row r="41" spans="1:6" x14ac:dyDescent="0.35">
      <c r="B41" t="b">
        <v>0</v>
      </c>
      <c r="C41" s="3">
        <f t="shared" si="3"/>
        <v>0</v>
      </c>
      <c r="D41" s="3">
        <f t="shared" si="4"/>
        <v>0</v>
      </c>
      <c r="E41" t="s">
        <v>24</v>
      </c>
      <c r="F41">
        <v>2</v>
      </c>
    </row>
    <row r="42" spans="1:6" x14ac:dyDescent="0.35">
      <c r="A42">
        <v>5</v>
      </c>
      <c r="B42">
        <v>2</v>
      </c>
      <c r="C42" s="3">
        <f>_xlfn.DAYS(F:F,B42)</f>
        <v>1</v>
      </c>
      <c r="D42" s="3">
        <f>DAYS360(F:F,A42)</f>
        <v>2</v>
      </c>
      <c r="E42" t="s">
        <v>25</v>
      </c>
      <c r="F42">
        <v>3</v>
      </c>
    </row>
    <row r="43" spans="1:6" x14ac:dyDescent="0.35">
      <c r="A43">
        <v>10</v>
      </c>
      <c r="B43">
        <v>2</v>
      </c>
      <c r="C43" s="3">
        <f>_xlfn.DAYS(A43,F:F)</f>
        <v>6</v>
      </c>
      <c r="D43" s="3">
        <f>DAYS360(B43,F:F)</f>
        <v>2</v>
      </c>
      <c r="E43" t="s">
        <v>26</v>
      </c>
      <c r="F43">
        <v>4</v>
      </c>
    </row>
    <row r="44" spans="1:6" x14ac:dyDescent="0.35">
      <c r="A44">
        <f>1.05*(0.0284+0.0046)-0.0284</f>
        <v>6.2499999999999986E-3</v>
      </c>
      <c r="B44">
        <v>1</v>
      </c>
      <c r="C44" s="3">
        <f>_xlfn.DAYS(A44,B44)</f>
        <v>-1</v>
      </c>
      <c r="D44" s="3">
        <f>DAYS360(B44,A44)</f>
        <v>-1</v>
      </c>
      <c r="E44" t="s">
        <v>27</v>
      </c>
      <c r="F44">
        <v>5</v>
      </c>
    </row>
    <row r="46" spans="1:6" x14ac:dyDescent="0.35">
      <c r="A46" s="4">
        <f>DATE(2025,2,28)</f>
        <v>45716</v>
      </c>
      <c r="B46" s="4">
        <f>DATE(2025,1,31)</f>
        <v>45688</v>
      </c>
      <c r="C46" s="3">
        <f>_xlfn.DAYS(A46,B46)</f>
        <v>28</v>
      </c>
      <c r="D46" s="3">
        <f>DAYS360(B46,A46)</f>
        <v>28</v>
      </c>
      <c r="E46" t="s">
        <v>53</v>
      </c>
    </row>
    <row r="47" spans="1:6" x14ac:dyDescent="0.35">
      <c r="A47" s="4">
        <f>DATE(2024,2,29)</f>
        <v>45351</v>
      </c>
      <c r="B47" s="4">
        <f>DATE(2024,1,31)</f>
        <v>45322</v>
      </c>
      <c r="C47" s="3">
        <f>_xlfn.DAYS(A47,B47)</f>
        <v>29</v>
      </c>
      <c r="D47" s="3">
        <f>DAYS360(B47,A47)</f>
        <v>29</v>
      </c>
      <c r="E47" t="s">
        <v>54</v>
      </c>
    </row>
    <row r="48" spans="1:6" x14ac:dyDescent="0.35">
      <c r="A48" s="4">
        <f>DATE(2025,3,31)</f>
        <v>45747</v>
      </c>
      <c r="B48" s="4">
        <f>DATE(2025,2,28)</f>
        <v>45716</v>
      </c>
      <c r="C48" s="3">
        <f>_xlfn.DAYS(A48,B48)</f>
        <v>31</v>
      </c>
      <c r="D48" s="3">
        <f>DAYS360(B48,A48)</f>
        <v>30</v>
      </c>
      <c r="E48" t="s">
        <v>55</v>
      </c>
    </row>
    <row r="49" spans="1:5" x14ac:dyDescent="0.35">
      <c r="A49" s="4">
        <f>DATE(2024,3,31)</f>
        <v>45382</v>
      </c>
      <c r="B49" s="4">
        <f>DATE(2024,2,29)</f>
        <v>45351</v>
      </c>
      <c r="C49" s="3">
        <f>_xlfn.DAYS(A49,B49)</f>
        <v>31</v>
      </c>
      <c r="D49" s="3">
        <f>DAYS360(B49,A49)</f>
        <v>30</v>
      </c>
      <c r="E49" t="s">
        <v>56</v>
      </c>
    </row>
    <row r="50" spans="1:5" x14ac:dyDescent="0.35">
      <c r="A50" s="4">
        <f>DATE(2025,3,31)</f>
        <v>45747</v>
      </c>
      <c r="B50" s="4">
        <f>DATE(2025,1,31)</f>
        <v>45688</v>
      </c>
      <c r="C50" s="3">
        <f>_xlfn.DAYS(A50,B50)</f>
        <v>59</v>
      </c>
      <c r="D50" s="3">
        <f>DAYS360(B50,A50)</f>
        <v>60</v>
      </c>
      <c r="E50" t="s">
        <v>57</v>
      </c>
    </row>
    <row r="51" spans="1:5" x14ac:dyDescent="0.35">
      <c r="A51" s="4">
        <f>DATE(2025,5,31)</f>
        <v>45808</v>
      </c>
      <c r="B51" s="4">
        <f>DATE(2025,3,31)</f>
        <v>45747</v>
      </c>
      <c r="C51" s="3">
        <f>_xlfn.DAYS(A51,B51)</f>
        <v>61</v>
      </c>
      <c r="D51" s="3">
        <f>DAYS360(B51,A51)</f>
        <v>60</v>
      </c>
      <c r="E51" t="s">
        <v>58</v>
      </c>
    </row>
    <row r="52" spans="1:5" x14ac:dyDescent="0.35">
      <c r="A52" s="4">
        <f>DATE(2025,4,30)</f>
        <v>45777</v>
      </c>
      <c r="B52" s="4">
        <f>DATE(2025,1,30)</f>
        <v>45687</v>
      </c>
      <c r="C52" s="3">
        <f>_xlfn.DAYS(A52,B52)</f>
        <v>90</v>
      </c>
      <c r="D52" s="3">
        <f>DAYS360(B52,A52)</f>
        <v>90</v>
      </c>
      <c r="E52" t="s">
        <v>59</v>
      </c>
    </row>
    <row r="53" spans="1:5" x14ac:dyDescent="0.35">
      <c r="A53" s="4">
        <f>DATE(2025,4,30)</f>
        <v>45777</v>
      </c>
      <c r="B53" s="4">
        <f>DATE(2025,1,31)</f>
        <v>45688</v>
      </c>
      <c r="C53" s="3">
        <f>_xlfn.DAYS(A53,B53)</f>
        <v>89</v>
      </c>
      <c r="D53" s="3">
        <f>DAYS360(B53,A53)</f>
        <v>90</v>
      </c>
      <c r="E53" t="s">
        <v>60</v>
      </c>
    </row>
    <row r="54" spans="1:5" x14ac:dyDescent="0.35">
      <c r="A54" s="4">
        <f>DATE(2025,1,31)</f>
        <v>45688</v>
      </c>
      <c r="B54" s="4">
        <f>DATE(2025,1,30)</f>
        <v>45687</v>
      </c>
      <c r="C54" s="3">
        <f>_xlfn.DAYS(A54,B54)</f>
        <v>1</v>
      </c>
      <c r="D54" s="3">
        <f>DAYS360(B54,A54)</f>
        <v>0</v>
      </c>
      <c r="E54" t="s">
        <v>61</v>
      </c>
    </row>
    <row r="55" spans="1:5" x14ac:dyDescent="0.35">
      <c r="A55" s="4">
        <f>DATE(2025,12,31)</f>
        <v>46022</v>
      </c>
      <c r="B55" s="4">
        <f>DATE(2025,1,1)</f>
        <v>45658</v>
      </c>
      <c r="C55" s="3">
        <f>_xlfn.DAYS(A55,B55)</f>
        <v>364</v>
      </c>
      <c r="D55" s="3">
        <f>DAYS360(B55,A55)</f>
        <v>360</v>
      </c>
      <c r="E55" t="s">
        <v>62</v>
      </c>
    </row>
    <row r="56" spans="1:5" x14ac:dyDescent="0.35">
      <c r="A56" s="4">
        <f>DATE(2026,1,1)</f>
        <v>46023</v>
      </c>
      <c r="B56" s="4">
        <f>DATE(2025,12,31)</f>
        <v>46022</v>
      </c>
      <c r="C56" s="3">
        <f>_xlfn.DAYS(A56,B56)</f>
        <v>1</v>
      </c>
      <c r="D56" s="3">
        <f>DAYS360(B56,A56)</f>
        <v>1</v>
      </c>
      <c r="E56" t="s">
        <v>63</v>
      </c>
    </row>
    <row r="57" spans="1:5" x14ac:dyDescent="0.35">
      <c r="A57" s="4">
        <f>DATE(2025,6,30)</f>
        <v>45838</v>
      </c>
      <c r="B57" s="4">
        <f>DATE(2025,6,30)</f>
        <v>45838</v>
      </c>
      <c r="C57" s="3">
        <f>_xlfn.DAYS(A57,B57)</f>
        <v>0</v>
      </c>
      <c r="D57" s="3">
        <f>DAYS360(B57,A57)</f>
        <v>0</v>
      </c>
      <c r="E57" t="s">
        <v>64</v>
      </c>
    </row>
    <row r="58" spans="1:5" x14ac:dyDescent="0.35">
      <c r="A58" s="4">
        <f>DATE(2025,2,28)</f>
        <v>45716</v>
      </c>
      <c r="B58" s="4">
        <f>DATE(2025,2,28)</f>
        <v>45716</v>
      </c>
      <c r="C58" s="3">
        <f>_xlfn.DAYS(A58,B58)</f>
        <v>0</v>
      </c>
      <c r="D58" s="3">
        <f>DAYS360(B58,A58)</f>
        <v>-2</v>
      </c>
      <c r="E58" t="s">
        <v>65</v>
      </c>
    </row>
    <row r="59" spans="1:5" x14ac:dyDescent="0.35">
      <c r="A59" s="4">
        <f>DATE(9999,12,31)</f>
        <v>2958465</v>
      </c>
      <c r="B59" s="4">
        <f>DATE(9999,12,30)</f>
        <v>2958464</v>
      </c>
      <c r="C59" s="3">
        <f>_xlfn.DAYS(A59,B59)</f>
        <v>1</v>
      </c>
      <c r="D59" s="3">
        <f>DAYS360(B59,A59)</f>
        <v>0</v>
      </c>
      <c r="E59" t="s">
        <v>66</v>
      </c>
    </row>
    <row r="60" spans="1:5" x14ac:dyDescent="0.35">
      <c r="A60" s="12">
        <v>2958466</v>
      </c>
      <c r="B60" s="4">
        <f>DATE(9999,12,31)</f>
        <v>2958465</v>
      </c>
      <c r="C60" s="3" t="e">
        <f>_xlfn.DAYS(A60,B60)</f>
        <v>#NUM!</v>
      </c>
      <c r="D60" s="3" t="e">
        <f>DAYS360(B60,A60)</f>
        <v>#NUM!</v>
      </c>
      <c r="E60" t="s">
        <v>67</v>
      </c>
    </row>
    <row r="61" spans="1:5" x14ac:dyDescent="0.35">
      <c r="A61" s="4">
        <f>DATE(2025,1,1)+0.9999</f>
        <v>45658.999900000003</v>
      </c>
      <c r="B61" s="4">
        <f>DATE(2025,1,1)+0.0001</f>
        <v>45658.000099999997</v>
      </c>
      <c r="C61" s="3">
        <f>_xlfn.DAYS(A61,B61)</f>
        <v>0</v>
      </c>
      <c r="D61" s="3">
        <f>DAYS360(B61,A61)</f>
        <v>0</v>
      </c>
      <c r="E61" t="s">
        <v>68</v>
      </c>
    </row>
    <row r="62" spans="1:5" x14ac:dyDescent="0.35">
      <c r="A62" s="4">
        <f>DATE(2025,1,2)+0.4</f>
        <v>45659.4</v>
      </c>
      <c r="B62" s="4">
        <f>DATE(2025,1,1)+0.6</f>
        <v>45658.6</v>
      </c>
      <c r="C62" s="3">
        <f>_xlfn.DAYS(A62,B62)</f>
        <v>1</v>
      </c>
      <c r="D62" s="3">
        <f>DAYS360(B62,A62)</f>
        <v>1</v>
      </c>
      <c r="E62" t="s">
        <v>69</v>
      </c>
    </row>
    <row r="63" spans="1:5" x14ac:dyDescent="0.35">
      <c r="A63" s="12">
        <f>-(DATE(2025,1,1)+0.5)</f>
        <v>-45658.5</v>
      </c>
      <c r="B63" s="12">
        <f>-(DATE(2025,1,2)+0.5)</f>
        <v>-45659.5</v>
      </c>
      <c r="C63" s="3" t="e">
        <f>_xlfn.DAYS(A63,B63)</f>
        <v>#NUM!</v>
      </c>
      <c r="D63" s="3" t="e">
        <f>DAYS360(B63,A63)</f>
        <v>#NUM!</v>
      </c>
      <c r="E63" t="s">
        <v>70</v>
      </c>
    </row>
    <row r="64" spans="1:5" x14ac:dyDescent="0.35">
      <c r="A64" s="4"/>
      <c r="B64" s="4">
        <f>DATE(2025,1,1)</f>
        <v>45658</v>
      </c>
      <c r="C64" s="3">
        <f t="shared" ref="C64:C66" si="5">_xlfn.DAYS(A64,B64)</f>
        <v>-45658</v>
      </c>
      <c r="D64" s="3">
        <f t="shared" ref="D64:D66" si="6">DAYS360(B64,A64)</f>
        <v>-45001</v>
      </c>
      <c r="E64" t="s">
        <v>113</v>
      </c>
    </row>
    <row r="65" spans="1:5" x14ac:dyDescent="0.35">
      <c r="A65" s="4">
        <f t="shared" ref="A65:A68" si="7">DATE(2025,1,10)</f>
        <v>45667</v>
      </c>
      <c r="B65" s="4"/>
      <c r="C65" s="3">
        <f t="shared" si="5"/>
        <v>45667</v>
      </c>
      <c r="D65" s="3">
        <f t="shared" si="6"/>
        <v>45010</v>
      </c>
      <c r="E65" t="s">
        <v>114</v>
      </c>
    </row>
    <row r="66" spans="1:5" x14ac:dyDescent="0.35">
      <c r="A66" s="4"/>
      <c r="B66" s="4"/>
      <c r="C66" s="3">
        <f t="shared" si="5"/>
        <v>0</v>
      </c>
      <c r="D66" s="3">
        <f t="shared" si="6"/>
        <v>0</v>
      </c>
      <c r="E66" t="s">
        <v>115</v>
      </c>
    </row>
    <row r="67" spans="1:5" x14ac:dyDescent="0.35">
      <c r="A67" s="4"/>
      <c r="B67" s="4">
        <f>DATE(2025,1,1)</f>
        <v>45658</v>
      </c>
      <c r="C67" s="3">
        <f>_xlfn.DAYS(,B67)</f>
        <v>-45658</v>
      </c>
      <c r="D67" s="3">
        <f>DAYS360(,B67)</f>
        <v>45001</v>
      </c>
      <c r="E67" t="s">
        <v>116</v>
      </c>
    </row>
    <row r="68" spans="1:5" x14ac:dyDescent="0.35">
      <c r="A68" s="4">
        <f t="shared" si="7"/>
        <v>45667</v>
      </c>
      <c r="B68" s="4"/>
      <c r="C68" s="3">
        <f>_xlfn.DAYS(A68,)</f>
        <v>45667</v>
      </c>
      <c r="D68" s="3">
        <f>DAYS360(A68,)</f>
        <v>-45010</v>
      </c>
      <c r="E68" t="s">
        <v>117</v>
      </c>
    </row>
    <row r="69" spans="1:5" x14ac:dyDescent="0.35">
      <c r="A69" s="4"/>
      <c r="B69" s="4"/>
      <c r="C69" s="3">
        <f>_xlfn.DAYS(,)</f>
        <v>0</v>
      </c>
      <c r="D69" s="3">
        <f>DAYS360(,)</f>
        <v>0</v>
      </c>
      <c r="E69" t="s">
        <v>118</v>
      </c>
    </row>
    <row r="70" spans="1:5" x14ac:dyDescent="0.35">
      <c r="A70" s="11" t="s">
        <v>71</v>
      </c>
      <c r="B70" s="11" t="s">
        <v>77</v>
      </c>
      <c r="C70" s="3">
        <f>_xlfn.DAYS(A70,B70)</f>
        <v>30</v>
      </c>
      <c r="D70" s="3">
        <f>DAYS360(B70,A70)</f>
        <v>30</v>
      </c>
      <c r="E70" t="s">
        <v>82</v>
      </c>
    </row>
    <row r="71" spans="1:5" x14ac:dyDescent="0.35">
      <c r="A71" s="11" t="s">
        <v>72</v>
      </c>
      <c r="B71" s="11" t="s">
        <v>78</v>
      </c>
      <c r="C71" s="3" t="e">
        <f>_xlfn.DAYS(A71,B71)</f>
        <v>#VALUE!</v>
      </c>
      <c r="D71" s="3" t="e">
        <f>DAYS360(B71,A71)</f>
        <v>#VALUE!</v>
      </c>
      <c r="E71" t="s">
        <v>83</v>
      </c>
    </row>
    <row r="72" spans="1:5" x14ac:dyDescent="0.35">
      <c r="A72" s="11" t="s">
        <v>73</v>
      </c>
      <c r="B72" s="11" t="s">
        <v>79</v>
      </c>
      <c r="C72" s="3">
        <f>_xlfn.DAYS(A72,B72)</f>
        <v>366</v>
      </c>
      <c r="D72" s="3">
        <f>DAYS360(B72,A72)</f>
        <v>360</v>
      </c>
      <c r="E72" t="s">
        <v>84</v>
      </c>
    </row>
    <row r="73" spans="1:5" x14ac:dyDescent="0.35">
      <c r="A73" s="11" t="s">
        <v>74</v>
      </c>
      <c r="B73" s="11" t="s">
        <v>73</v>
      </c>
      <c r="C73" s="3">
        <f>_xlfn.DAYS(A73,B73)</f>
        <v>-36160</v>
      </c>
      <c r="D73" s="3">
        <f>DAYS360(B73,A73)</f>
        <v>-35640</v>
      </c>
      <c r="E73" t="s">
        <v>85</v>
      </c>
    </row>
    <row r="74" spans="1:5" x14ac:dyDescent="0.35">
      <c r="A74" s="11" t="s">
        <v>75</v>
      </c>
      <c r="B74" s="11" t="s">
        <v>80</v>
      </c>
      <c r="C74" s="3">
        <f>_xlfn.DAYS(A74,B74)</f>
        <v>1</v>
      </c>
      <c r="D74" s="3">
        <f>DAYS360(B74,A74)</f>
        <v>1</v>
      </c>
      <c r="E74" t="s">
        <v>86</v>
      </c>
    </row>
    <row r="75" spans="1:5" x14ac:dyDescent="0.35">
      <c r="A75" s="11" t="s">
        <v>76</v>
      </c>
      <c r="B75" s="11" t="s">
        <v>81</v>
      </c>
      <c r="C75" s="3" t="e">
        <f>_xlfn.DAYS(A75,B75)</f>
        <v>#VALUE!</v>
      </c>
      <c r="D75" s="3" t="e">
        <f>DAYS360(B75,A75)</f>
        <v>#VALUE!</v>
      </c>
      <c r="E75" t="s">
        <v>87</v>
      </c>
    </row>
    <row r="76" spans="1:5" x14ac:dyDescent="0.35">
      <c r="A76" s="4"/>
      <c r="B76" s="4"/>
      <c r="C76" s="3"/>
      <c r="D76" s="3"/>
    </row>
    <row r="77" spans="1:5" x14ac:dyDescent="0.35">
      <c r="A77" s="4">
        <f>DATE(2025,1,1)+0.9999999</f>
        <v>45658.999999899999</v>
      </c>
      <c r="B77" s="4">
        <f>DATE(2025,1,1)+0.0000001</f>
        <v>45658.000000100001</v>
      </c>
      <c r="C77" s="3">
        <f>_xlfn.DAYS(A77,B77)</f>
        <v>0</v>
      </c>
      <c r="D77" s="3">
        <f>DAYS360(B77,A77)</f>
        <v>1</v>
      </c>
      <c r="E77" t="s">
        <v>88</v>
      </c>
    </row>
    <row r="78" spans="1:5" x14ac:dyDescent="0.35">
      <c r="A78" s="4">
        <f>DATE(2025,1,2)+0.0000001</f>
        <v>45659.000000100001</v>
      </c>
      <c r="B78" s="4">
        <f>DATE(2025,1,1)+0.9999999</f>
        <v>45658.999999899999</v>
      </c>
      <c r="C78" s="3">
        <f>_xlfn.DAYS(A78,B78)</f>
        <v>1</v>
      </c>
      <c r="D78" s="3">
        <f>DAYS360(B78,A78)</f>
        <v>0</v>
      </c>
      <c r="E78" t="s">
        <v>89</v>
      </c>
    </row>
    <row r="79" spans="1:5" x14ac:dyDescent="0.35">
      <c r="A79" s="4">
        <f>DATE(2025,1,2)+0.5</f>
        <v>45659.5</v>
      </c>
      <c r="B79" s="4">
        <f>DATE(2025,1,1)+0.5</f>
        <v>45658.5</v>
      </c>
      <c r="C79" s="3">
        <f>_xlfn.DAYS(A79,B79)</f>
        <v>1</v>
      </c>
      <c r="D79" s="3">
        <f>DAYS360(B79,A79)</f>
        <v>1</v>
      </c>
      <c r="E79" t="s">
        <v>90</v>
      </c>
    </row>
    <row r="80" spans="1:5" x14ac:dyDescent="0.35">
      <c r="A80" s="4">
        <f>DATE(2025,1,2)+0.5</f>
        <v>45659.5</v>
      </c>
      <c r="B80" s="4">
        <f>DATE(2025,1,1)+0.4999999</f>
        <v>45658.499999899999</v>
      </c>
      <c r="C80" s="3">
        <f>_xlfn.DAYS(A80,B80)</f>
        <v>1</v>
      </c>
      <c r="D80" s="3">
        <f>DAYS360(B80,A80)</f>
        <v>1</v>
      </c>
      <c r="E80" t="s">
        <v>91</v>
      </c>
    </row>
    <row r="81" spans="1:5" x14ac:dyDescent="0.35">
      <c r="A81" s="4">
        <f>DATE(2025,1,1)+0.5</f>
        <v>45658.5</v>
      </c>
      <c r="B81" s="4">
        <f>DATE(2025,1,2)+0.5</f>
        <v>45659.5</v>
      </c>
      <c r="C81" s="3">
        <f>_xlfn.DAYS(A81,B81)</f>
        <v>-1</v>
      </c>
      <c r="D81" s="3">
        <f>DAYS360(B81,A81)</f>
        <v>-1</v>
      </c>
      <c r="E81" t="s">
        <v>92</v>
      </c>
    </row>
    <row r="82" spans="1:5" x14ac:dyDescent="0.35">
      <c r="A82" s="4">
        <f>DATE(2025,1,1)</f>
        <v>45658</v>
      </c>
      <c r="B82" s="4">
        <f>DATE(2025,1,1)+0.9999999</f>
        <v>45658.999999899999</v>
      </c>
      <c r="C82" s="3">
        <f>_xlfn.DAYS(A82,B82)</f>
        <v>0</v>
      </c>
      <c r="D82" s="3">
        <f>DAYS360(B82,A82)</f>
        <v>-1</v>
      </c>
      <c r="E82" t="s">
        <v>93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2026-08-06T15:52:28Z</dcterms:modified>
  <cp:category/>
  <cp:contentStatus/>
</cp:coreProperties>
</file>