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EE6A7096-488D-4BA2-A9CA-376C0E8E15A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.DIST T.INV T.DIST.RT" sheetId="1" r:id="rId1"/>
    <sheet name="T.DIST.2T T.INV.2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3" l="1"/>
  <c r="D44" i="3"/>
  <c r="D42" i="3"/>
  <c r="D30" i="3"/>
  <c r="C20" i="3"/>
  <c r="D20" i="3" s="1"/>
  <c r="C21" i="3"/>
  <c r="D21" i="3" s="1"/>
  <c r="C22" i="3"/>
  <c r="D22" i="3" s="1"/>
  <c r="C23" i="3"/>
  <c r="D23" i="3" s="1"/>
  <c r="C24" i="3"/>
  <c r="D24" i="3"/>
  <c r="E65" i="1"/>
  <c r="E64" i="1"/>
  <c r="E50" i="1"/>
  <c r="D28" i="1"/>
  <c r="E28" i="1" s="1"/>
  <c r="F28" i="1"/>
  <c r="D29" i="1"/>
  <c r="E29" i="1" s="1"/>
  <c r="F29" i="1"/>
  <c r="D26" i="1"/>
  <c r="E26" i="1" s="1"/>
  <c r="F26" i="1"/>
  <c r="D27" i="1"/>
  <c r="E27" i="1" s="1"/>
  <c r="F27" i="1"/>
  <c r="D20" i="1"/>
  <c r="E20" i="1" s="1"/>
  <c r="F20" i="1"/>
  <c r="D21" i="1"/>
  <c r="E21" i="1" s="1"/>
  <c r="F21" i="1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2" i="3"/>
  <c r="D63" i="3"/>
  <c r="D64" i="3"/>
  <c r="D65" i="3"/>
  <c r="D66" i="3"/>
  <c r="D67" i="3"/>
  <c r="D70" i="3"/>
  <c r="D71" i="3"/>
  <c r="D72" i="3"/>
  <c r="D73" i="3"/>
  <c r="D74" i="3"/>
  <c r="E54" i="1"/>
  <c r="E55" i="1"/>
  <c r="E56" i="1"/>
  <c r="E57" i="1"/>
  <c r="E58" i="1"/>
  <c r="E59" i="1"/>
  <c r="E60" i="1"/>
  <c r="E61" i="1"/>
  <c r="E62" i="1"/>
  <c r="E63" i="1"/>
  <c r="E66" i="1"/>
  <c r="E67" i="1"/>
  <c r="E68" i="1"/>
  <c r="E69" i="1"/>
  <c r="E70" i="1"/>
  <c r="E71" i="1"/>
  <c r="E73" i="1"/>
  <c r="E74" i="1"/>
  <c r="E75" i="1"/>
  <c r="E76" i="1"/>
  <c r="E77" i="1"/>
  <c r="B69" i="3"/>
  <c r="D69" i="3" s="1"/>
  <c r="A68" i="3"/>
  <c r="D68" i="3" s="1"/>
  <c r="A72" i="1"/>
  <c r="C2" i="3"/>
  <c r="D2" i="3" s="1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C31" i="3"/>
  <c r="D31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C43" i="3"/>
  <c r="D43" i="3" s="1"/>
  <c r="C44" i="3"/>
  <c r="B33" i="3"/>
  <c r="C33" i="3" s="1"/>
  <c r="D33" i="3" s="1"/>
  <c r="A32" i="3"/>
  <c r="C32" i="3" s="1"/>
  <c r="D32" i="3" s="1"/>
  <c r="D4" i="1"/>
  <c r="E4" i="1" s="1"/>
  <c r="F4" i="1"/>
  <c r="D5" i="1"/>
  <c r="E5" i="1" s="1"/>
  <c r="F5" i="1"/>
  <c r="D6" i="1"/>
  <c r="E6" i="1" s="1"/>
  <c r="F6" i="1"/>
  <c r="D52" i="1"/>
  <c r="F51" i="1"/>
  <c r="D51" i="1"/>
  <c r="E51" i="1" s="1"/>
  <c r="F50" i="1"/>
  <c r="D50" i="1"/>
  <c r="F49" i="1"/>
  <c r="D49" i="1"/>
  <c r="E49" i="1" s="1"/>
  <c r="F48" i="1"/>
  <c r="D48" i="1"/>
  <c r="E48" i="1" s="1"/>
  <c r="F47" i="1"/>
  <c r="D47" i="1"/>
  <c r="E47" i="1" s="1"/>
  <c r="F46" i="1"/>
  <c r="D46" i="1"/>
  <c r="E46" i="1" s="1"/>
  <c r="F45" i="1"/>
  <c r="D45" i="1"/>
  <c r="E45" i="1" s="1"/>
  <c r="F44" i="1"/>
  <c r="D44" i="1"/>
  <c r="E44" i="1" s="1"/>
  <c r="F43" i="1"/>
  <c r="D43" i="1"/>
  <c r="E43" i="1" s="1"/>
  <c r="F42" i="1"/>
  <c r="D42" i="1"/>
  <c r="E42" i="1" s="1"/>
  <c r="F41" i="1"/>
  <c r="D41" i="1"/>
  <c r="E41" i="1" s="1"/>
  <c r="F40" i="1"/>
  <c r="D40" i="1"/>
  <c r="E40" i="1" s="1"/>
  <c r="F39" i="1"/>
  <c r="D39" i="1"/>
  <c r="E39" i="1" s="1"/>
  <c r="F38" i="1"/>
  <c r="D38" i="1"/>
  <c r="E38" i="1" s="1"/>
  <c r="F37" i="1"/>
  <c r="D37" i="1"/>
  <c r="E37" i="1" s="1"/>
  <c r="F36" i="1"/>
  <c r="D36" i="1"/>
  <c r="E36" i="1" s="1"/>
  <c r="F35" i="1"/>
  <c r="C35" i="1"/>
  <c r="D35" i="1" s="1"/>
  <c r="E35" i="1" s="1"/>
  <c r="B34" i="1"/>
  <c r="A33" i="1"/>
  <c r="D32" i="1"/>
  <c r="F31" i="1"/>
  <c r="D31" i="1"/>
  <c r="E31" i="1" s="1"/>
  <c r="F30" i="1"/>
  <c r="D30" i="1"/>
  <c r="E30" i="1" s="1"/>
  <c r="F25" i="1"/>
  <c r="D25" i="1"/>
  <c r="E25" i="1" s="1"/>
  <c r="F24" i="1"/>
  <c r="D24" i="1"/>
  <c r="E24" i="1" s="1"/>
  <c r="F23" i="1"/>
  <c r="D23" i="1"/>
  <c r="E23" i="1" s="1"/>
  <c r="F22" i="1"/>
  <c r="D22" i="1"/>
  <c r="E22" i="1" s="1"/>
  <c r="F19" i="1"/>
  <c r="D19" i="1"/>
  <c r="E19" i="1" s="1"/>
  <c r="F18" i="1"/>
  <c r="D18" i="1"/>
  <c r="E18" i="1" s="1"/>
  <c r="F17" i="1"/>
  <c r="D17" i="1"/>
  <c r="E17" i="1" s="1"/>
  <c r="F16" i="1"/>
  <c r="D16" i="1"/>
  <c r="E16" i="1" s="1"/>
  <c r="F15" i="1"/>
  <c r="D15" i="1"/>
  <c r="E15" i="1" s="1"/>
  <c r="F14" i="1"/>
  <c r="D14" i="1"/>
  <c r="E14" i="1" s="1"/>
  <c r="F13" i="1"/>
  <c r="D13" i="1"/>
  <c r="E13" i="1" s="1"/>
  <c r="F12" i="1"/>
  <c r="D12" i="1"/>
  <c r="E12" i="1" s="1"/>
  <c r="F11" i="1"/>
  <c r="D11" i="1"/>
  <c r="E11" i="1" s="1"/>
  <c r="F10" i="1"/>
  <c r="D10" i="1"/>
  <c r="E10" i="1" s="1"/>
  <c r="F9" i="1"/>
  <c r="D9" i="1"/>
  <c r="E9" i="1" s="1"/>
  <c r="F8" i="1"/>
  <c r="D8" i="1"/>
  <c r="E8" i="1" s="1"/>
  <c r="F7" i="1"/>
  <c r="D7" i="1"/>
  <c r="E7" i="1" s="1"/>
  <c r="F3" i="1"/>
  <c r="D3" i="1"/>
  <c r="E3" i="1" s="1"/>
  <c r="F2" i="1"/>
  <c r="D2" i="1"/>
  <c r="E2" i="1" s="1"/>
  <c r="E72" i="1" l="1"/>
  <c r="F34" i="1"/>
  <c r="D34" i="1"/>
  <c r="E34" i="1" s="1"/>
  <c r="F33" i="1"/>
  <c r="D33" i="1"/>
  <c r="E33" i="1" s="1"/>
</calcChain>
</file>

<file path=xl/sharedStrings.xml><?xml version="1.0" encoding="utf-8"?>
<sst xmlns="http://schemas.openxmlformats.org/spreadsheetml/2006/main" count="176" uniqueCount="102">
  <si>
    <t>x</t>
  </si>
  <si>
    <t>deg_freedom</t>
  </si>
  <si>
    <t>cumulative</t>
  </si>
  <si>
    <t>T.DIST</t>
  </si>
  <si>
    <t>T.DIST.2T</t>
  </si>
  <si>
    <t>T.DIST.RT</t>
  </si>
  <si>
    <t>NOTES</t>
  </si>
  <si>
    <t>Documentation T.DIST CDF example → 0.99470</t>
  </si>
  <si>
    <t>Documentation T.DIST PDF example → 0.00074</t>
  </si>
  <si>
    <t>T.DIST.RT doc example: RT → 0.027322</t>
  </si>
  <si>
    <t>z ≈ 1.96, df=60 (approx 95% CI boundary)</t>
  </si>
  <si>
    <t>x = 0 → T.DIST CDF = 0.5 (symmetry center)</t>
  </si>
  <si>
    <t>x = 0 → T.DIST PDF (maximum of distribution)</t>
  </si>
  <si>
    <t>x = 1, df=10</t>
  </si>
  <si>
    <t>x = −1, CDF = 1 − T.DIST(1,...) by symmetry</t>
  </si>
  <si>
    <t>x = 2, df = 5</t>
  </si>
  <si>
    <t>x = −2, df = 5</t>
  </si>
  <si>
    <t>df = 1 (Cauchy distribution)</t>
  </si>
  <si>
    <t>df = 2</t>
  </si>
  <si>
    <t>Large df (approaches normal)</t>
  </si>
  <si>
    <t>Very large df</t>
  </si>
  <si>
    <t>Very large x (CDF → 1)</t>
  </si>
  <si>
    <t>Very large negative x (CDF → 0)</t>
  </si>
  <si>
    <t>Fractional df (10.9 truncated to 10)</t>
  </si>
  <si>
    <t>Fractional df (10.1 truncated to 10)</t>
  </si>
  <si>
    <t>deg_freedom = 0 → #NUM!</t>
  </si>
  <si>
    <t>deg_freedom &lt; 0 → #NUM!</t>
  </si>
  <si>
    <t>x &lt; 0: T.DIST.2T with ABS(x) shown; T.DIST valid for negative</t>
  </si>
  <si>
    <t>Empty x</t>
  </si>
  <si>
    <t>Empty deg_freedom</t>
  </si>
  <si>
    <t>Empty cumulative (T.DIST only)</t>
  </si>
  <si>
    <t>Error propagation – DIV/0 in x</t>
  </si>
  <si>
    <t>Error propagation – NA in df</t>
  </si>
  <si>
    <t>Error propagation – DIV/0 in cumulative</t>
  </si>
  <si>
    <t>x as TRUE (→ 1)</t>
  </si>
  <si>
    <t>x as FALSE (→ 0)</t>
  </si>
  <si>
    <t>df as TRUE (→ 1)</t>
  </si>
  <si>
    <t>cumulative as number 1</t>
  </si>
  <si>
    <t>cumulative as number 0</t>
  </si>
  <si>
    <t>cumulative as invalid number</t>
  </si>
  <si>
    <t>TRUE</t>
  </si>
  <si>
    <t>cumulative as string "TRUE"</t>
  </si>
  <si>
    <t>true</t>
  </si>
  <si>
    <t>cumulative as lowercase string</t>
  </si>
  <si>
    <t>"TRUE"</t>
  </si>
  <si>
    <t>cumulative as quoted string</t>
  </si>
  <si>
    <t>abc</t>
  </si>
  <si>
    <t>cumulative as invalid string</t>
  </si>
  <si>
    <t>1</t>
  </si>
  <si>
    <t>x as numeric text string</t>
  </si>
  <si>
    <t>10</t>
  </si>
  <si>
    <t>df as numeric text string</t>
  </si>
  <si>
    <t>hi</t>
  </si>
  <si>
    <t>x as non-numeric text → #VALUE!</t>
  </si>
  <si>
    <t>Date as x</t>
  </si>
  <si>
    <t>Empty x (direct)</t>
  </si>
  <si>
    <t>Empty deg_freedom (direct)</t>
  </si>
  <si>
    <t>Empty cumulative (direct, T.DIST only)</t>
  </si>
  <si>
    <t>All args empty (direct)</t>
  </si>
  <si>
    <t>T.INV</t>
  </si>
  <si>
    <t>T.INV.2T</t>
  </si>
  <si>
    <t>p = 0.5 → T.INV = 0 (median); T.INV.2T at 0.5</t>
  </si>
  <si>
    <t>Lower 2.5% tail → T.INV ≈ −2.228</t>
  </si>
  <si>
    <t>Upper 2.5% tail → T.INV ≈ +2.228; T.INV.2T ≈ 2.228</t>
  </si>
  <si>
    <t>T.INV 5th percentile; T.INV.2T 5% two-tail</t>
  </si>
  <si>
    <t>T.INV 95th percentile; T.INV.2T 5% two-tail (same as above)</t>
  </si>
  <si>
    <t>df = 1 (Cauchy)</t>
  </si>
  <si>
    <t>p = 0.975, df = 1</t>
  </si>
  <si>
    <t>p = 0.025, df = 1</t>
  </si>
  <si>
    <t>Fractional df (2.9 → 2)</t>
  </si>
  <si>
    <t>Fractional df (2.1 → 2)</t>
  </si>
  <si>
    <t>p near 0</t>
  </si>
  <si>
    <t>p near 1</t>
  </si>
  <si>
    <t>p very near 1</t>
  </si>
  <si>
    <t>p = 1 → T.INV valid (=+∞ limit); T.INV.2T → #NUM!</t>
  </si>
  <si>
    <t>p = 0 → #NUM!</t>
  </si>
  <si>
    <t>p &lt; 0 → #NUM!</t>
  </si>
  <si>
    <t>p &gt; 1 → #NUM!</t>
  </si>
  <si>
    <t>Empty probability</t>
  </si>
  <si>
    <t>Error propagation – DIV/0 in p</t>
  </si>
  <si>
    <t>p as TRUE (→ 1) → T.INV.2T #NUM!</t>
  </si>
  <si>
    <t>p as FALSE (→ 0) → #NUM!</t>
  </si>
  <si>
    <t>0.75</t>
  </si>
  <si>
    <t>p as numeric text string</t>
  </si>
  <si>
    <t>p as non-numeric text → #VALUE!</t>
  </si>
  <si>
    <t>Smoke test</t>
  </si>
  <si>
    <t>Very small x</t>
  </si>
  <si>
    <t>Very small negative x (CDF → 0)</t>
  </si>
  <si>
    <t>deg_freedom near 0</t>
  </si>
  <si>
    <t>deg_freedom near 0 (negative)</t>
  </si>
  <si>
    <t>deg_freedom near 1 (above)</t>
  </si>
  <si>
    <t>deg_freedom near 1 (below)</t>
  </si>
  <si>
    <t>p near 0 (negative)</t>
  </si>
  <si>
    <t>p near 1 (above)</t>
  </si>
  <si>
    <t>p near 1 (below)</t>
  </si>
  <si>
    <t>probability cases</t>
  </si>
  <si>
    <t>Very small negative x</t>
  </si>
  <si>
    <t>Very large negative df</t>
  </si>
  <si>
    <t>Very small df</t>
  </si>
  <si>
    <t>Very small negative df</t>
  </si>
  <si>
    <t>p near 0 (below)</t>
  </si>
  <si>
    <t>p near 0 (above)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</si>
</sst>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name val="Calibri"/>
    </font>
    <font>
      <b/>
      <sz val="11"/>
      <color rgb="FFFA7D00"/>
      <name val="Calibri"/>
    </font>
    <font>
      <b/>
      <sz val="11"/>
      <color rgb="FFFA7D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1" fontId="2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0" fontId="5" fillId="0" borderId="0" xfId="0" applyFont="1"/>
    <xf numFmtId="0" fontId="6" fillId="0" borderId="0" xfId="0" applyFont="1"/>
    <xf numFmtId="0" fontId="4" fillId="3" borderId="5" xfId="0" applyFont="1" applyFill="1" applyBorder="1"/>
    <xf numFmtId="0" fontId="2" fillId="0" borderId="4" xfId="0" applyFont="1" applyBorder="1"/>
    <xf numFmtId="0" fontId="0" fillId="0" borderId="4" xfId="0" applyBorder="1"/>
    <xf numFmtId="0" fontId="4" fillId="3" borderId="2" xfId="0" applyFont="1" applyFill="1" applyBorder="1"/>
    <xf numFmtId="0" fontId="2" fillId="0" borderId="3" xfId="0" applyFont="1" applyBorder="1"/>
    <xf numFmtId="0" fontId="0" fillId="0" borderId="3" xfId="0" applyBorder="1"/>
    <xf numFmtId="0" fontId="4" fillId="3" borderId="6" xfId="0" applyFont="1" applyFill="1" applyBorder="1"/>
    <xf numFmtId="0" fontId="8" fillId="0" borderId="0" xfId="0" applyFont="1"/>
    <xf numFmtId="0" fontId="8" fillId="0" borderId="3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3ED818-91E6-49BC-8209-D0A2DEC6418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c945bae-d00d-4a6f-8938-c7df142e01a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pane ySplit="1" topLeftCell="A2" activePane="bottomLeft" state="frozen"/>
      <selection pane="bottomLeft" activeCell="G69" sqref="G69"/>
    </sheetView>
  </sheetViews>
  <sheetFormatPr defaultRowHeight="14.5" x14ac:dyDescent="0.35"/>
  <cols>
    <col min="1" max="3" width="14.36328125" customWidth="1"/>
    <col min="4" max="6" width="17.26953125" customWidth="1"/>
    <col min="7" max="7" width="38.26953125" customWidth="1"/>
  </cols>
  <sheetData>
    <row r="1" spans="1:7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59</v>
      </c>
      <c r="F1" s="1" t="s">
        <v>5</v>
      </c>
      <c r="G1" s="1" t="s">
        <v>6</v>
      </c>
    </row>
    <row r="2" spans="1:7" x14ac:dyDescent="0.35">
      <c r="A2" s="2">
        <v>60</v>
      </c>
      <c r="B2" s="2">
        <v>1</v>
      </c>
      <c r="C2" s="2" t="b">
        <v>1</v>
      </c>
      <c r="D2" s="3">
        <f t="shared" ref="D2:D49" si="0">_xlfn.T.DIST(A2,B2,C2)</f>
        <v>0.99469532636737668</v>
      </c>
      <c r="E2" s="3">
        <f t="shared" ref="E2:E49" si="1">_xlfn.T.INV(D2,B2)</f>
        <v>59.999999999999389</v>
      </c>
      <c r="F2" s="3">
        <f t="shared" ref="F2:F31" si="2">_xlfn.T.DIST.RT(A2,B2)</f>
        <v>5.3046736326232699E-3</v>
      </c>
      <c r="G2" s="2" t="s">
        <v>7</v>
      </c>
    </row>
    <row r="3" spans="1:7" x14ac:dyDescent="0.35">
      <c r="A3" s="2">
        <v>8</v>
      </c>
      <c r="B3" s="2">
        <v>3</v>
      </c>
      <c r="C3" s="2" t="b">
        <v>0</v>
      </c>
      <c r="D3" s="3">
        <f t="shared" si="0"/>
        <v>7.3690652094692661E-4</v>
      </c>
      <c r="E3" s="3">
        <f t="shared" si="1"/>
        <v>-11.332581353101341</v>
      </c>
      <c r="F3" s="3">
        <f t="shared" si="2"/>
        <v>2.0382887938927333E-3</v>
      </c>
      <c r="G3" s="2" t="s">
        <v>8</v>
      </c>
    </row>
    <row r="4" spans="1:7" x14ac:dyDescent="0.35">
      <c r="A4" s="2">
        <v>3</v>
      </c>
      <c r="B4" s="2">
        <v>5.2</v>
      </c>
      <c r="C4" s="2" t="b">
        <v>1</v>
      </c>
      <c r="D4" s="3">
        <f t="shared" ref="D4:D6" si="3">_xlfn.T.DIST(A4,B4,C4)</f>
        <v>0.98495037605126867</v>
      </c>
      <c r="E4" s="3">
        <f t="shared" si="1"/>
        <v>2.9999999999999973</v>
      </c>
      <c r="F4" s="3">
        <f t="shared" ref="F4:F6" si="4">_xlfn.T.DIST.RT(A4,B4)</f>
        <v>1.5049623948731293E-2</v>
      </c>
      <c r="G4" s="2" t="s">
        <v>85</v>
      </c>
    </row>
    <row r="5" spans="1:7" x14ac:dyDescent="0.35">
      <c r="A5" s="2">
        <v>-2</v>
      </c>
      <c r="B5" s="2">
        <v>5.2</v>
      </c>
      <c r="C5" s="2" t="b">
        <v>0</v>
      </c>
      <c r="D5" s="3">
        <f t="shared" si="3"/>
        <v>6.5090310326216497E-2</v>
      </c>
      <c r="E5" s="3">
        <f t="shared" si="1"/>
        <v>-1.8093538332133492</v>
      </c>
      <c r="F5" s="3">
        <f t="shared" si="4"/>
        <v>0.94903026058507078</v>
      </c>
      <c r="G5" s="2" t="s">
        <v>85</v>
      </c>
    </row>
    <row r="6" spans="1:7" x14ac:dyDescent="0.35">
      <c r="A6" s="2">
        <v>2.2999999999999998</v>
      </c>
      <c r="B6" s="2">
        <v>5.2</v>
      </c>
      <c r="C6" s="2" t="b">
        <v>1</v>
      </c>
      <c r="D6" s="3">
        <f t="shared" si="3"/>
        <v>0.96511376533398141</v>
      </c>
      <c r="E6" s="3">
        <f t="shared" si="1"/>
        <v>2.3000000000000016</v>
      </c>
      <c r="F6" s="3">
        <f t="shared" si="4"/>
        <v>3.4886234666018645E-2</v>
      </c>
      <c r="G6" s="2" t="s">
        <v>85</v>
      </c>
    </row>
    <row r="7" spans="1:7" x14ac:dyDescent="0.35">
      <c r="A7" s="2">
        <v>1.959999998</v>
      </c>
      <c r="B7" s="2">
        <v>60</v>
      </c>
      <c r="C7" s="2" t="b">
        <v>1</v>
      </c>
      <c r="D7" s="3">
        <f t="shared" si="0"/>
        <v>0.97267753501203957</v>
      </c>
      <c r="E7" s="3">
        <f t="shared" si="1"/>
        <v>1.959999997999998</v>
      </c>
      <c r="F7" s="3">
        <f t="shared" si="2"/>
        <v>2.7322464987960478E-2</v>
      </c>
      <c r="G7" s="2" t="s">
        <v>9</v>
      </c>
    </row>
    <row r="8" spans="1:7" x14ac:dyDescent="0.35">
      <c r="A8" s="2">
        <v>1.96</v>
      </c>
      <c r="B8" s="2">
        <v>60</v>
      </c>
      <c r="C8" s="2" t="b">
        <v>1</v>
      </c>
      <c r="D8" s="3">
        <f t="shared" si="0"/>
        <v>0.97267753513173538</v>
      </c>
      <c r="E8" s="3">
        <f t="shared" si="1"/>
        <v>1.9600000000000002</v>
      </c>
      <c r="F8" s="3">
        <f t="shared" si="2"/>
        <v>2.732246486826467E-2</v>
      </c>
      <c r="G8" s="2" t="s">
        <v>10</v>
      </c>
    </row>
    <row r="9" spans="1:7" x14ac:dyDescent="0.35">
      <c r="A9" s="2">
        <v>0</v>
      </c>
      <c r="B9" s="2">
        <v>10</v>
      </c>
      <c r="C9" s="2" t="b">
        <v>1</v>
      </c>
      <c r="D9" s="3">
        <f t="shared" si="0"/>
        <v>0.5</v>
      </c>
      <c r="E9" s="3">
        <f t="shared" si="1"/>
        <v>0</v>
      </c>
      <c r="F9" s="3">
        <f t="shared" si="2"/>
        <v>0.5</v>
      </c>
      <c r="G9" s="2" t="s">
        <v>11</v>
      </c>
    </row>
    <row r="10" spans="1:7" x14ac:dyDescent="0.35">
      <c r="A10" s="2">
        <v>0</v>
      </c>
      <c r="B10" s="2">
        <v>10</v>
      </c>
      <c r="C10" s="2" t="b">
        <v>0</v>
      </c>
      <c r="D10" s="3">
        <f t="shared" si="0"/>
        <v>0.38910838396603115</v>
      </c>
      <c r="E10" s="3">
        <f t="shared" si="1"/>
        <v>-0.28935931314353602</v>
      </c>
      <c r="F10" s="3">
        <f t="shared" si="2"/>
        <v>0.5</v>
      </c>
      <c r="G10" s="2" t="s">
        <v>12</v>
      </c>
    </row>
    <row r="11" spans="1:7" x14ac:dyDescent="0.35">
      <c r="A11" s="2">
        <v>1</v>
      </c>
      <c r="B11" s="2">
        <v>10</v>
      </c>
      <c r="C11" s="2" t="b">
        <v>1</v>
      </c>
      <c r="D11" s="3">
        <f t="shared" si="0"/>
        <v>0.82955343384897007</v>
      </c>
      <c r="E11" s="3">
        <f t="shared" si="1"/>
        <v>1.0000000000000004</v>
      </c>
      <c r="F11" s="3">
        <f t="shared" si="2"/>
        <v>0.17044656615102993</v>
      </c>
      <c r="G11" s="2" t="s">
        <v>13</v>
      </c>
    </row>
    <row r="12" spans="1:7" x14ac:dyDescent="0.35">
      <c r="A12" s="2">
        <v>-1</v>
      </c>
      <c r="B12" s="2">
        <v>10</v>
      </c>
      <c r="C12" s="2" t="b">
        <v>1</v>
      </c>
      <c r="D12" s="3">
        <f t="shared" si="0"/>
        <v>0.17044656615102993</v>
      </c>
      <c r="E12" s="3">
        <f t="shared" si="1"/>
        <v>-1.0000000000000004</v>
      </c>
      <c r="F12" s="3">
        <f t="shared" si="2"/>
        <v>0.82955343384897007</v>
      </c>
      <c r="G12" s="2" t="s">
        <v>14</v>
      </c>
    </row>
    <row r="13" spans="1:7" x14ac:dyDescent="0.35">
      <c r="A13" s="2">
        <v>2</v>
      </c>
      <c r="B13" s="2">
        <v>5</v>
      </c>
      <c r="C13" s="2" t="b">
        <v>1</v>
      </c>
      <c r="D13" s="3">
        <f t="shared" si="0"/>
        <v>0.94903026058507078</v>
      </c>
      <c r="E13" s="3">
        <f t="shared" si="1"/>
        <v>1.9999999999999989</v>
      </c>
      <c r="F13" s="3">
        <f t="shared" si="2"/>
        <v>5.0969739414929181E-2</v>
      </c>
      <c r="G13" s="2" t="s">
        <v>15</v>
      </c>
    </row>
    <row r="14" spans="1:7" x14ac:dyDescent="0.35">
      <c r="A14" s="2">
        <v>-2</v>
      </c>
      <c r="B14" s="2">
        <v>5</v>
      </c>
      <c r="C14" s="2" t="b">
        <v>1</v>
      </c>
      <c r="D14" s="3">
        <f t="shared" si="0"/>
        <v>5.0969739414929181E-2</v>
      </c>
      <c r="E14" s="3">
        <f t="shared" si="1"/>
        <v>-1.9999999999999996</v>
      </c>
      <c r="F14" s="3">
        <f t="shared" si="2"/>
        <v>0.94903026058507078</v>
      </c>
      <c r="G14" s="2" t="s">
        <v>16</v>
      </c>
    </row>
    <row r="15" spans="1:7" x14ac:dyDescent="0.35">
      <c r="A15" s="2">
        <v>1</v>
      </c>
      <c r="B15" s="2">
        <v>1</v>
      </c>
      <c r="C15" s="2" t="b">
        <v>1</v>
      </c>
      <c r="D15" s="3">
        <f t="shared" si="0"/>
        <v>0.75</v>
      </c>
      <c r="E15" s="3">
        <f t="shared" si="1"/>
        <v>1</v>
      </c>
      <c r="F15" s="3">
        <f t="shared" si="2"/>
        <v>0.25000000000000006</v>
      </c>
      <c r="G15" s="2" t="s">
        <v>17</v>
      </c>
    </row>
    <row r="16" spans="1:7" x14ac:dyDescent="0.35">
      <c r="A16" s="2">
        <v>1</v>
      </c>
      <c r="B16" s="2">
        <v>2</v>
      </c>
      <c r="C16" s="2" t="b">
        <v>1</v>
      </c>
      <c r="D16" s="3">
        <f t="shared" si="0"/>
        <v>0.78867513459481287</v>
      </c>
      <c r="E16" s="3">
        <f t="shared" si="1"/>
        <v>1</v>
      </c>
      <c r="F16" s="3">
        <f t="shared" si="2"/>
        <v>0.21132486540518708</v>
      </c>
      <c r="G16" s="2" t="s">
        <v>18</v>
      </c>
    </row>
    <row r="17" spans="1:7" x14ac:dyDescent="0.35">
      <c r="A17" s="2">
        <v>1</v>
      </c>
      <c r="B17" s="2">
        <v>100</v>
      </c>
      <c r="C17" s="2" t="b">
        <v>1</v>
      </c>
      <c r="D17" s="3">
        <f t="shared" si="0"/>
        <v>0.84013792210793836</v>
      </c>
      <c r="E17" s="3">
        <f t="shared" si="1"/>
        <v>1.0000000000000004</v>
      </c>
      <c r="F17" s="3">
        <f t="shared" si="2"/>
        <v>0.15986207789206167</v>
      </c>
      <c r="G17" s="2" t="s">
        <v>19</v>
      </c>
    </row>
    <row r="18" spans="1:7" x14ac:dyDescent="0.35">
      <c r="A18" s="4">
        <v>1000000</v>
      </c>
      <c r="B18" s="2">
        <v>10</v>
      </c>
      <c r="C18" s="2" t="b">
        <v>1</v>
      </c>
      <c r="D18" s="3">
        <f t="shared" si="0"/>
        <v>1</v>
      </c>
      <c r="E18" s="3" t="e">
        <f t="shared" si="1"/>
        <v>#NUM!</v>
      </c>
      <c r="F18" s="3">
        <f t="shared" si="2"/>
        <v>1.230468749943611E-56</v>
      </c>
      <c r="G18" s="2" t="s">
        <v>21</v>
      </c>
    </row>
    <row r="19" spans="1:7" x14ac:dyDescent="0.35">
      <c r="A19" s="4">
        <v>-1000000</v>
      </c>
      <c r="B19" s="2">
        <v>10</v>
      </c>
      <c r="C19" s="2" t="b">
        <v>1</v>
      </c>
      <c r="D19" s="3">
        <f t="shared" si="0"/>
        <v>1.230468749943611E-56</v>
      </c>
      <c r="E19" s="3">
        <f t="shared" si="1"/>
        <v>-1000000.0000000001</v>
      </c>
      <c r="F19" s="3">
        <f t="shared" si="2"/>
        <v>1</v>
      </c>
      <c r="G19" s="2" t="s">
        <v>22</v>
      </c>
    </row>
    <row r="20" spans="1:7" x14ac:dyDescent="0.35">
      <c r="A20" s="4">
        <v>9.9999999999999995E-7</v>
      </c>
      <c r="B20" s="2">
        <v>11</v>
      </c>
      <c r="C20" s="2" t="b">
        <v>1</v>
      </c>
      <c r="D20" s="3">
        <f t="shared" ref="D20:D21" si="5">_xlfn.T.DIST(A20,B20,C20)</f>
        <v>0.50000038998975704</v>
      </c>
      <c r="E20" s="3">
        <f t="shared" ref="E20:E21" si="6">_xlfn.T.INV(D20,B20)</f>
        <v>9.9999999996669441E-7</v>
      </c>
      <c r="F20" s="3">
        <f t="shared" ref="F20:F21" si="7">_xlfn.T.DIST.RT(A20,B20)</f>
        <v>0.49999961001024296</v>
      </c>
      <c r="G20" s="2" t="s">
        <v>86</v>
      </c>
    </row>
    <row r="21" spans="1:7" x14ac:dyDescent="0.35">
      <c r="A21" s="4">
        <v>-9.9999999999999995E-7</v>
      </c>
      <c r="B21" s="2">
        <v>12</v>
      </c>
      <c r="C21" s="2" t="b">
        <v>1</v>
      </c>
      <c r="D21" s="3">
        <f t="shared" si="5"/>
        <v>0.4999996092736948</v>
      </c>
      <c r="E21" s="3">
        <f t="shared" si="6"/>
        <v>-9.9999999993970878E-7</v>
      </c>
      <c r="F21" s="3">
        <f t="shared" si="7"/>
        <v>0.5000003907263052</v>
      </c>
      <c r="G21" s="2" t="s">
        <v>87</v>
      </c>
    </row>
    <row r="22" spans="1:7" x14ac:dyDescent="0.35">
      <c r="A22" s="2">
        <v>1</v>
      </c>
      <c r="B22" s="2">
        <v>10.999999000000001</v>
      </c>
      <c r="C22" s="2" t="b">
        <v>1</v>
      </c>
      <c r="D22" s="3">
        <f t="shared" si="0"/>
        <v>0.82955343384897007</v>
      </c>
      <c r="E22" s="3">
        <f t="shared" si="1"/>
        <v>1.0000000000000004</v>
      </c>
      <c r="F22" s="3">
        <f t="shared" si="2"/>
        <v>0.17044656615102993</v>
      </c>
      <c r="G22" s="2" t="s">
        <v>23</v>
      </c>
    </row>
    <row r="23" spans="1:7" x14ac:dyDescent="0.35">
      <c r="A23" s="2">
        <v>1</v>
      </c>
      <c r="B23" s="2">
        <v>10.000000999999999</v>
      </c>
      <c r="C23" s="2" t="b">
        <v>1</v>
      </c>
      <c r="D23" s="3">
        <f t="shared" si="0"/>
        <v>0.82955343384897007</v>
      </c>
      <c r="E23" s="3">
        <f t="shared" si="1"/>
        <v>1.0000000000000004</v>
      </c>
      <c r="F23" s="3">
        <f t="shared" si="2"/>
        <v>0.17044656615102993</v>
      </c>
      <c r="G23" s="2" t="s">
        <v>24</v>
      </c>
    </row>
    <row r="24" spans="1:7" x14ac:dyDescent="0.35">
      <c r="A24" s="2">
        <v>1</v>
      </c>
      <c r="B24" s="2">
        <v>0</v>
      </c>
      <c r="C24" s="2" t="b">
        <v>1</v>
      </c>
      <c r="D24" s="3" t="e">
        <f t="shared" si="0"/>
        <v>#NUM!</v>
      </c>
      <c r="E24" s="3" t="e">
        <f t="shared" si="1"/>
        <v>#NUM!</v>
      </c>
      <c r="F24" s="3" t="e">
        <f t="shared" si="2"/>
        <v>#NUM!</v>
      </c>
      <c r="G24" s="2" t="s">
        <v>25</v>
      </c>
    </row>
    <row r="25" spans="1:7" x14ac:dyDescent="0.35">
      <c r="A25" s="2">
        <v>1</v>
      </c>
      <c r="B25" s="2">
        <v>-1</v>
      </c>
      <c r="C25" s="2" t="b">
        <v>1</v>
      </c>
      <c r="D25" s="3" t="e">
        <f t="shared" si="0"/>
        <v>#NUM!</v>
      </c>
      <c r="E25" s="3" t="e">
        <f t="shared" si="1"/>
        <v>#NUM!</v>
      </c>
      <c r="F25" s="3" t="e">
        <f t="shared" si="2"/>
        <v>#NUM!</v>
      </c>
      <c r="G25" s="2" t="s">
        <v>26</v>
      </c>
    </row>
    <row r="26" spans="1:7" x14ac:dyDescent="0.35">
      <c r="A26" s="2">
        <v>1</v>
      </c>
      <c r="B26" s="4">
        <v>9.9999999999999995E-7</v>
      </c>
      <c r="C26" s="2" t="b">
        <v>1</v>
      </c>
      <c r="D26" s="3" t="e">
        <f t="shared" ref="D26:D27" si="8">_xlfn.T.DIST(A26,B26,C26)</f>
        <v>#NUM!</v>
      </c>
      <c r="E26" s="3" t="e">
        <f t="shared" ref="E26:E27" si="9">_xlfn.T.INV(D26,B26)</f>
        <v>#NUM!</v>
      </c>
      <c r="F26" s="3" t="e">
        <f t="shared" ref="F26:F27" si="10">_xlfn.T.DIST.RT(A26,B26)</f>
        <v>#NUM!</v>
      </c>
      <c r="G26" s="2" t="s">
        <v>88</v>
      </c>
    </row>
    <row r="27" spans="1:7" x14ac:dyDescent="0.35">
      <c r="A27" s="2">
        <v>1</v>
      </c>
      <c r="B27" s="4">
        <v>-9.9999999999999995E-7</v>
      </c>
      <c r="C27" s="2" t="b">
        <v>1</v>
      </c>
      <c r="D27" s="3" t="e">
        <f t="shared" si="8"/>
        <v>#NUM!</v>
      </c>
      <c r="E27" s="3" t="e">
        <f t="shared" si="9"/>
        <v>#NUM!</v>
      </c>
      <c r="F27" s="3" t="e">
        <f t="shared" si="10"/>
        <v>#NUM!</v>
      </c>
      <c r="G27" s="2" t="s">
        <v>89</v>
      </c>
    </row>
    <row r="28" spans="1:7" x14ac:dyDescent="0.35">
      <c r="A28" s="2">
        <v>1</v>
      </c>
      <c r="B28" s="2">
        <v>1.0000009999999999</v>
      </c>
      <c r="C28" s="2" t="b">
        <v>1</v>
      </c>
      <c r="D28" s="3">
        <f t="shared" ref="D28:D29" si="11">_xlfn.T.DIST(A28,B28,C28)</f>
        <v>0.75</v>
      </c>
      <c r="E28" s="3">
        <f t="shared" ref="E28:E29" si="12">_xlfn.T.INV(D28,B28)</f>
        <v>1</v>
      </c>
      <c r="F28" s="3">
        <f t="shared" ref="F28:F29" si="13">_xlfn.T.DIST.RT(A28,B28)</f>
        <v>0.25000000000000006</v>
      </c>
      <c r="G28" s="16" t="s">
        <v>90</v>
      </c>
    </row>
    <row r="29" spans="1:7" x14ac:dyDescent="0.35">
      <c r="A29" s="2">
        <v>1</v>
      </c>
      <c r="B29" s="2">
        <v>0.99999899999999997</v>
      </c>
      <c r="C29" s="2" t="b">
        <v>1</v>
      </c>
      <c r="D29" s="3" t="e">
        <f t="shared" si="11"/>
        <v>#NUM!</v>
      </c>
      <c r="E29" s="3" t="e">
        <f t="shared" si="12"/>
        <v>#NUM!</v>
      </c>
      <c r="F29" s="3" t="e">
        <f t="shared" si="13"/>
        <v>#NUM!</v>
      </c>
      <c r="G29" s="16" t="s">
        <v>91</v>
      </c>
    </row>
    <row r="30" spans="1:7" x14ac:dyDescent="0.35">
      <c r="B30" s="2">
        <v>10</v>
      </c>
      <c r="C30" s="2" t="b">
        <v>1</v>
      </c>
      <c r="D30" s="3">
        <f t="shared" si="0"/>
        <v>0.5</v>
      </c>
      <c r="E30" s="3" t="e">
        <f>_xlfn.T.INV(D30,A30)</f>
        <v>#NUM!</v>
      </c>
      <c r="F30" s="3">
        <f t="shared" si="2"/>
        <v>0.5</v>
      </c>
      <c r="G30" s="2" t="s">
        <v>28</v>
      </c>
    </row>
    <row r="31" spans="1:7" x14ac:dyDescent="0.35">
      <c r="A31" s="2">
        <v>1</v>
      </c>
      <c r="C31" s="2" t="b">
        <v>1</v>
      </c>
      <c r="D31" s="3" t="e">
        <f t="shared" si="0"/>
        <v>#NUM!</v>
      </c>
      <c r="E31" s="3" t="e">
        <f t="shared" si="1"/>
        <v>#NUM!</v>
      </c>
      <c r="F31" s="3" t="e">
        <f t="shared" si="2"/>
        <v>#NUM!</v>
      </c>
      <c r="G31" s="2" t="s">
        <v>29</v>
      </c>
    </row>
    <row r="32" spans="1:7" x14ac:dyDescent="0.35">
      <c r="A32" s="2">
        <v>1</v>
      </c>
      <c r="B32" s="2">
        <v>10</v>
      </c>
      <c r="D32" s="3">
        <f t="shared" si="0"/>
        <v>0.23036198922913867</v>
      </c>
      <c r="G32" s="2" t="s">
        <v>30</v>
      </c>
    </row>
    <row r="33" spans="1:7" x14ac:dyDescent="0.35">
      <c r="A33" s="2" t="e">
        <f>1/0</f>
        <v>#DIV/0!</v>
      </c>
      <c r="B33" s="2">
        <v>10</v>
      </c>
      <c r="C33" s="2" t="b">
        <v>1</v>
      </c>
      <c r="D33" s="3" t="e">
        <f t="shared" si="0"/>
        <v>#DIV/0!</v>
      </c>
      <c r="E33" s="3" t="e">
        <f t="shared" si="1"/>
        <v>#DIV/0!</v>
      </c>
      <c r="F33" s="3" t="e">
        <f t="shared" ref="F33:F49" si="14">_xlfn.T.DIST.RT(A33,B33)</f>
        <v>#DIV/0!</v>
      </c>
      <c r="G33" s="2" t="s">
        <v>31</v>
      </c>
    </row>
    <row r="34" spans="1:7" x14ac:dyDescent="0.35">
      <c r="A34" s="2">
        <v>1</v>
      </c>
      <c r="B34" s="2" t="e">
        <f>NA()</f>
        <v>#N/A</v>
      </c>
      <c r="C34" s="2" t="b">
        <v>1</v>
      </c>
      <c r="D34" s="3" t="e">
        <f t="shared" si="0"/>
        <v>#N/A</v>
      </c>
      <c r="E34" s="3" t="e">
        <f t="shared" si="1"/>
        <v>#N/A</v>
      </c>
      <c r="F34" s="3" t="e">
        <f t="shared" si="14"/>
        <v>#N/A</v>
      </c>
      <c r="G34" s="2" t="s">
        <v>32</v>
      </c>
    </row>
    <row r="35" spans="1:7" x14ac:dyDescent="0.35">
      <c r="A35" s="2">
        <v>1</v>
      </c>
      <c r="B35" s="2">
        <v>10</v>
      </c>
      <c r="C35" s="2" t="e">
        <f>1/0</f>
        <v>#DIV/0!</v>
      </c>
      <c r="D35" s="3" t="e">
        <f t="shared" si="0"/>
        <v>#DIV/0!</v>
      </c>
      <c r="E35" s="3" t="e">
        <f t="shared" si="1"/>
        <v>#DIV/0!</v>
      </c>
      <c r="F35" s="3">
        <f t="shared" si="14"/>
        <v>0.17044656615102993</v>
      </c>
      <c r="G35" s="2" t="s">
        <v>33</v>
      </c>
    </row>
    <row r="36" spans="1:7" x14ac:dyDescent="0.35">
      <c r="A36" s="2" t="b">
        <v>1</v>
      </c>
      <c r="B36" s="2">
        <v>10</v>
      </c>
      <c r="C36" s="2" t="b">
        <v>1</v>
      </c>
      <c r="D36" s="3">
        <f t="shared" si="0"/>
        <v>0.82955343384897007</v>
      </c>
      <c r="E36" s="3">
        <f t="shared" si="1"/>
        <v>1.0000000000000004</v>
      </c>
      <c r="F36" s="3">
        <f t="shared" si="14"/>
        <v>0.17044656615102993</v>
      </c>
      <c r="G36" s="2" t="s">
        <v>34</v>
      </c>
    </row>
    <row r="37" spans="1:7" x14ac:dyDescent="0.35">
      <c r="A37" s="2" t="b">
        <v>0</v>
      </c>
      <c r="B37" s="2">
        <v>10</v>
      </c>
      <c r="C37" s="2" t="b">
        <v>1</v>
      </c>
      <c r="D37" s="3">
        <f t="shared" si="0"/>
        <v>0.5</v>
      </c>
      <c r="E37" s="3">
        <f t="shared" si="1"/>
        <v>0</v>
      </c>
      <c r="F37" s="3">
        <f t="shared" si="14"/>
        <v>0.5</v>
      </c>
      <c r="G37" s="2" t="s">
        <v>35</v>
      </c>
    </row>
    <row r="38" spans="1:7" x14ac:dyDescent="0.35">
      <c r="A38" s="2">
        <v>1</v>
      </c>
      <c r="B38" s="2" t="b">
        <v>1</v>
      </c>
      <c r="C38" s="2" t="b">
        <v>1</v>
      </c>
      <c r="D38" s="3">
        <f t="shared" si="0"/>
        <v>0.75</v>
      </c>
      <c r="E38" s="3">
        <f t="shared" si="1"/>
        <v>1</v>
      </c>
      <c r="F38" s="3">
        <f t="shared" si="14"/>
        <v>0.25000000000000006</v>
      </c>
      <c r="G38" s="2" t="s">
        <v>36</v>
      </c>
    </row>
    <row r="39" spans="1:7" x14ac:dyDescent="0.35">
      <c r="A39" s="2">
        <v>1</v>
      </c>
      <c r="B39" s="2">
        <v>10</v>
      </c>
      <c r="C39" s="5">
        <v>1</v>
      </c>
      <c r="D39" s="3">
        <f t="shared" si="0"/>
        <v>0.82955343384897007</v>
      </c>
      <c r="E39" s="3">
        <f t="shared" si="1"/>
        <v>1.0000000000000004</v>
      </c>
      <c r="F39" s="3">
        <f t="shared" si="14"/>
        <v>0.17044656615102993</v>
      </c>
      <c r="G39" s="2" t="s">
        <v>37</v>
      </c>
    </row>
    <row r="40" spans="1:7" x14ac:dyDescent="0.35">
      <c r="A40" s="2">
        <v>1</v>
      </c>
      <c r="B40" s="2">
        <v>10</v>
      </c>
      <c r="C40" s="5">
        <v>0</v>
      </c>
      <c r="D40" s="3">
        <f t="shared" si="0"/>
        <v>0.23036198922913867</v>
      </c>
      <c r="E40" s="3">
        <f t="shared" si="1"/>
        <v>-0.76714438193446355</v>
      </c>
      <c r="F40" s="3">
        <f t="shared" si="14"/>
        <v>0.17044656615102993</v>
      </c>
      <c r="G40" s="2" t="s">
        <v>38</v>
      </c>
    </row>
    <row r="41" spans="1:7" x14ac:dyDescent="0.35">
      <c r="A41" s="2">
        <v>1</v>
      </c>
      <c r="B41" s="2">
        <v>10</v>
      </c>
      <c r="C41" s="5">
        <v>6</v>
      </c>
      <c r="D41" s="3">
        <f t="shared" si="0"/>
        <v>0.82955343384897007</v>
      </c>
      <c r="E41" s="3">
        <f t="shared" si="1"/>
        <v>1.0000000000000004</v>
      </c>
      <c r="F41" s="3">
        <f t="shared" si="14"/>
        <v>0.17044656615102993</v>
      </c>
      <c r="G41" s="2" t="s">
        <v>39</v>
      </c>
    </row>
    <row r="42" spans="1:7" x14ac:dyDescent="0.35">
      <c r="A42" s="2">
        <v>1</v>
      </c>
      <c r="B42" s="2">
        <v>10</v>
      </c>
      <c r="C42" s="2" t="s">
        <v>40</v>
      </c>
      <c r="D42" s="3">
        <f t="shared" si="0"/>
        <v>0.82955343384897007</v>
      </c>
      <c r="E42" s="3">
        <f t="shared" si="1"/>
        <v>1.0000000000000004</v>
      </c>
      <c r="F42" s="3">
        <f t="shared" si="14"/>
        <v>0.17044656615102993</v>
      </c>
      <c r="G42" s="2" t="s">
        <v>41</v>
      </c>
    </row>
    <row r="43" spans="1:7" x14ac:dyDescent="0.35">
      <c r="A43" s="2">
        <v>1</v>
      </c>
      <c r="B43" s="2">
        <v>10</v>
      </c>
      <c r="C43" s="2" t="s">
        <v>42</v>
      </c>
      <c r="D43" s="3">
        <f t="shared" si="0"/>
        <v>0.82955343384897007</v>
      </c>
      <c r="E43" s="3">
        <f t="shared" si="1"/>
        <v>1.0000000000000004</v>
      </c>
      <c r="F43" s="3">
        <f t="shared" si="14"/>
        <v>0.17044656615102993</v>
      </c>
      <c r="G43" s="2" t="s">
        <v>43</v>
      </c>
    </row>
    <row r="44" spans="1:7" x14ac:dyDescent="0.35">
      <c r="A44" s="2">
        <v>1</v>
      </c>
      <c r="B44" s="2">
        <v>10</v>
      </c>
      <c r="C44" s="2" t="s">
        <v>44</v>
      </c>
      <c r="D44" s="3" t="e">
        <f t="shared" si="0"/>
        <v>#VALUE!</v>
      </c>
      <c r="E44" s="3" t="e">
        <f t="shared" si="1"/>
        <v>#VALUE!</v>
      </c>
      <c r="F44" s="3">
        <f t="shared" si="14"/>
        <v>0.17044656615102993</v>
      </c>
      <c r="G44" s="2" t="s">
        <v>45</v>
      </c>
    </row>
    <row r="45" spans="1:7" x14ac:dyDescent="0.35">
      <c r="A45" s="2">
        <v>1</v>
      </c>
      <c r="B45" s="2">
        <v>10</v>
      </c>
      <c r="C45" s="2" t="s">
        <v>46</v>
      </c>
      <c r="D45" s="3" t="e">
        <f t="shared" si="0"/>
        <v>#VALUE!</v>
      </c>
      <c r="E45" s="3" t="e">
        <f t="shared" si="1"/>
        <v>#VALUE!</v>
      </c>
      <c r="F45" s="3">
        <f t="shared" si="14"/>
        <v>0.17044656615102993</v>
      </c>
      <c r="G45" s="2" t="s">
        <v>47</v>
      </c>
    </row>
    <row r="46" spans="1:7" x14ac:dyDescent="0.35">
      <c r="A46" s="2" t="s">
        <v>48</v>
      </c>
      <c r="B46" s="2">
        <v>10</v>
      </c>
      <c r="C46" s="2" t="b">
        <v>1</v>
      </c>
      <c r="D46" s="3">
        <f t="shared" si="0"/>
        <v>0.82955343384897007</v>
      </c>
      <c r="E46" s="3">
        <f t="shared" si="1"/>
        <v>1.0000000000000004</v>
      </c>
      <c r="F46" s="3">
        <f t="shared" si="14"/>
        <v>0.17044656615102993</v>
      </c>
      <c r="G46" s="2" t="s">
        <v>49</v>
      </c>
    </row>
    <row r="47" spans="1:7" x14ac:dyDescent="0.35">
      <c r="A47" s="2">
        <v>1</v>
      </c>
      <c r="B47" s="2" t="s">
        <v>50</v>
      </c>
      <c r="C47" s="2" t="b">
        <v>1</v>
      </c>
      <c r="D47" s="3">
        <f t="shared" si="0"/>
        <v>0.82955343384897007</v>
      </c>
      <c r="E47" s="3">
        <f t="shared" si="1"/>
        <v>1.0000000000000004</v>
      </c>
      <c r="F47" s="3">
        <f t="shared" si="14"/>
        <v>0.17044656615102993</v>
      </c>
      <c r="G47" s="2" t="s">
        <v>51</v>
      </c>
    </row>
    <row r="48" spans="1:7" x14ac:dyDescent="0.35">
      <c r="A48" s="2" t="s">
        <v>52</v>
      </c>
      <c r="B48" s="2">
        <v>10</v>
      </c>
      <c r="C48" s="2" t="b">
        <v>1</v>
      </c>
      <c r="D48" s="3" t="e">
        <f t="shared" si="0"/>
        <v>#VALUE!</v>
      </c>
      <c r="E48" s="3" t="e">
        <f t="shared" si="1"/>
        <v>#VALUE!</v>
      </c>
      <c r="F48" s="3" t="e">
        <f t="shared" si="14"/>
        <v>#VALUE!</v>
      </c>
      <c r="G48" s="2" t="s">
        <v>53</v>
      </c>
    </row>
    <row r="49" spans="1:7" x14ac:dyDescent="0.35">
      <c r="A49" s="6">
        <v>46040</v>
      </c>
      <c r="B49" s="6">
        <v>46071</v>
      </c>
      <c r="C49" s="2" t="b">
        <v>1</v>
      </c>
      <c r="D49" s="3">
        <f t="shared" si="0"/>
        <v>1</v>
      </c>
      <c r="E49" s="3" t="e">
        <f t="shared" si="1"/>
        <v>#NUM!</v>
      </c>
      <c r="F49" s="3">
        <f t="shared" si="14"/>
        <v>0</v>
      </c>
      <c r="G49" s="2" t="s">
        <v>54</v>
      </c>
    </row>
    <row r="50" spans="1:7" x14ac:dyDescent="0.35">
      <c r="B50" s="2">
        <v>10</v>
      </c>
      <c r="C50" s="2" t="b">
        <v>1</v>
      </c>
      <c r="D50" s="3">
        <f>_xlfn.T.DIST(,B50,C50)</f>
        <v>0.5</v>
      </c>
      <c r="E50" s="3" t="e">
        <f>_xlfn.T.INV(,B50)</f>
        <v>#NUM!</v>
      </c>
      <c r="F50" s="3">
        <f>_xlfn.T.DIST.RT(,B50)</f>
        <v>0.5</v>
      </c>
      <c r="G50" s="2" t="s">
        <v>55</v>
      </c>
    </row>
    <row r="51" spans="1:7" x14ac:dyDescent="0.35">
      <c r="A51" s="2">
        <v>1</v>
      </c>
      <c r="C51" s="2" t="b">
        <v>1</v>
      </c>
      <c r="D51" s="3" t="e">
        <f>_xlfn.T.DIST(A51,,C51)</f>
        <v>#NUM!</v>
      </c>
      <c r="E51" s="3" t="e">
        <f>_xlfn.T.INV(D51,)</f>
        <v>#NUM!</v>
      </c>
      <c r="F51" s="3" t="e">
        <f>_xlfn.T.DIST.RT(A51,)</f>
        <v>#NUM!</v>
      </c>
      <c r="G51" s="2" t="s">
        <v>56</v>
      </c>
    </row>
    <row r="52" spans="1:7" x14ac:dyDescent="0.35">
      <c r="A52" s="2">
        <v>1</v>
      </c>
      <c r="B52" s="2">
        <v>10</v>
      </c>
      <c r="D52" s="3">
        <f>_xlfn.T.DIST(A52,B52,)</f>
        <v>0.23036198922913867</v>
      </c>
      <c r="G52" s="2" t="s">
        <v>57</v>
      </c>
    </row>
    <row r="53" spans="1:7" x14ac:dyDescent="0.35">
      <c r="A53" s="7" t="s">
        <v>95</v>
      </c>
    </row>
    <row r="54" spans="1:7" x14ac:dyDescent="0.35">
      <c r="A54" s="2">
        <v>0.5</v>
      </c>
      <c r="B54" s="2">
        <v>10</v>
      </c>
      <c r="E54" s="15">
        <f t="shared" ref="E54:E77" si="15">_xlfn.T.INV(A54,B54)</f>
        <v>0</v>
      </c>
      <c r="G54" s="18" t="s">
        <v>61</v>
      </c>
    </row>
    <row r="55" spans="1:7" x14ac:dyDescent="0.35">
      <c r="A55" s="2">
        <v>2.5000000000000001E-2</v>
      </c>
      <c r="B55" s="2">
        <v>10</v>
      </c>
      <c r="E55" s="15">
        <f t="shared" si="15"/>
        <v>-2.2281388519862744</v>
      </c>
      <c r="G55" s="18" t="s">
        <v>62</v>
      </c>
    </row>
    <row r="56" spans="1:7" x14ac:dyDescent="0.35">
      <c r="A56" s="2">
        <v>0.97499999999999998</v>
      </c>
      <c r="B56" s="2">
        <v>10</v>
      </c>
      <c r="E56" s="15">
        <f t="shared" si="15"/>
        <v>2.2281388519862744</v>
      </c>
      <c r="G56" s="18" t="s">
        <v>63</v>
      </c>
    </row>
    <row r="57" spans="1:7" x14ac:dyDescent="0.35">
      <c r="A57" s="2">
        <v>0.05</v>
      </c>
      <c r="B57" s="2">
        <v>10</v>
      </c>
      <c r="E57" s="15">
        <f t="shared" si="15"/>
        <v>-1.812461122811676</v>
      </c>
      <c r="G57" s="18" t="s">
        <v>64</v>
      </c>
    </row>
    <row r="58" spans="1:7" x14ac:dyDescent="0.35">
      <c r="A58" s="2">
        <v>0.95</v>
      </c>
      <c r="B58" s="2">
        <v>10</v>
      </c>
      <c r="E58" s="15">
        <f t="shared" si="15"/>
        <v>1.8124611228116754</v>
      </c>
      <c r="G58" s="18" t="s">
        <v>65</v>
      </c>
    </row>
    <row r="59" spans="1:7" x14ac:dyDescent="0.35">
      <c r="A59" s="2">
        <v>0.5</v>
      </c>
      <c r="B59" s="2">
        <v>1</v>
      </c>
      <c r="E59" s="15">
        <f t="shared" si="15"/>
        <v>0</v>
      </c>
      <c r="G59" s="18" t="s">
        <v>66</v>
      </c>
    </row>
    <row r="60" spans="1:7" x14ac:dyDescent="0.35">
      <c r="A60" s="2">
        <v>0.5</v>
      </c>
      <c r="B60" s="2">
        <v>2</v>
      </c>
      <c r="E60" s="15">
        <f t="shared" si="15"/>
        <v>0</v>
      </c>
      <c r="G60" s="18" t="s">
        <v>18</v>
      </c>
    </row>
    <row r="61" spans="1:7" x14ac:dyDescent="0.35">
      <c r="A61" s="2">
        <v>0.5</v>
      </c>
      <c r="B61" s="2">
        <v>100</v>
      </c>
      <c r="E61" s="15">
        <f t="shared" si="15"/>
        <v>0</v>
      </c>
      <c r="G61" s="18" t="s">
        <v>19</v>
      </c>
    </row>
    <row r="62" spans="1:7" x14ac:dyDescent="0.35">
      <c r="A62" s="2">
        <v>0.5</v>
      </c>
      <c r="B62" s="4">
        <v>1000000</v>
      </c>
      <c r="E62" s="15">
        <f t="shared" si="15"/>
        <v>0</v>
      </c>
      <c r="G62" s="18" t="s">
        <v>20</v>
      </c>
    </row>
    <row r="63" spans="1:7" x14ac:dyDescent="0.35">
      <c r="A63" s="4">
        <v>9.9999999999999995E-8</v>
      </c>
      <c r="B63" s="2">
        <v>10</v>
      </c>
      <c r="E63" s="15">
        <f t="shared" si="15"/>
        <v>-12.492209687558763</v>
      </c>
      <c r="G63" s="18" t="s">
        <v>71</v>
      </c>
    </row>
    <row r="64" spans="1:7" x14ac:dyDescent="0.35">
      <c r="A64" s="4">
        <v>-9.9999999999999995E-8</v>
      </c>
      <c r="B64" s="2">
        <v>10</v>
      </c>
      <c r="E64" s="15" t="e">
        <f t="shared" si="15"/>
        <v>#NUM!</v>
      </c>
      <c r="G64" s="18" t="s">
        <v>92</v>
      </c>
    </row>
    <row r="65" spans="1:7" x14ac:dyDescent="0.35">
      <c r="A65" s="2">
        <v>1.0000001000000001</v>
      </c>
      <c r="B65" s="2">
        <v>10</v>
      </c>
      <c r="E65" s="15" t="e">
        <f t="shared" si="15"/>
        <v>#NUM!</v>
      </c>
      <c r="G65" s="18" t="s">
        <v>93</v>
      </c>
    </row>
    <row r="66" spans="1:7" x14ac:dyDescent="0.35">
      <c r="A66" s="2">
        <v>0.99999990000000005</v>
      </c>
      <c r="B66" s="2">
        <v>10</v>
      </c>
      <c r="E66" s="15">
        <f t="shared" si="15"/>
        <v>12.492209688254745</v>
      </c>
      <c r="G66" s="18" t="s">
        <v>94</v>
      </c>
    </row>
    <row r="67" spans="1:7" x14ac:dyDescent="0.35">
      <c r="A67" s="2">
        <v>0.999</v>
      </c>
      <c r="B67" s="2">
        <v>10</v>
      </c>
      <c r="E67" s="15">
        <f t="shared" si="15"/>
        <v>4.1437004940465894</v>
      </c>
      <c r="G67" s="18" t="s">
        <v>72</v>
      </c>
    </row>
    <row r="68" spans="1:7" x14ac:dyDescent="0.35">
      <c r="A68" s="2">
        <v>1</v>
      </c>
      <c r="B68" s="2">
        <v>10</v>
      </c>
      <c r="E68" s="15" t="e">
        <f t="shared" si="15"/>
        <v>#NUM!</v>
      </c>
      <c r="G68" s="18" t="s">
        <v>74</v>
      </c>
    </row>
    <row r="69" spans="1:7" x14ac:dyDescent="0.35">
      <c r="A69" s="2">
        <v>0</v>
      </c>
      <c r="B69" s="2">
        <v>10</v>
      </c>
      <c r="E69" s="15" t="e">
        <f t="shared" si="15"/>
        <v>#NUM!</v>
      </c>
      <c r="G69" s="18" t="s">
        <v>75</v>
      </c>
    </row>
    <row r="70" spans="1:7" x14ac:dyDescent="0.35">
      <c r="A70" s="2">
        <v>-0.5</v>
      </c>
      <c r="B70" s="2">
        <v>10</v>
      </c>
      <c r="E70" s="15" t="e">
        <f t="shared" si="15"/>
        <v>#NUM!</v>
      </c>
      <c r="G70" s="18" t="s">
        <v>76</v>
      </c>
    </row>
    <row r="71" spans="1:7" x14ac:dyDescent="0.35">
      <c r="A71" s="2">
        <v>1.5</v>
      </c>
      <c r="B71" s="2">
        <v>10</v>
      </c>
      <c r="E71" s="15" t="e">
        <f t="shared" si="15"/>
        <v>#NUM!</v>
      </c>
      <c r="G71" s="18" t="s">
        <v>77</v>
      </c>
    </row>
    <row r="72" spans="1:7" x14ac:dyDescent="0.35">
      <c r="A72" s="2" t="e">
        <f>1/0</f>
        <v>#DIV/0!</v>
      </c>
      <c r="B72" s="2">
        <v>10</v>
      </c>
      <c r="E72" s="15" t="e">
        <f t="shared" si="15"/>
        <v>#DIV/0!</v>
      </c>
      <c r="G72" s="18" t="s">
        <v>79</v>
      </c>
    </row>
    <row r="73" spans="1:7" x14ac:dyDescent="0.35">
      <c r="A73" s="2" t="b">
        <v>1</v>
      </c>
      <c r="B73" s="2">
        <v>10</v>
      </c>
      <c r="E73" s="15" t="e">
        <f t="shared" si="15"/>
        <v>#NUM!</v>
      </c>
      <c r="G73" s="18" t="s">
        <v>80</v>
      </c>
    </row>
    <row r="74" spans="1:7" x14ac:dyDescent="0.35">
      <c r="A74" s="2" t="b">
        <v>0</v>
      </c>
      <c r="B74" s="2">
        <v>10</v>
      </c>
      <c r="E74" s="15" t="e">
        <f t="shared" si="15"/>
        <v>#NUM!</v>
      </c>
      <c r="G74" s="18" t="s">
        <v>81</v>
      </c>
    </row>
    <row r="75" spans="1:7" x14ac:dyDescent="0.35">
      <c r="A75" s="2" t="s">
        <v>82</v>
      </c>
      <c r="B75" s="2">
        <v>10</v>
      </c>
      <c r="E75" s="15">
        <f t="shared" si="15"/>
        <v>0.69981206131243168</v>
      </c>
      <c r="G75" s="18" t="s">
        <v>83</v>
      </c>
    </row>
    <row r="76" spans="1:7" x14ac:dyDescent="0.35">
      <c r="A76" s="2">
        <v>0.75</v>
      </c>
      <c r="B76" s="2" t="s">
        <v>50</v>
      </c>
      <c r="E76" s="15">
        <f t="shared" si="15"/>
        <v>0.69981206131243168</v>
      </c>
      <c r="G76" s="18" t="s">
        <v>51</v>
      </c>
    </row>
    <row r="77" spans="1:7" x14ac:dyDescent="0.35">
      <c r="A77" s="2" t="s">
        <v>52</v>
      </c>
      <c r="B77" s="2">
        <v>10</v>
      </c>
      <c r="E77" s="15" t="e">
        <f t="shared" si="15"/>
        <v>#VALUE!</v>
      </c>
      <c r="G77" s="18" t="s">
        <v>84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7582-8FE8-421B-A296-DD233B1B0472}">
  <dimension ref="A1:E74"/>
  <sheetViews>
    <sheetView workbookViewId="0">
      <pane ySplit="1" topLeftCell="A2" activePane="bottomLeft" state="frozen"/>
      <selection pane="bottomLeft" activeCell="B62" sqref="B62"/>
    </sheetView>
  </sheetViews>
  <sheetFormatPr defaultRowHeight="14.5" x14ac:dyDescent="0.35"/>
  <cols>
    <col min="1" max="1" width="15.54296875" customWidth="1"/>
    <col min="2" max="2" width="12.54296875" bestFit="1" customWidth="1"/>
    <col min="3" max="4" width="11.7265625" bestFit="1" customWidth="1"/>
    <col min="5" max="5" width="48.54296875" bestFit="1" customWidth="1"/>
  </cols>
  <sheetData>
    <row r="1" spans="1:5" ht="15.5" x14ac:dyDescent="0.35">
      <c r="A1" s="8" t="s">
        <v>0</v>
      </c>
      <c r="B1" s="8" t="s">
        <v>1</v>
      </c>
      <c r="C1" s="8" t="s">
        <v>4</v>
      </c>
      <c r="D1" s="8" t="s">
        <v>60</v>
      </c>
      <c r="E1" s="8" t="s">
        <v>6</v>
      </c>
    </row>
    <row r="2" spans="1:5" x14ac:dyDescent="0.35">
      <c r="A2" s="2">
        <v>60</v>
      </c>
      <c r="B2" s="10">
        <v>1</v>
      </c>
      <c r="C2" s="9">
        <f t="shared" ref="C2:C41" si="0">_xlfn.T.DIST.2T(A2,B2)</f>
        <v>1.060934726524654E-2</v>
      </c>
      <c r="D2" s="12">
        <f t="shared" ref="D2:D41" si="1">_xlfn.T.INV.2T(C2,B2)</f>
        <v>60</v>
      </c>
      <c r="E2" s="13" t="s">
        <v>7</v>
      </c>
    </row>
    <row r="3" spans="1:5" x14ac:dyDescent="0.35">
      <c r="A3" s="2">
        <v>8</v>
      </c>
      <c r="B3" s="10">
        <v>3</v>
      </c>
      <c r="C3" s="9">
        <f t="shared" si="0"/>
        <v>4.0765775877854666E-3</v>
      </c>
      <c r="D3" s="12">
        <f t="shared" si="1"/>
        <v>8</v>
      </c>
      <c r="E3" s="13" t="s">
        <v>8</v>
      </c>
    </row>
    <row r="4" spans="1:5" x14ac:dyDescent="0.35">
      <c r="A4" s="2">
        <v>3</v>
      </c>
      <c r="B4" s="10">
        <v>5.2</v>
      </c>
      <c r="C4" s="9">
        <f t="shared" si="0"/>
        <v>3.0099247897462586E-2</v>
      </c>
      <c r="D4" s="12">
        <f t="shared" si="1"/>
        <v>2.9999999999999996</v>
      </c>
      <c r="E4" s="13" t="s">
        <v>85</v>
      </c>
    </row>
    <row r="5" spans="1:5" x14ac:dyDescent="0.35">
      <c r="A5" s="2">
        <v>-2</v>
      </c>
      <c r="B5" s="10">
        <v>5.2</v>
      </c>
      <c r="C5" s="9" t="e">
        <f t="shared" si="0"/>
        <v>#NUM!</v>
      </c>
      <c r="D5" s="12" t="e">
        <f t="shared" si="1"/>
        <v>#NUM!</v>
      </c>
      <c r="E5" s="13" t="s">
        <v>85</v>
      </c>
    </row>
    <row r="6" spans="1:5" x14ac:dyDescent="0.35">
      <c r="A6" s="2">
        <v>2.2999999999999998</v>
      </c>
      <c r="B6" s="10">
        <v>5.2</v>
      </c>
      <c r="C6" s="9">
        <f t="shared" si="0"/>
        <v>6.977246933203729E-2</v>
      </c>
      <c r="D6" s="12">
        <f t="shared" si="1"/>
        <v>2.3000000000000003</v>
      </c>
      <c r="E6" s="13" t="s">
        <v>85</v>
      </c>
    </row>
    <row r="7" spans="1:5" x14ac:dyDescent="0.35">
      <c r="A7" s="2">
        <v>1.959999998</v>
      </c>
      <c r="B7" s="10">
        <v>60</v>
      </c>
      <c r="C7" s="9">
        <f t="shared" si="0"/>
        <v>5.4644929975920957E-2</v>
      </c>
      <c r="D7" s="12">
        <f t="shared" si="1"/>
        <v>1.959999997999998</v>
      </c>
      <c r="E7" s="13" t="s">
        <v>9</v>
      </c>
    </row>
    <row r="8" spans="1:5" x14ac:dyDescent="0.35">
      <c r="A8" s="2">
        <v>1.96</v>
      </c>
      <c r="B8" s="10">
        <v>60</v>
      </c>
      <c r="C8" s="9">
        <f t="shared" si="0"/>
        <v>5.4644929736529339E-2</v>
      </c>
      <c r="D8" s="12">
        <f t="shared" si="1"/>
        <v>1.9600000000000002</v>
      </c>
      <c r="E8" s="13" t="s">
        <v>10</v>
      </c>
    </row>
    <row r="9" spans="1:5" x14ac:dyDescent="0.35">
      <c r="A9" s="2">
        <v>0</v>
      </c>
      <c r="B9" s="10">
        <v>10</v>
      </c>
      <c r="C9" s="9">
        <f t="shared" si="0"/>
        <v>1</v>
      </c>
      <c r="D9" s="12">
        <f t="shared" si="1"/>
        <v>0</v>
      </c>
      <c r="E9" s="13" t="s">
        <v>11</v>
      </c>
    </row>
    <row r="10" spans="1:5" x14ac:dyDescent="0.35">
      <c r="A10" s="2">
        <v>0</v>
      </c>
      <c r="B10" s="10">
        <v>10</v>
      </c>
      <c r="C10" s="9">
        <f t="shared" si="0"/>
        <v>1</v>
      </c>
      <c r="D10" s="12">
        <f t="shared" si="1"/>
        <v>0</v>
      </c>
      <c r="E10" s="13" t="s">
        <v>12</v>
      </c>
    </row>
    <row r="11" spans="1:5" x14ac:dyDescent="0.35">
      <c r="A11" s="2">
        <v>1</v>
      </c>
      <c r="B11" s="10">
        <v>10</v>
      </c>
      <c r="C11" s="9">
        <f t="shared" si="0"/>
        <v>0.34089313230205986</v>
      </c>
      <c r="D11" s="12">
        <f t="shared" si="1"/>
        <v>1.0000000000000004</v>
      </c>
      <c r="E11" s="13" t="s">
        <v>13</v>
      </c>
    </row>
    <row r="12" spans="1:5" x14ac:dyDescent="0.35">
      <c r="A12" s="2">
        <v>-1</v>
      </c>
      <c r="B12" s="10">
        <v>10</v>
      </c>
      <c r="C12" s="9" t="e">
        <f t="shared" si="0"/>
        <v>#NUM!</v>
      </c>
      <c r="D12" s="12" t="e">
        <f t="shared" si="1"/>
        <v>#NUM!</v>
      </c>
      <c r="E12" s="13" t="s">
        <v>14</v>
      </c>
    </row>
    <row r="13" spans="1:5" x14ac:dyDescent="0.35">
      <c r="A13" s="2">
        <v>2</v>
      </c>
      <c r="B13" s="10">
        <v>5</v>
      </c>
      <c r="C13" s="9">
        <f t="shared" si="0"/>
        <v>0.10193947882985836</v>
      </c>
      <c r="D13" s="12">
        <f t="shared" si="1"/>
        <v>1.9999999999999996</v>
      </c>
      <c r="E13" s="13" t="s">
        <v>15</v>
      </c>
    </row>
    <row r="14" spans="1:5" x14ac:dyDescent="0.35">
      <c r="A14" s="2">
        <v>-2</v>
      </c>
      <c r="B14" s="10">
        <v>5</v>
      </c>
      <c r="C14" s="9" t="e">
        <f t="shared" si="0"/>
        <v>#NUM!</v>
      </c>
      <c r="D14" s="12" t="e">
        <f t="shared" si="1"/>
        <v>#NUM!</v>
      </c>
      <c r="E14" s="13" t="s">
        <v>16</v>
      </c>
    </row>
    <row r="15" spans="1:5" x14ac:dyDescent="0.35">
      <c r="A15" s="2">
        <v>1</v>
      </c>
      <c r="B15" s="10">
        <v>1</v>
      </c>
      <c r="C15" s="9">
        <f t="shared" si="0"/>
        <v>0.50000000000000011</v>
      </c>
      <c r="D15" s="12">
        <f t="shared" si="1"/>
        <v>0.99999999999999956</v>
      </c>
      <c r="E15" s="13" t="s">
        <v>17</v>
      </c>
    </row>
    <row r="16" spans="1:5" x14ac:dyDescent="0.35">
      <c r="A16" s="2">
        <v>1</v>
      </c>
      <c r="B16" s="10">
        <v>2</v>
      </c>
      <c r="C16" s="9">
        <f t="shared" si="0"/>
        <v>0.42264973081037416</v>
      </c>
      <c r="D16" s="12">
        <f t="shared" si="1"/>
        <v>1.0000000000000004</v>
      </c>
      <c r="E16" s="13" t="s">
        <v>18</v>
      </c>
    </row>
    <row r="17" spans="1:5" x14ac:dyDescent="0.35">
      <c r="A17" s="2">
        <v>1</v>
      </c>
      <c r="B17" s="10">
        <v>100</v>
      </c>
      <c r="C17" s="9">
        <f t="shared" si="0"/>
        <v>0.31972415578412333</v>
      </c>
      <c r="D17" s="12">
        <f t="shared" si="1"/>
        <v>1.0000000000000004</v>
      </c>
      <c r="E17" s="13" t="s">
        <v>19</v>
      </c>
    </row>
    <row r="18" spans="1:5" x14ac:dyDescent="0.35">
      <c r="A18" s="2">
        <v>1</v>
      </c>
      <c r="B18" s="10">
        <v>1000</v>
      </c>
      <c r="C18" s="9">
        <f t="shared" si="0"/>
        <v>0.31755241808467233</v>
      </c>
      <c r="D18" s="12">
        <f t="shared" si="1"/>
        <v>0.99999999999994493</v>
      </c>
      <c r="E18" s="13" t="s">
        <v>20</v>
      </c>
    </row>
    <row r="19" spans="1:5" x14ac:dyDescent="0.35">
      <c r="A19" s="4">
        <v>-1000000</v>
      </c>
      <c r="B19" s="10">
        <v>10</v>
      </c>
      <c r="C19" s="9" t="e">
        <f t="shared" si="0"/>
        <v>#NUM!</v>
      </c>
      <c r="D19" s="12" t="e">
        <f t="shared" si="1"/>
        <v>#NUM!</v>
      </c>
      <c r="E19" s="13" t="s">
        <v>22</v>
      </c>
    </row>
    <row r="20" spans="1:5" x14ac:dyDescent="0.35">
      <c r="A20" s="4">
        <v>9.9999999999999995E-7</v>
      </c>
      <c r="B20" s="10">
        <v>10</v>
      </c>
      <c r="C20" s="9">
        <f t="shared" ref="C20:C24" si="2">_xlfn.T.DIST.2T(A20,B20)</f>
        <v>0.99999922178323208</v>
      </c>
      <c r="D20" s="12">
        <f t="shared" ref="D20:D24" si="3">_xlfn.T.INV.2T(C20,B20)</f>
        <v>9.9999999997955216E-7</v>
      </c>
      <c r="E20" s="17" t="s">
        <v>86</v>
      </c>
    </row>
    <row r="21" spans="1:5" x14ac:dyDescent="0.35">
      <c r="A21" s="4">
        <v>-9.9999999999999995E-7</v>
      </c>
      <c r="B21" s="10">
        <v>10</v>
      </c>
      <c r="C21" s="9" t="e">
        <f t="shared" si="2"/>
        <v>#NUM!</v>
      </c>
      <c r="D21" s="12" t="e">
        <f t="shared" si="3"/>
        <v>#NUM!</v>
      </c>
      <c r="E21" s="17" t="s">
        <v>96</v>
      </c>
    </row>
    <row r="22" spans="1:5" x14ac:dyDescent="0.35">
      <c r="A22" s="2">
        <v>2</v>
      </c>
      <c r="B22" s="4">
        <v>-1000000</v>
      </c>
      <c r="C22" s="9" t="e">
        <f t="shared" si="2"/>
        <v>#NUM!</v>
      </c>
      <c r="D22" s="12" t="e">
        <f t="shared" si="3"/>
        <v>#NUM!</v>
      </c>
      <c r="E22" s="17" t="s">
        <v>97</v>
      </c>
    </row>
    <row r="23" spans="1:5" x14ac:dyDescent="0.35">
      <c r="A23" s="2">
        <v>2</v>
      </c>
      <c r="B23" s="4">
        <v>9.9999999999999995E-7</v>
      </c>
      <c r="C23" s="9" t="e">
        <f t="shared" si="2"/>
        <v>#NUM!</v>
      </c>
      <c r="D23" s="12" t="e">
        <f t="shared" si="3"/>
        <v>#NUM!</v>
      </c>
      <c r="E23" s="17" t="s">
        <v>98</v>
      </c>
    </row>
    <row r="24" spans="1:5" x14ac:dyDescent="0.35">
      <c r="A24" s="2">
        <v>2</v>
      </c>
      <c r="B24" s="4">
        <v>-9.9999999999999995E-7</v>
      </c>
      <c r="C24" s="9" t="e">
        <f t="shared" si="2"/>
        <v>#NUM!</v>
      </c>
      <c r="D24" s="12" t="e">
        <f t="shared" si="3"/>
        <v>#NUM!</v>
      </c>
      <c r="E24" s="17" t="s">
        <v>99</v>
      </c>
    </row>
    <row r="25" spans="1:5" x14ac:dyDescent="0.35">
      <c r="A25" s="2">
        <v>1</v>
      </c>
      <c r="B25" s="10">
        <v>10.999999000000001</v>
      </c>
      <c r="C25" s="9">
        <f t="shared" si="0"/>
        <v>0.34089313230205986</v>
      </c>
      <c r="D25" s="12">
        <f t="shared" si="1"/>
        <v>1.0000000000000004</v>
      </c>
      <c r="E25" s="13" t="s">
        <v>23</v>
      </c>
    </row>
    <row r="26" spans="1:5" x14ac:dyDescent="0.35">
      <c r="A26" s="2">
        <v>1</v>
      </c>
      <c r="B26" s="10">
        <v>10.000000999999999</v>
      </c>
      <c r="C26" s="9">
        <f t="shared" si="0"/>
        <v>0.34089313230205986</v>
      </c>
      <c r="D26" s="12">
        <f t="shared" si="1"/>
        <v>1.0000000000000004</v>
      </c>
      <c r="E26" s="13" t="s">
        <v>24</v>
      </c>
    </row>
    <row r="27" spans="1:5" x14ac:dyDescent="0.35">
      <c r="A27" s="2">
        <v>1</v>
      </c>
      <c r="B27" s="10">
        <v>0</v>
      </c>
      <c r="C27" s="9" t="e">
        <f t="shared" si="0"/>
        <v>#NUM!</v>
      </c>
      <c r="D27" s="12" t="e">
        <f t="shared" si="1"/>
        <v>#NUM!</v>
      </c>
      <c r="E27" s="13" t="s">
        <v>25</v>
      </c>
    </row>
    <row r="28" spans="1:5" x14ac:dyDescent="0.35">
      <c r="A28" s="2">
        <v>1</v>
      </c>
      <c r="B28" s="10">
        <v>-1</v>
      </c>
      <c r="C28" s="9" t="e">
        <f t="shared" si="0"/>
        <v>#NUM!</v>
      </c>
      <c r="D28" s="12" t="e">
        <f t="shared" si="1"/>
        <v>#NUM!</v>
      </c>
      <c r="E28" s="13" t="s">
        <v>26</v>
      </c>
    </row>
    <row r="29" spans="1:5" x14ac:dyDescent="0.35">
      <c r="A29" s="2">
        <v>-1</v>
      </c>
      <c r="B29" s="10">
        <v>10</v>
      </c>
      <c r="C29" s="9" t="e">
        <f t="shared" si="0"/>
        <v>#NUM!</v>
      </c>
      <c r="D29" s="12" t="e">
        <f t="shared" si="1"/>
        <v>#NUM!</v>
      </c>
      <c r="E29" s="13" t="s">
        <v>27</v>
      </c>
    </row>
    <row r="30" spans="1:5" x14ac:dyDescent="0.35">
      <c r="B30" s="10">
        <v>10</v>
      </c>
      <c r="C30" s="9">
        <f t="shared" si="0"/>
        <v>1</v>
      </c>
      <c r="D30" s="12" t="e">
        <f>_xlfn.T.INV.2T(A30,B30)</f>
        <v>#NUM!</v>
      </c>
      <c r="E30" s="13" t="s">
        <v>28</v>
      </c>
    </row>
    <row r="31" spans="1:5" x14ac:dyDescent="0.35">
      <c r="A31" s="2">
        <v>1</v>
      </c>
      <c r="B31" s="11"/>
      <c r="C31" s="9" t="e">
        <f t="shared" si="0"/>
        <v>#NUM!</v>
      </c>
      <c r="D31" s="12" t="e">
        <f t="shared" si="1"/>
        <v>#NUM!</v>
      </c>
      <c r="E31" s="13" t="s">
        <v>29</v>
      </c>
    </row>
    <row r="32" spans="1:5" x14ac:dyDescent="0.35">
      <c r="A32" s="2" t="e">
        <f>1/0</f>
        <v>#DIV/0!</v>
      </c>
      <c r="B32" s="10">
        <v>10</v>
      </c>
      <c r="C32" s="9" t="e">
        <f t="shared" si="0"/>
        <v>#DIV/0!</v>
      </c>
      <c r="D32" s="12" t="e">
        <f t="shared" si="1"/>
        <v>#DIV/0!</v>
      </c>
      <c r="E32" s="13" t="s">
        <v>31</v>
      </c>
    </row>
    <row r="33" spans="1:5" x14ac:dyDescent="0.35">
      <c r="A33" s="2">
        <v>1</v>
      </c>
      <c r="B33" s="10" t="e">
        <f>NA()</f>
        <v>#N/A</v>
      </c>
      <c r="C33" s="9" t="e">
        <f t="shared" si="0"/>
        <v>#N/A</v>
      </c>
      <c r="D33" s="12" t="e">
        <f t="shared" si="1"/>
        <v>#N/A</v>
      </c>
      <c r="E33" s="13" t="s">
        <v>32</v>
      </c>
    </row>
    <row r="34" spans="1:5" x14ac:dyDescent="0.35">
      <c r="A34" s="2">
        <v>1</v>
      </c>
      <c r="B34" s="10">
        <v>10</v>
      </c>
      <c r="C34" s="9">
        <f t="shared" si="0"/>
        <v>0.34089313230205986</v>
      </c>
      <c r="D34" s="12">
        <f t="shared" si="1"/>
        <v>1.0000000000000004</v>
      </c>
      <c r="E34" s="13" t="s">
        <v>33</v>
      </c>
    </row>
    <row r="35" spans="1:5" x14ac:dyDescent="0.35">
      <c r="A35" s="2" t="b">
        <v>1</v>
      </c>
      <c r="B35" s="10">
        <v>10</v>
      </c>
      <c r="C35" s="9">
        <f t="shared" si="0"/>
        <v>0.34089313230205986</v>
      </c>
      <c r="D35" s="12">
        <f t="shared" si="1"/>
        <v>1.0000000000000004</v>
      </c>
      <c r="E35" s="13" t="s">
        <v>34</v>
      </c>
    </row>
    <row r="36" spans="1:5" x14ac:dyDescent="0.35">
      <c r="A36" s="2" t="b">
        <v>0</v>
      </c>
      <c r="B36" s="10">
        <v>10</v>
      </c>
      <c r="C36" s="9">
        <f t="shared" si="0"/>
        <v>1</v>
      </c>
      <c r="D36" s="12">
        <f t="shared" si="1"/>
        <v>0</v>
      </c>
      <c r="E36" s="13" t="s">
        <v>35</v>
      </c>
    </row>
    <row r="37" spans="1:5" x14ac:dyDescent="0.35">
      <c r="A37" s="2">
        <v>1</v>
      </c>
      <c r="B37" s="10" t="b">
        <v>1</v>
      </c>
      <c r="C37" s="9">
        <f t="shared" si="0"/>
        <v>0.50000000000000011</v>
      </c>
      <c r="D37" s="12">
        <f t="shared" si="1"/>
        <v>0.99999999999999956</v>
      </c>
      <c r="E37" s="13" t="s">
        <v>36</v>
      </c>
    </row>
    <row r="38" spans="1:5" x14ac:dyDescent="0.35">
      <c r="A38" s="2" t="s">
        <v>48</v>
      </c>
      <c r="B38" s="10">
        <v>10</v>
      </c>
      <c r="C38" s="9">
        <f t="shared" si="0"/>
        <v>0.34089313230205986</v>
      </c>
      <c r="D38" s="12">
        <f t="shared" si="1"/>
        <v>1.0000000000000004</v>
      </c>
      <c r="E38" s="13" t="s">
        <v>49</v>
      </c>
    </row>
    <row r="39" spans="1:5" x14ac:dyDescent="0.35">
      <c r="A39" s="2">
        <v>1</v>
      </c>
      <c r="B39" s="10" t="s">
        <v>50</v>
      </c>
      <c r="C39" s="9">
        <f t="shared" si="0"/>
        <v>0.34089313230205986</v>
      </c>
      <c r="D39" s="12">
        <f t="shared" si="1"/>
        <v>1.0000000000000004</v>
      </c>
      <c r="E39" s="13" t="s">
        <v>51</v>
      </c>
    </row>
    <row r="40" spans="1:5" x14ac:dyDescent="0.35">
      <c r="A40" s="2" t="s">
        <v>52</v>
      </c>
      <c r="B40" s="10">
        <v>10</v>
      </c>
      <c r="C40" s="9" t="e">
        <f t="shared" si="0"/>
        <v>#VALUE!</v>
      </c>
      <c r="D40" s="12" t="e">
        <f t="shared" si="1"/>
        <v>#VALUE!</v>
      </c>
      <c r="E40" s="13" t="s">
        <v>53</v>
      </c>
    </row>
    <row r="41" spans="1:5" x14ac:dyDescent="0.35">
      <c r="A41" s="6">
        <v>46040</v>
      </c>
      <c r="B41" s="6">
        <v>46071</v>
      </c>
      <c r="C41" s="9">
        <f t="shared" si="0"/>
        <v>0</v>
      </c>
      <c r="D41" s="12" t="e">
        <f t="shared" si="1"/>
        <v>#NUM!</v>
      </c>
      <c r="E41" s="13" t="s">
        <v>54</v>
      </c>
    </row>
    <row r="42" spans="1:5" x14ac:dyDescent="0.35">
      <c r="B42" s="10">
        <v>10</v>
      </c>
      <c r="C42" s="9">
        <f>_xlfn.T.DIST.2T(,B42)</f>
        <v>1</v>
      </c>
      <c r="D42" s="12" t="e">
        <f>_xlfn.T.INV.2T(,B42)</f>
        <v>#NUM!</v>
      </c>
      <c r="E42" s="13" t="s">
        <v>55</v>
      </c>
    </row>
    <row r="43" spans="1:5" x14ac:dyDescent="0.35">
      <c r="A43" s="2">
        <v>1</v>
      </c>
      <c r="B43" s="11"/>
      <c r="C43" s="9" t="e">
        <f>_xlfn.T.DIST.2T(A43,)</f>
        <v>#NUM!</v>
      </c>
      <c r="D43" s="12" t="e">
        <f>_xlfn.T.INV.2T(C43,)</f>
        <v>#NUM!</v>
      </c>
      <c r="E43" s="13" t="s">
        <v>56</v>
      </c>
    </row>
    <row r="44" spans="1:5" x14ac:dyDescent="0.35">
      <c r="B44" s="11"/>
      <c r="C44" s="9" t="e">
        <f>_xlfn.T.DIST.2T(,)</f>
        <v>#NUM!</v>
      </c>
      <c r="D44" s="12" t="e">
        <f>_xlfn.T.INV.2T(,)</f>
        <v>#NUM!</v>
      </c>
      <c r="E44" s="13" t="s">
        <v>58</v>
      </c>
    </row>
    <row r="45" spans="1:5" x14ac:dyDescent="0.35">
      <c r="C45" s="11"/>
      <c r="D45" s="11"/>
      <c r="E45" s="14"/>
    </row>
    <row r="46" spans="1:5" x14ac:dyDescent="0.35">
      <c r="A46" s="7" t="s">
        <v>95</v>
      </c>
      <c r="C46" s="11"/>
      <c r="D46" s="11"/>
      <c r="E46" s="14"/>
    </row>
    <row r="47" spans="1:5" x14ac:dyDescent="0.35">
      <c r="A47" s="2">
        <v>0.5</v>
      </c>
      <c r="B47" s="2">
        <v>10</v>
      </c>
      <c r="D47" s="12">
        <f t="shared" ref="D47:D74" si="4">_xlfn.T.INV.2T(A47,B47)</f>
        <v>0.69981206131243168</v>
      </c>
      <c r="E47" s="14" t="s">
        <v>61</v>
      </c>
    </row>
    <row r="48" spans="1:5" x14ac:dyDescent="0.35">
      <c r="A48" s="2">
        <v>2.5000000000000001E-2</v>
      </c>
      <c r="B48" s="2">
        <v>10</v>
      </c>
      <c r="D48" s="12">
        <f t="shared" si="4"/>
        <v>2.6337669157115977</v>
      </c>
      <c r="E48" s="14" t="s">
        <v>62</v>
      </c>
    </row>
    <row r="49" spans="1:5" x14ac:dyDescent="0.35">
      <c r="A49" s="2">
        <v>0.97499999999999998</v>
      </c>
      <c r="B49" s="2">
        <v>10</v>
      </c>
      <c r="D49" s="12">
        <f t="shared" si="4"/>
        <v>3.2130805650524792E-2</v>
      </c>
      <c r="E49" s="14" t="s">
        <v>63</v>
      </c>
    </row>
    <row r="50" spans="1:5" x14ac:dyDescent="0.35">
      <c r="A50" s="2">
        <v>0.05</v>
      </c>
      <c r="B50" s="2">
        <v>10</v>
      </c>
      <c r="D50" s="12">
        <f t="shared" si="4"/>
        <v>2.2281388519862744</v>
      </c>
      <c r="E50" s="14" t="s">
        <v>64</v>
      </c>
    </row>
    <row r="51" spans="1:5" x14ac:dyDescent="0.35">
      <c r="A51" s="2">
        <v>0.95</v>
      </c>
      <c r="B51" s="2">
        <v>10</v>
      </c>
      <c r="D51" s="12">
        <f t="shared" si="4"/>
        <v>6.4298146144283072E-2</v>
      </c>
      <c r="E51" s="14" t="s">
        <v>65</v>
      </c>
    </row>
    <row r="52" spans="1:5" x14ac:dyDescent="0.35">
      <c r="A52" s="2">
        <v>0.5</v>
      </c>
      <c r="B52" s="2">
        <v>1</v>
      </c>
      <c r="D52" s="12">
        <f t="shared" si="4"/>
        <v>1</v>
      </c>
      <c r="E52" s="14" t="s">
        <v>66</v>
      </c>
    </row>
    <row r="53" spans="1:5" x14ac:dyDescent="0.35">
      <c r="A53" s="2">
        <v>0.5</v>
      </c>
      <c r="B53" s="2">
        <v>2</v>
      </c>
      <c r="D53" s="12">
        <f t="shared" si="4"/>
        <v>0.81649658092772592</v>
      </c>
      <c r="E53" s="14" t="s">
        <v>18</v>
      </c>
    </row>
    <row r="54" spans="1:5" x14ac:dyDescent="0.35">
      <c r="A54" s="2">
        <v>0.5</v>
      </c>
      <c r="B54" s="2">
        <v>100</v>
      </c>
      <c r="D54" s="12">
        <f t="shared" si="4"/>
        <v>0.67695104301146958</v>
      </c>
      <c r="E54" s="14" t="s">
        <v>19</v>
      </c>
    </row>
    <row r="55" spans="1:5" x14ac:dyDescent="0.35">
      <c r="A55" s="2">
        <v>0.5</v>
      </c>
      <c r="B55" s="2">
        <v>1000</v>
      </c>
      <c r="D55" s="12">
        <f t="shared" si="4"/>
        <v>0.67473516460701199</v>
      </c>
      <c r="E55" s="14" t="s">
        <v>20</v>
      </c>
    </row>
    <row r="56" spans="1:5" x14ac:dyDescent="0.35">
      <c r="A56" s="2">
        <v>0.97499999999999998</v>
      </c>
      <c r="B56" s="2">
        <v>1</v>
      </c>
      <c r="D56" s="12">
        <f t="shared" si="4"/>
        <v>3.9290107007669703E-2</v>
      </c>
      <c r="E56" s="14" t="s">
        <v>67</v>
      </c>
    </row>
    <row r="57" spans="1:5" x14ac:dyDescent="0.35">
      <c r="A57" s="2">
        <v>2.5000000000000001E-2</v>
      </c>
      <c r="B57" s="2">
        <v>1</v>
      </c>
      <c r="D57" s="12">
        <f t="shared" si="4"/>
        <v>25.451699579357079</v>
      </c>
      <c r="E57" s="14" t="s">
        <v>68</v>
      </c>
    </row>
    <row r="58" spans="1:5" x14ac:dyDescent="0.35">
      <c r="A58" s="2">
        <v>0.75</v>
      </c>
      <c r="B58" s="2">
        <v>2.9</v>
      </c>
      <c r="D58" s="12">
        <f t="shared" si="4"/>
        <v>0.36514837167011072</v>
      </c>
      <c r="E58" s="14" t="s">
        <v>69</v>
      </c>
    </row>
    <row r="59" spans="1:5" x14ac:dyDescent="0.35">
      <c r="A59" s="2">
        <v>0.75</v>
      </c>
      <c r="B59" s="2">
        <v>2.1</v>
      </c>
      <c r="D59" s="12">
        <f t="shared" si="4"/>
        <v>0.36514837167011072</v>
      </c>
      <c r="E59" s="14" t="s">
        <v>70</v>
      </c>
    </row>
    <row r="60" spans="1:5" x14ac:dyDescent="0.35">
      <c r="A60" s="4">
        <v>9.9999999999999995E-8</v>
      </c>
      <c r="B60" s="2">
        <v>10</v>
      </c>
      <c r="D60" s="12">
        <f t="shared" si="4"/>
        <v>13.439411759570024</v>
      </c>
      <c r="E60" s="14" t="s">
        <v>101</v>
      </c>
    </row>
    <row r="61" spans="1:5" x14ac:dyDescent="0.35">
      <c r="A61" s="4">
        <v>-9.9999999999999995E-8</v>
      </c>
      <c r="B61" s="2">
        <v>10</v>
      </c>
      <c r="D61" s="12" t="e">
        <f t="shared" si="4"/>
        <v>#NUM!</v>
      </c>
      <c r="E61" s="14" t="s">
        <v>100</v>
      </c>
    </row>
    <row r="62" spans="1:5" x14ac:dyDescent="0.35">
      <c r="A62" s="2">
        <v>0.99999990000000005</v>
      </c>
      <c r="B62" s="2">
        <v>10</v>
      </c>
      <c r="D62" s="12">
        <f t="shared" si="4"/>
        <v>1.2849890167888884E-7</v>
      </c>
      <c r="E62" s="14" t="s">
        <v>94</v>
      </c>
    </row>
    <row r="63" spans="1:5" x14ac:dyDescent="0.35">
      <c r="A63" s="2">
        <v>0.99990000000000001</v>
      </c>
      <c r="B63" s="2">
        <v>10</v>
      </c>
      <c r="D63" s="12">
        <f t="shared" si="4"/>
        <v>1.2849890213550156E-4</v>
      </c>
      <c r="E63" s="14" t="s">
        <v>73</v>
      </c>
    </row>
    <row r="64" spans="1:5" x14ac:dyDescent="0.35">
      <c r="A64" s="2">
        <v>1</v>
      </c>
      <c r="B64" s="2">
        <v>10</v>
      </c>
      <c r="D64" s="12">
        <f t="shared" si="4"/>
        <v>0</v>
      </c>
      <c r="E64" s="14" t="s">
        <v>74</v>
      </c>
    </row>
    <row r="65" spans="1:5" x14ac:dyDescent="0.35">
      <c r="A65" s="2">
        <v>0</v>
      </c>
      <c r="B65" s="2">
        <v>10</v>
      </c>
      <c r="D65" s="12" t="e">
        <f t="shared" si="4"/>
        <v>#NUM!</v>
      </c>
      <c r="E65" s="14" t="s">
        <v>75</v>
      </c>
    </row>
    <row r="66" spans="1:5" x14ac:dyDescent="0.35">
      <c r="A66" s="2">
        <v>-0.5</v>
      </c>
      <c r="B66" s="2">
        <v>10</v>
      </c>
      <c r="D66" s="12" t="e">
        <f t="shared" si="4"/>
        <v>#NUM!</v>
      </c>
      <c r="E66" s="14" t="s">
        <v>76</v>
      </c>
    </row>
    <row r="67" spans="1:5" x14ac:dyDescent="0.35">
      <c r="B67" s="2">
        <v>10</v>
      </c>
      <c r="D67" s="12" t="e">
        <f t="shared" si="4"/>
        <v>#NUM!</v>
      </c>
      <c r="E67" s="14" t="s">
        <v>78</v>
      </c>
    </row>
    <row r="68" spans="1:5" x14ac:dyDescent="0.35">
      <c r="A68" s="2" t="e">
        <f>1/0</f>
        <v>#DIV/0!</v>
      </c>
      <c r="B68" s="2">
        <v>10</v>
      </c>
      <c r="D68" s="12" t="e">
        <f t="shared" si="4"/>
        <v>#DIV/0!</v>
      </c>
      <c r="E68" s="14" t="s">
        <v>79</v>
      </c>
    </row>
    <row r="69" spans="1:5" x14ac:dyDescent="0.35">
      <c r="A69" s="2">
        <v>0.75</v>
      </c>
      <c r="B69" s="2" t="e">
        <f>NA()</f>
        <v>#N/A</v>
      </c>
      <c r="D69" s="12" t="e">
        <f t="shared" si="4"/>
        <v>#N/A</v>
      </c>
      <c r="E69" s="14" t="s">
        <v>32</v>
      </c>
    </row>
    <row r="70" spans="1:5" x14ac:dyDescent="0.35">
      <c r="A70" s="2" t="b">
        <v>1</v>
      </c>
      <c r="B70" s="2">
        <v>10</v>
      </c>
      <c r="D70" s="12">
        <f t="shared" si="4"/>
        <v>0</v>
      </c>
      <c r="E70" s="14" t="s">
        <v>80</v>
      </c>
    </row>
    <row r="71" spans="1:5" x14ac:dyDescent="0.35">
      <c r="A71" s="2" t="b">
        <v>0</v>
      </c>
      <c r="B71" s="2">
        <v>10</v>
      </c>
      <c r="D71" s="12" t="e">
        <f t="shared" si="4"/>
        <v>#NUM!</v>
      </c>
      <c r="E71" s="14" t="s">
        <v>81</v>
      </c>
    </row>
    <row r="72" spans="1:5" x14ac:dyDescent="0.35">
      <c r="A72" s="2" t="s">
        <v>82</v>
      </c>
      <c r="B72" s="2">
        <v>10</v>
      </c>
      <c r="D72" s="12">
        <f t="shared" si="4"/>
        <v>0.32755826495259194</v>
      </c>
      <c r="E72" s="14" t="s">
        <v>83</v>
      </c>
    </row>
    <row r="73" spans="1:5" x14ac:dyDescent="0.35">
      <c r="A73" s="2">
        <v>0.75</v>
      </c>
      <c r="B73" s="2" t="s">
        <v>50</v>
      </c>
      <c r="D73" s="12">
        <f t="shared" si="4"/>
        <v>0.32755826495259194</v>
      </c>
      <c r="E73" s="14" t="s">
        <v>51</v>
      </c>
    </row>
    <row r="74" spans="1:5" x14ac:dyDescent="0.35">
      <c r="A74" s="2" t="s">
        <v>52</v>
      </c>
      <c r="B74" s="2">
        <v>10</v>
      </c>
      <c r="D74" s="12" t="e">
        <f t="shared" si="4"/>
        <v>#VALUE!</v>
      </c>
      <c r="E74" s="1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T.DIST T.INV T.DIST.RT</vt:lpstr>
      <vt:lpstr>T.DIST.2T T.INV.2T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Minsut</cp:lastModifiedBy>
  <dcterms:created xsi:type="dcterms:W3CDTF">2026-05-19T13:55:00Z</dcterms:created>
  <dcterms:modified xsi:type="dcterms:W3CDTF">2026-08-03T13:20:10Z</dcterms:modified>
</cp:coreProperties>
</file>