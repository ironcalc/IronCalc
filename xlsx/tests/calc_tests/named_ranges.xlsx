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g-ac/Downloads/"/>
    </mc:Choice>
  </mc:AlternateContent>
  <xr:revisionPtr revIDLastSave="0" documentId="8_{FD923B89-50D9-1F41-84EE-50A57EE13461}" xr6:coauthVersionLast="47" xr6:coauthVersionMax="47" xr10:uidLastSave="{00000000-0000-0000-0000-000000000000}"/>
  <bookViews>
    <workbookView xWindow="-11780" yWindow="-28300" windowWidth="51200" windowHeight="28300" xr2:uid="{77C5B8DF-38AB-9940-9A87-3D84E35BA886}"/>
  </bookViews>
  <sheets>
    <sheet name="Tests" sheetId="1" r:id="rId1"/>
    <sheet name="Inputs" sheetId="2" r:id="rId2"/>
    <sheet name="Data" sheetId="3" r:id="rId3"/>
    <sheet name="Q1 Sales" sheetId="4" r:id="rId4"/>
    <sheet name="Names" sheetId="5" r:id="rId5"/>
  </sheets>
  <definedNames>
    <definedName name="_Helper" comment="Name starting with _">Inputs!$B$10</definedName>
    <definedName name="AvgPrice" comment="Formula">AVERAGE(Data!$D$2:$D$21)</definedName>
    <definedName name="BonusAmount" comment="Single cell">Inputs!$B$10</definedName>
    <definedName name="CommissionTable" comment="2D range">Inputs!$D$2:$E$5</definedName>
    <definedName name="CommRates" comment="Column range">Inputs!$E$2:$E$5</definedName>
    <definedName name="CommRegions" comment="Column range">Inputs!$D$2:$D$5</definedName>
    <definedName name="CompanyName" comment="Single cell (text)">Inputs!$B$7</definedName>
    <definedName name="ConstGreeting" comment="Constant (text)">"Hello"</definedName>
    <definedName name="ConstPi" comment="Constant (number)">3.14159</definedName>
    <definedName name="ConstVAT" comment="Constant (number)">0.2</definedName>
    <definedName name="DiscountRate" comment="Single cell">Inputs!$B$3</definedName>
    <definedName name="DoubleTarget" comment="Formula">Inputs!$B$6*2</definedName>
    <definedName name="DynRevenue" comment="Dynamic (INDEX)">Data!$E$2:INDEX(Data!$E:$E,COUNTA(Data!$A:$A))</definedName>
    <definedName name="DynUnits" comment="Dynamic (OFFSET)">OFFSET(Data!$C$2,0,0,COUNTA(Data!$C:$C)-1,1)</definedName>
    <definedName name="EmptyRange" comment="Empty range">Data!$G$2:$G$5</definedName>
    <definedName name="FirstFiveUnits" comment="Partial range">Data!$C$2:$C$6</definedName>
    <definedName name="FirstRegion" comment="Single cell">Data!$A$2</definedName>
    <definedName name="FXRate" comment="Single cell">Inputs!$B$4</definedName>
    <definedName name="GrossWithTax" comment="Name referencing names">TotalRevenue*(1+TaxRate)</definedName>
    <definedName name="HeaderRow" comment="Whole row">Data!$1:$1</definedName>
    <definedName name="HiddenName" comment="Hidden name" hidden="1">Inputs!$B$4</definedName>
    <definedName name="LastFiveUnits" comment="Partial range">Data!$C$17:$C$21</definedName>
    <definedName name="LastRevenue" comment="Single cell">Data!$E$21</definedName>
    <definedName name="LocalBonus" comment="Sheet scope (Tests)" localSheetId="0">Inputs!$B$10</definedName>
    <definedName name="lowercasename" comment="Lowercase name">Inputs!$B$8</definedName>
    <definedName name="Multiplier" comment="Single cell">Inputs!$B$9</definedName>
    <definedName name="Prices" comment="Column range">Data!$D$2:$D$21</definedName>
    <definedName name="Products" comment="Column range">Data!$B$2:$B$21</definedName>
    <definedName name="Q1Months" comment="Range on sheet with space">'Q1 Sales'!$A$2:$A$4</definedName>
    <definedName name="Q1Total" comment="Cell on sheet with space">'Q1 Sales'!$B$5</definedName>
    <definedName name="Q1Values" comment="Range on sheet with space">'Q1 Sales'!$B$2:$B$4</definedName>
    <definedName name="Rate.Commission" comment="Name with dot">Inputs!$E$2</definedName>
    <definedName name="Regions" comment="Column range">Data!$A$2:$A$21</definedName>
    <definedName name="Revenue" comment="Column range">Data!$E$2:$E$21</definedName>
    <definedName name="RevenueAfterTax" comment="Formula">SUM(Data!$E$2:$E$21)*(1-Inputs!$B$2)</definedName>
    <definedName name="Sales_2024" comment="Name with underscore">Data!$E$2:$E$11</definedName>
    <definedName name="SalesHeader" comment="Row range">Data!$A$1:$E$1</definedName>
    <definedName name="SalesTable" comment="2D range">Data!$A$2:$E$21</definedName>
    <definedName name="SalesTarget" comment="Single cell">Inputs!$B$6</definedName>
    <definedName name="Scope_Test" comment="Sheet scope (Data)" localSheetId="2">Data!$C$2</definedName>
    <definedName name="Scope_Test" comment="Workbook scope (clashes with sheet scope)">Inputs!$B$9</definedName>
    <definedName name="StartDate" comment="Single cell (date)">Inputs!$B$5</definedName>
    <definedName name="TaxRate" comment="Single cell">Inputs!$B$2</definedName>
    <definedName name="This_Is_A_Very_Long_Named_Range_For_Testing" comment="Long name">Data!$C$2:$C$21</definedName>
    <definedName name="Threshold" comment="Single cell">Inputs!$B$8</definedName>
    <definedName name="TopLeftBlock" comment="2D partial range">Data!$C$2:$D$4</definedName>
    <definedName name="TotalRevenue" comment="Formula">SUM(Data!$E$2:$E$21)</definedName>
    <definedName name="UnionRange" comment="Union (multi-area)">Data!$C$2:$C$4,Data!$C$19:$C$21</definedName>
    <definedName name="Units" comment="Column range">Data!$C$2:$C$21</definedName>
    <definedName name="UnitsColumn" comment="Whole column">Data!$C:$C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6" i="1" l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2" i="1"/>
  <c r="G53" i="1"/>
  <c r="G54" i="1"/>
  <c r="G55" i="1"/>
  <c r="G56" i="1"/>
  <c r="G57" i="1"/>
  <c r="G58" i="1"/>
  <c r="G59" i="1"/>
  <c r="G60" i="1"/>
  <c r="G61" i="1"/>
  <c r="G62" i="1"/>
  <c r="G63" i="1"/>
  <c r="G5" i="1"/>
  <c r="E5" i="1"/>
  <c r="F5" i="1"/>
  <c r="E6" i="1"/>
  <c r="F6" i="1"/>
  <c r="E7" i="1"/>
  <c r="F7" i="1"/>
  <c r="E8" i="1"/>
  <c r="F8" i="1"/>
  <c r="E9" i="1"/>
  <c r="F9" i="1"/>
  <c r="E10" i="1"/>
  <c r="F10" i="1"/>
  <c r="E11" i="1"/>
  <c r="F11" i="1"/>
  <c r="E12" i="1"/>
  <c r="F12" i="1"/>
  <c r="E13" i="1"/>
  <c r="F13" i="1"/>
  <c r="E14" i="1"/>
  <c r="F14" i="1"/>
  <c r="E15" i="1"/>
  <c r="F15" i="1"/>
  <c r="E16" i="1"/>
  <c r="F16" i="1"/>
  <c r="E17" i="1"/>
  <c r="F17" i="1"/>
  <c r="E18" i="1"/>
  <c r="F18" i="1"/>
  <c r="E19" i="1"/>
  <c r="F19" i="1"/>
  <c r="E20" i="1"/>
  <c r="F20" i="1"/>
  <c r="E21" i="1"/>
  <c r="F21" i="1"/>
  <c r="E22" i="1" a="1"/>
  <c r="F22" i="1"/>
  <c r="E23" i="1"/>
  <c r="F23" i="1"/>
  <c r="E24" i="1"/>
  <c r="F24" i="1"/>
  <c r="E25" i="1"/>
  <c r="F25" i="1"/>
  <c r="E26" i="1"/>
  <c r="F26" i="1"/>
  <c r="E27" i="1"/>
  <c r="F27" i="1"/>
  <c r="E28" i="1"/>
  <c r="F28" i="1"/>
  <c r="E29" i="1"/>
  <c r="F29" i="1"/>
  <c r="E30" i="1"/>
  <c r="F30" i="1"/>
  <c r="E31" i="1"/>
  <c r="F31" i="1"/>
  <c r="E32" i="1"/>
  <c r="F32" i="1"/>
  <c r="E33" i="1"/>
  <c r="F33" i="1"/>
  <c r="E34" i="1"/>
  <c r="F34" i="1"/>
  <c r="E35" i="1"/>
  <c r="F35" i="1"/>
  <c r="E36" i="1"/>
  <c r="F36" i="1"/>
  <c r="E37" i="1"/>
  <c r="F37" i="1"/>
  <c r="E38" i="1"/>
  <c r="F38" i="1"/>
  <c r="E39" i="1"/>
  <c r="F39" i="1"/>
  <c r="E40" i="1"/>
  <c r="F40" i="1"/>
  <c r="E41" i="1"/>
  <c r="F41" i="1"/>
  <c r="E42" i="1"/>
  <c r="F42" i="1"/>
  <c r="E43" i="1"/>
  <c r="F43" i="1"/>
  <c r="E44" i="1"/>
  <c r="F44" i="1"/>
  <c r="E45" i="1"/>
  <c r="F45" i="1"/>
  <c r="E46" i="1" a="1"/>
  <c r="F46" i="1"/>
  <c r="E47" i="1" a="1"/>
  <c r="F47" i="1"/>
  <c r="E48" i="1" a="1"/>
  <c r="F48" i="1"/>
  <c r="E49" i="1" a="1"/>
  <c r="F49" i="1"/>
  <c r="E50" i="1" a="1"/>
  <c r="F50" i="1"/>
  <c r="E51" i="1"/>
  <c r="G51" i="1" s="1"/>
  <c r="B2" i="1" s="1"/>
  <c r="F51" i="1"/>
  <c r="E52" i="1"/>
  <c r="F52" i="1"/>
  <c r="E53" i="1"/>
  <c r="F53" i="1"/>
  <c r="E54" i="1"/>
  <c r="F54" i="1"/>
  <c r="E55" i="1"/>
  <c r="F55" i="1"/>
  <c r="E56" i="1"/>
  <c r="F56" i="1"/>
  <c r="E57" i="1"/>
  <c r="F57" i="1"/>
  <c r="E58" i="1"/>
  <c r="F58" i="1"/>
  <c r="E59" i="1"/>
  <c r="F59" i="1"/>
  <c r="E60" i="1"/>
  <c r="F60" i="1"/>
  <c r="E61" i="1"/>
  <c r="F61" i="1"/>
  <c r="E62" i="1"/>
  <c r="F62" i="1"/>
  <c r="E63" i="1"/>
  <c r="F63" i="1"/>
  <c r="B5" i="4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" i="3"/>
  <c r="B5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<sst xmlns="http://schemas.openxmlformats.org/spreadsheetml/2006/main" count="462" uniqueCount="246">
  <si>
    <t>Parameter</t>
  </si>
  <si>
    <t>Value</t>
  </si>
  <si>
    <t>TaxRate</t>
  </si>
  <si>
    <t>DiscountRate</t>
  </si>
  <si>
    <t>FXRate</t>
  </si>
  <si>
    <t>StartDate</t>
  </si>
  <si>
    <t>SalesTarget</t>
  </si>
  <si>
    <t>CompanyName</t>
  </si>
  <si>
    <t>Acme Corp</t>
  </si>
  <si>
    <t>Threshold</t>
  </si>
  <si>
    <t>Multiplier</t>
  </si>
  <si>
    <t>BonusAmount</t>
  </si>
  <si>
    <t>Region</t>
  </si>
  <si>
    <t>Commission</t>
  </si>
  <si>
    <t>North</t>
  </si>
  <si>
    <t>South</t>
  </si>
  <si>
    <t>East</t>
  </si>
  <si>
    <t>West</t>
  </si>
  <si>
    <t>Product</t>
  </si>
  <si>
    <t>Units</t>
  </si>
  <si>
    <t>Price</t>
  </si>
  <si>
    <t>Revenue</t>
  </si>
  <si>
    <t>A</t>
  </si>
  <si>
    <t>B</t>
  </si>
  <si>
    <t>C</t>
  </si>
  <si>
    <t>Empty (for COUNTBLANK)</t>
  </si>
  <si>
    <t>Month</t>
  </si>
  <si>
    <t>Sales</t>
  </si>
  <si>
    <t>Jan</t>
  </si>
  <si>
    <t>Feb</t>
  </si>
  <si>
    <t>Mar</t>
  </si>
  <si>
    <t>Total</t>
  </si>
  <si>
    <t>IronCalc #1581 – Named Ranges Test</t>
  </si>
  <si>
    <t>Passed</t>
  </si>
  <si>
    <t>Result uses the named range; Expected uses the equivalent direct cell reference. Status = PASS when they match.</t>
  </si>
  <si>
    <t>#</t>
  </si>
  <si>
    <t>Category</t>
  </si>
  <si>
    <t>Name(s) tested</t>
  </si>
  <si>
    <t>Formula</t>
  </si>
  <si>
    <t>Result (via name)</t>
  </si>
  <si>
    <t>Expected (direct ref)</t>
  </si>
  <si>
    <t>Status</t>
  </si>
  <si>
    <t>Single cell</t>
  </si>
  <si>
    <t>=TaxRate</t>
  </si>
  <si>
    <t>=DiscountRate</t>
  </si>
  <si>
    <t>=FXRate*100</t>
  </si>
  <si>
    <t>Single cell (date)</t>
  </si>
  <si>
    <t>=StartDate+30</t>
  </si>
  <si>
    <t>=SalesTarget</t>
  </si>
  <si>
    <t>Single cell (text)</t>
  </si>
  <si>
    <t>=CompanyName</t>
  </si>
  <si>
    <t>=Threshold</t>
  </si>
  <si>
    <t>Multiplier, BonusAmount</t>
  </si>
  <si>
    <t>=Multiplier*BonusAmount</t>
  </si>
  <si>
    <t>FirstRegion</t>
  </si>
  <si>
    <t>=FirstRegion</t>
  </si>
  <si>
    <t>LastRevenue</t>
  </si>
  <si>
    <t>=LastRevenue</t>
  </si>
  <si>
    <t>Range aggregate</t>
  </si>
  <si>
    <t>=SUM(Units)</t>
  </si>
  <si>
    <t>Prices</t>
  </si>
  <si>
    <t>=AVERAGE(Prices)</t>
  </si>
  <si>
    <t>=MAX(Revenue)</t>
  </si>
  <si>
    <t>=MIN(Revenue)</t>
  </si>
  <si>
    <t>=COUNT(Units)</t>
  </si>
  <si>
    <t>Regions</t>
  </si>
  <si>
    <t>=COUNTA(Regions)</t>
  </si>
  <si>
    <t>Units, Prices</t>
  </si>
  <si>
    <t>=SUMPRODUCT(Units,Prices)</t>
  </si>
  <si>
    <t>Array math</t>
  </si>
  <si>
    <t>=SUM(Units*Prices)</t>
  </si>
  <si>
    <t>Conditional</t>
  </si>
  <si>
    <t>Regions, Revenue</t>
  </si>
  <si>
    <t>=SUMIF(Regions,"North",Revenue)</t>
  </si>
  <si>
    <t>Products</t>
  </si>
  <si>
    <t>=COUNTIF(Products,"A")</t>
  </si>
  <si>
    <t>Regions, Units</t>
  </si>
  <si>
    <t>=AVERAGEIF(Regions,"East",Units)</t>
  </si>
  <si>
    <t>Revenue, Regions, Products</t>
  </si>
  <si>
    <t>=SUMIFS(Revenue,Regions,"West",Products,"B")</t>
  </si>
  <si>
    <t>Units, Threshold</t>
  </si>
  <si>
    <t>=COUNTIFS(Units,"&gt;"&amp;Threshold)</t>
  </si>
  <si>
    <t>Lookup</t>
  </si>
  <si>
    <t>CommissionTable</t>
  </si>
  <si>
    <t>=VLOOKUP("South",CommissionTable,2,FALSE)</t>
  </si>
  <si>
    <t>CommRates, CommRegions</t>
  </si>
  <si>
    <t>=INDEX(CommRates,MATCH("East",CommRegions,0))</t>
  </si>
  <si>
    <t>CommRegions, CommRates</t>
  </si>
  <si>
    <t>=XLOOKUP("West",CommRegions,CommRates)</t>
  </si>
  <si>
    <t>SalesTable</t>
  </si>
  <si>
    <t>=INDEX(SalesTable,5,2)</t>
  </si>
  <si>
    <t>SalesHeader</t>
  </si>
  <si>
    <t>=MATCH("Revenue",SalesHeader,0)</t>
  </si>
  <si>
    <t>Range dimensions</t>
  </si>
  <si>
    <t>=ROWS(SalesTable)</t>
  </si>
  <si>
    <t>=COLUMNS(SalesTable)</t>
  </si>
  <si>
    <t>Partial range</t>
  </si>
  <si>
    <t>FirstFiveUnits</t>
  </si>
  <si>
    <t>=SUM(FirstFiveUnits)</t>
  </si>
  <si>
    <t>LastFiveUnits</t>
  </si>
  <si>
    <t>=SUM(LastFiveUnits)</t>
  </si>
  <si>
    <t>2D partial range</t>
  </si>
  <si>
    <t>TopLeftBlock</t>
  </si>
  <si>
    <t>=SUM(TopLeftBlock)</t>
  </si>
  <si>
    <t>Whole column</t>
  </si>
  <si>
    <t>UnitsColumn</t>
  </si>
  <si>
    <t>=SUM(UnitsColumn)</t>
  </si>
  <si>
    <t>Whole row</t>
  </si>
  <si>
    <t>HeaderRow</t>
  </si>
  <si>
    <t>=COUNTA(HeaderRow)</t>
  </si>
  <si>
    <t>Sheet with space</t>
  </si>
  <si>
    <t>Q1Values</t>
  </si>
  <si>
    <t>=SUM(Q1Values)</t>
  </si>
  <si>
    <t>Q1Months</t>
  </si>
  <si>
    <t>=INDEX(Q1Months,2)</t>
  </si>
  <si>
    <t>Q1Total</t>
  </si>
  <si>
    <t>=Q1Total</t>
  </si>
  <si>
    <t>Constant</t>
  </si>
  <si>
    <t>ConstPi</t>
  </si>
  <si>
    <t>=ConstPi</t>
  </si>
  <si>
    <t>ConstVAT</t>
  </si>
  <si>
    <t>=ConstVAT*100</t>
  </si>
  <si>
    <t>Constant (text)</t>
  </si>
  <si>
    <t>ConstGreeting, CompanyName</t>
  </si>
  <si>
    <t>=ConstGreeting&amp;" "&amp;CompanyName</t>
  </si>
  <si>
    <t>Formula name</t>
  </si>
  <si>
    <t>TotalRevenue</t>
  </si>
  <si>
    <t>=TotalRevenue</t>
  </si>
  <si>
    <t>AvgPrice</t>
  </si>
  <si>
    <t>=AvgPrice</t>
  </si>
  <si>
    <t>RevenueAfterTax</t>
  </si>
  <si>
    <t>=RevenueAfterTax</t>
  </si>
  <si>
    <t>DoubleTarget</t>
  </si>
  <si>
    <t>=DoubleTarget</t>
  </si>
  <si>
    <t>Name referencing names</t>
  </si>
  <si>
    <t>GrossWithTax</t>
  </si>
  <si>
    <t>=GrossWithTax</t>
  </si>
  <si>
    <t>Dynamic range</t>
  </si>
  <si>
    <t>DynUnits</t>
  </si>
  <si>
    <t>=SUM(DynUnits)</t>
  </si>
  <si>
    <t>DynRevenue</t>
  </si>
  <si>
    <t>=SUM(DynRevenue)</t>
  </si>
  <si>
    <t>Name syntax</t>
  </si>
  <si>
    <t>Sales_2024</t>
  </si>
  <si>
    <t>=SUM(Sales_2024)</t>
  </si>
  <si>
    <t>Rate.Commission</t>
  </si>
  <si>
    <t>=Rate.Commission</t>
  </si>
  <si>
    <t>_Helper</t>
  </si>
  <si>
    <t>=_Helper</t>
  </si>
  <si>
    <t>Case-insensitivity</t>
  </si>
  <si>
    <t>lowercasename</t>
  </si>
  <si>
    <t>=LOWERCASENAME</t>
  </si>
  <si>
    <t>This_Is_A_Very_Long_Named_Range_For_Testing</t>
  </si>
  <si>
    <t>=SUM(This_Is_A_Very_Long_Named_Range_For_Testing)</t>
  </si>
  <si>
    <t>Union range</t>
  </si>
  <si>
    <t>UnionRange</t>
  </si>
  <si>
    <t>=SUM(UnionRange)</t>
  </si>
  <si>
    <t>Scope: workbook</t>
  </si>
  <si>
    <t>Scope_Test (workbook)</t>
  </si>
  <si>
    <t>=Scope_Test</t>
  </si>
  <si>
    <t>Scope: other sheet</t>
  </si>
  <si>
    <t>Data!Scope_Test (sheet)</t>
  </si>
  <si>
    <t>=Data!Scope_Test</t>
  </si>
  <si>
    <t>Scope: this sheet</t>
  </si>
  <si>
    <t>LocalBonus (Tests)</t>
  </si>
  <si>
    <t>=LocalBonus</t>
  </si>
  <si>
    <t>Hidden name</t>
  </si>
  <si>
    <t>HiddenName</t>
  </si>
  <si>
    <t>=HiddenName</t>
  </si>
  <si>
    <t>Empty range</t>
  </si>
  <si>
    <t>EmptyRange</t>
  </si>
  <si>
    <t>=COUNTBLANK(EmptyRange)</t>
  </si>
  <si>
    <t>Name</t>
  </si>
  <si>
    <t>Scope</t>
  </si>
  <si>
    <t>Refers To</t>
  </si>
  <si>
    <t>Type</t>
  </si>
  <si>
    <t>Visible</t>
  </si>
  <si>
    <t>Workbook</t>
  </si>
  <si>
    <t>=Inputs!$B$10</t>
  </si>
  <si>
    <t>Name starting with _</t>
  </si>
  <si>
    <t>=AVERAGE(Data!$D$2:$D$21)</t>
  </si>
  <si>
    <t>=Inputs!$D$2:$E$5</t>
  </si>
  <si>
    <t>2D range</t>
  </si>
  <si>
    <t>CommRates</t>
  </si>
  <si>
    <t>=Inputs!$E$2:$E$5</t>
  </si>
  <si>
    <t>Column range</t>
  </si>
  <si>
    <t>CommRegions</t>
  </si>
  <si>
    <t>=Inputs!$D$2:$D$5</t>
  </si>
  <si>
    <t>=Inputs!$B$7</t>
  </si>
  <si>
    <t>ConstGreeting</t>
  </si>
  <si>
    <t>="Hello"</t>
  </si>
  <si>
    <t>=3.14159</t>
  </si>
  <si>
    <t>Constant (number)</t>
  </si>
  <si>
    <t>=0.2</t>
  </si>
  <si>
    <t>=Inputs!$B$3</t>
  </si>
  <si>
    <t>=Inputs!$B$6*2</t>
  </si>
  <si>
    <t>=Data!$E$2:INDEX(Data!$E:$E,COUNTA(Data!$A:$A))</t>
  </si>
  <si>
    <t>Dynamic (INDEX)</t>
  </si>
  <si>
    <t>=OFFSET(Data!$C$2,0,0,COUNTA(Data!$C:$C)-1,1)</t>
  </si>
  <si>
    <t>Dynamic (OFFSET)</t>
  </si>
  <si>
    <t>=Data!$G$2:$G$5</t>
  </si>
  <si>
    <t>=Data!$C$2:$C$6</t>
  </si>
  <si>
    <t>=Data!$A$2</t>
  </si>
  <si>
    <t>=Inputs!$B$4</t>
  </si>
  <si>
    <t>=TotalRevenue*(1+TaxRate)</t>
  </si>
  <si>
    <t>=Data!$1:$1</t>
  </si>
  <si>
    <t>=Data!$C$17:$C$21</t>
  </si>
  <si>
    <t>=Data!$E$21</t>
  </si>
  <si>
    <t>=Inputs!$B$8</t>
  </si>
  <si>
    <t>Lowercase name</t>
  </si>
  <si>
    <t>=Inputs!$B$9</t>
  </si>
  <si>
    <t>=Data!$D$2:$D$21</t>
  </si>
  <si>
    <t>=Data!$B$2:$B$21</t>
  </si>
  <si>
    <t>='Q1 Sales'!$A$2:$A$4</t>
  </si>
  <si>
    <t>Range on sheet with space</t>
  </si>
  <si>
    <t>='Q1 Sales'!$B$5</t>
  </si>
  <si>
    <t>Cell on sheet with space</t>
  </si>
  <si>
    <t>='Q1 Sales'!$B$2:$B$4</t>
  </si>
  <si>
    <t>=Inputs!$E$2</t>
  </si>
  <si>
    <t>Name with dot</t>
  </si>
  <si>
    <t>=Data!$A$2:$A$21</t>
  </si>
  <si>
    <t>=Data!$E$2:$E$21</t>
  </si>
  <si>
    <t>=SUM(Data!$E$2:$E$21)*(1-Inputs!$B$2)</t>
  </si>
  <si>
    <t>=Data!$E$2:$E$11</t>
  </si>
  <si>
    <t>Name with underscore</t>
  </si>
  <si>
    <t>=Data!$A$1:$E$1</t>
  </si>
  <si>
    <t>Row range</t>
  </si>
  <si>
    <t>=Data!$A$2:$E$21</t>
  </si>
  <si>
    <t>=Inputs!$B$6</t>
  </si>
  <si>
    <t>Scope_Test</t>
  </si>
  <si>
    <t>Workbook scope (clashes with sheet scope)</t>
  </si>
  <si>
    <t>=Inputs!$B$5</t>
  </si>
  <si>
    <t>=Inputs!$B$2</t>
  </si>
  <si>
    <t>=Data!$C$2:$C$21</t>
  </si>
  <si>
    <t>Long name</t>
  </si>
  <si>
    <t>=Data!$C$2:$D$4</t>
  </si>
  <si>
    <t>=SUM(Data!$E$2:$E$21)</t>
  </si>
  <si>
    <t>=Data!$C$2:$C$4,Data!$C$19:$C$21</t>
  </si>
  <si>
    <t>Union (multi-area)</t>
  </si>
  <si>
    <t>=Data!$C:$C</t>
  </si>
  <si>
    <t>Data</t>
  </si>
  <si>
    <t>=Data!$C$2</t>
  </si>
  <si>
    <t>Sheet scope (Data)</t>
  </si>
  <si>
    <t>LocalBonus</t>
  </si>
  <si>
    <t>Tests</t>
  </si>
  <si>
    <t>Sheet scope (Tests)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</si>
</sst>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0.0%"/>
    <numFmt numFmtId="166" formatCode="&quot;$&quot;#,##0"/>
  </numFmts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i/>
      <sz val="12"/>
      <color rgb="FF595959"/>
      <name val="Aptos Narrow"/>
      <family val="2"/>
      <scheme val="minor"/>
    </font>
    <font>
      <b/>
      <sz val="12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/>
    <xf numFmtId="49" fontId="0" fillId="0" borderId="0" xfId="0" applyNumberFormat="1"/>
  </cellXfs>
  <cellStyles count="1">
    <cellStyle name="Normal" xfId="0" builtinId="0"/>
  </cellStyles>
  <dxfs count="2"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77DDEED-F951-E246-9477-FD61BF3C2DE7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46074f3b-f386-42db-90f3-4925d9c356cd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B6B5C-1A14-C342-B261-30D17D136990}">
  <dimension ref="A1:G63"/>
  <sheetViews>
    <sheetView tabSelected="1" workbookViewId="0">
      <pane ySplit="4" topLeftCell="A5" activePane="bottomLeft" state="frozen"/>
      <selection pane="bottomLeft"/>
    </sheetView>
  </sheetViews>
  <sheetFormatPr baseColWidth="10" defaultRowHeight="16" x14ac:dyDescent="0.2"/>
  <cols>
    <col min="1" max="1" width="5" customWidth="1"/>
    <col min="2" max="2" width="23.33203125" customWidth="1"/>
    <col min="3" max="3" width="38.33203125" customWidth="1"/>
    <col min="4" max="4" width="48.33203125" customWidth="1"/>
    <col min="5" max="6" width="20" customWidth="1"/>
    <col min="7" max="7" width="10" customWidth="1"/>
  </cols>
  <sheetData>
    <row r="1" spans="1:7" ht="19" x14ac:dyDescent="0.25">
      <c r="A1" s="5" t="s">
        <v>32</v>
      </c>
    </row>
    <row r="2" spans="1:7" x14ac:dyDescent="0.2">
      <c r="A2" s="4" t="s">
        <v>33</v>
      </c>
      <c r="B2" s="4" t="str">
        <f ca="1">COUNTIF(G5:G63,"PASS")&amp;" / "&amp;ROWS(G5:G63)</f>
        <v>59 / 59</v>
      </c>
    </row>
    <row r="3" spans="1:7" x14ac:dyDescent="0.2">
      <c r="A3" s="6" t="s">
        <v>34</v>
      </c>
    </row>
    <row r="4" spans="1:7" x14ac:dyDescent="0.2">
      <c r="A4" s="7" t="s">
        <v>35</v>
      </c>
      <c r="B4" s="7" t="s">
        <v>36</v>
      </c>
      <c r="C4" s="7" t="s">
        <v>37</v>
      </c>
      <c r="D4" s="7" t="s">
        <v>38</v>
      </c>
      <c r="E4" s="7" t="s">
        <v>39</v>
      </c>
      <c r="F4" s="7" t="s">
        <v>40</v>
      </c>
      <c r="G4" s="7" t="s">
        <v>41</v>
      </c>
    </row>
    <row r="5" spans="1:7" x14ac:dyDescent="0.2">
      <c r="A5">
        <v>1</v>
      </c>
      <c r="B5" t="s">
        <v>42</v>
      </c>
      <c r="C5" s="8" t="s">
        <v>2</v>
      </c>
      <c r="D5" s="8" t="s">
        <v>43</v>
      </c>
      <c r="E5">
        <f>TaxRate</f>
        <v>0.08</v>
      </c>
      <c r="F5">
        <f>Inputs!B2</f>
        <v>0.08</v>
      </c>
      <c r="G5" t="str">
        <f>IFERROR(IF(E5=F5,"PASS","FAIL"),"FAIL")</f>
        <v>PASS</v>
      </c>
    </row>
    <row r="6" spans="1:7" x14ac:dyDescent="0.2">
      <c r="A6">
        <v>2</v>
      </c>
      <c r="B6" t="s">
        <v>42</v>
      </c>
      <c r="C6" s="8" t="s">
        <v>3</v>
      </c>
      <c r="D6" s="8" t="s">
        <v>44</v>
      </c>
      <c r="E6">
        <f>DiscountRate</f>
        <v>0.05</v>
      </c>
      <c r="F6">
        <f>Inputs!B3</f>
        <v>0.05</v>
      </c>
      <c r="G6" t="str">
        <f t="shared" ref="G6:G63" si="0">IFERROR(IF(E6=F6,"PASS","FAIL"),"FAIL")</f>
        <v>PASS</v>
      </c>
    </row>
    <row r="7" spans="1:7" x14ac:dyDescent="0.2">
      <c r="A7">
        <v>3</v>
      </c>
      <c r="B7" t="s">
        <v>42</v>
      </c>
      <c r="C7" s="8" t="s">
        <v>4</v>
      </c>
      <c r="D7" s="8" t="s">
        <v>45</v>
      </c>
      <c r="E7">
        <f>FXRate*100</f>
        <v>110.00000000000001</v>
      </c>
      <c r="F7">
        <f>Inputs!B4*100</f>
        <v>110.00000000000001</v>
      </c>
      <c r="G7" t="str">
        <f t="shared" si="0"/>
        <v>PASS</v>
      </c>
    </row>
    <row r="8" spans="1:7" x14ac:dyDescent="0.2">
      <c r="A8">
        <v>4</v>
      </c>
      <c r="B8" t="s">
        <v>46</v>
      </c>
      <c r="C8" s="8" t="s">
        <v>5</v>
      </c>
      <c r="D8" s="8" t="s">
        <v>47</v>
      </c>
      <c r="E8" s="1">
        <f>StartDate+30</f>
        <v>46053</v>
      </c>
      <c r="F8" s="1">
        <f>Inputs!B5+30</f>
        <v>46053</v>
      </c>
      <c r="G8" t="str">
        <f t="shared" si="0"/>
        <v>PASS</v>
      </c>
    </row>
    <row r="9" spans="1:7" x14ac:dyDescent="0.2">
      <c r="A9">
        <v>5</v>
      </c>
      <c r="B9" t="s">
        <v>42</v>
      </c>
      <c r="C9" s="8" t="s">
        <v>6</v>
      </c>
      <c r="D9" s="8" t="s">
        <v>48</v>
      </c>
      <c r="E9">
        <f>SalesTarget</f>
        <v>5000</v>
      </c>
      <c r="F9">
        <f>Inputs!B6</f>
        <v>5000</v>
      </c>
      <c r="G9" t="str">
        <f t="shared" si="0"/>
        <v>PASS</v>
      </c>
    </row>
    <row r="10" spans="1:7" x14ac:dyDescent="0.2">
      <c r="A10">
        <v>6</v>
      </c>
      <c r="B10" t="s">
        <v>49</v>
      </c>
      <c r="C10" s="8" t="s">
        <v>7</v>
      </c>
      <c r="D10" s="8" t="s">
        <v>50</v>
      </c>
      <c r="E10" t="str">
        <f>CompanyName</f>
        <v>Acme Corp</v>
      </c>
      <c r="F10" t="str">
        <f>Inputs!B7</f>
        <v>Acme Corp</v>
      </c>
      <c r="G10" t="str">
        <f t="shared" si="0"/>
        <v>PASS</v>
      </c>
    </row>
    <row r="11" spans="1:7" x14ac:dyDescent="0.2">
      <c r="A11">
        <v>7</v>
      </c>
      <c r="B11" t="s">
        <v>42</v>
      </c>
      <c r="C11" s="8" t="s">
        <v>9</v>
      </c>
      <c r="D11" s="8" t="s">
        <v>51</v>
      </c>
      <c r="E11">
        <f>Threshold</f>
        <v>50</v>
      </c>
      <c r="F11">
        <f>Inputs!B8</f>
        <v>50</v>
      </c>
      <c r="G11" t="str">
        <f t="shared" si="0"/>
        <v>PASS</v>
      </c>
    </row>
    <row r="12" spans="1:7" x14ac:dyDescent="0.2">
      <c r="A12">
        <v>8</v>
      </c>
      <c r="B12" t="s">
        <v>42</v>
      </c>
      <c r="C12" s="8" t="s">
        <v>52</v>
      </c>
      <c r="D12" s="8" t="s">
        <v>53</v>
      </c>
      <c r="E12">
        <f>Multiplier*BonusAmount</f>
        <v>750</v>
      </c>
      <c r="F12">
        <f>Inputs!B9*Inputs!B10</f>
        <v>750</v>
      </c>
      <c r="G12" t="str">
        <f t="shared" si="0"/>
        <v>PASS</v>
      </c>
    </row>
    <row r="13" spans="1:7" x14ac:dyDescent="0.2">
      <c r="A13">
        <v>9</v>
      </c>
      <c r="B13" t="s">
        <v>42</v>
      </c>
      <c r="C13" s="8" t="s">
        <v>54</v>
      </c>
      <c r="D13" s="8" t="s">
        <v>55</v>
      </c>
      <c r="E13" t="str">
        <f>FirstRegion</f>
        <v>North</v>
      </c>
      <c r="F13" t="str">
        <f>Data!A2</f>
        <v>North</v>
      </c>
      <c r="G13" t="str">
        <f t="shared" si="0"/>
        <v>PASS</v>
      </c>
    </row>
    <row r="14" spans="1:7" x14ac:dyDescent="0.2">
      <c r="A14">
        <v>10</v>
      </c>
      <c r="B14" t="s">
        <v>42</v>
      </c>
      <c r="C14" s="8" t="s">
        <v>56</v>
      </c>
      <c r="D14" s="8" t="s">
        <v>57</v>
      </c>
      <c r="E14">
        <f>LastRevenue</f>
        <v>1560</v>
      </c>
      <c r="F14">
        <f>Data!E21</f>
        <v>1560</v>
      </c>
      <c r="G14" t="str">
        <f t="shared" si="0"/>
        <v>PASS</v>
      </c>
    </row>
    <row r="15" spans="1:7" x14ac:dyDescent="0.2">
      <c r="A15">
        <v>11</v>
      </c>
      <c r="B15" t="s">
        <v>58</v>
      </c>
      <c r="C15" s="8" t="s">
        <v>19</v>
      </c>
      <c r="D15" s="8" t="s">
        <v>59</v>
      </c>
      <c r="E15">
        <f>SUM(Units)</f>
        <v>1013</v>
      </c>
      <c r="F15">
        <f>SUM(Data!C2:C21)</f>
        <v>1013</v>
      </c>
      <c r="G15" t="str">
        <f t="shared" si="0"/>
        <v>PASS</v>
      </c>
    </row>
    <row r="16" spans="1:7" x14ac:dyDescent="0.2">
      <c r="A16">
        <v>12</v>
      </c>
      <c r="B16" t="s">
        <v>58</v>
      </c>
      <c r="C16" s="8" t="s">
        <v>60</v>
      </c>
      <c r="D16" s="8" t="s">
        <v>61</v>
      </c>
      <c r="E16">
        <f>AVERAGE(Prices)</f>
        <v>17.899999999999999</v>
      </c>
      <c r="F16">
        <f>AVERAGE(Data!D2:D21)</f>
        <v>17.899999999999999</v>
      </c>
      <c r="G16" t="str">
        <f t="shared" si="0"/>
        <v>PASS</v>
      </c>
    </row>
    <row r="17" spans="1:7" x14ac:dyDescent="0.2">
      <c r="A17">
        <v>13</v>
      </c>
      <c r="B17" t="s">
        <v>58</v>
      </c>
      <c r="C17" s="8" t="s">
        <v>21</v>
      </c>
      <c r="D17" s="8" t="s">
        <v>62</v>
      </c>
      <c r="E17">
        <f>MAX(Revenue)</f>
        <v>2340</v>
      </c>
      <c r="F17">
        <f>MAX(Data!E2:E21)</f>
        <v>2340</v>
      </c>
      <c r="G17" t="str">
        <f t="shared" si="0"/>
        <v>PASS</v>
      </c>
    </row>
    <row r="18" spans="1:7" x14ac:dyDescent="0.2">
      <c r="A18">
        <v>14</v>
      </c>
      <c r="B18" t="s">
        <v>58</v>
      </c>
      <c r="C18" s="8" t="s">
        <v>21</v>
      </c>
      <c r="D18" s="8" t="s">
        <v>63</v>
      </c>
      <c r="E18">
        <f>MIN(Revenue)</f>
        <v>120</v>
      </c>
      <c r="F18">
        <f>MIN(Data!E2:E21)</f>
        <v>120</v>
      </c>
      <c r="G18" t="str">
        <f t="shared" si="0"/>
        <v>PASS</v>
      </c>
    </row>
    <row r="19" spans="1:7" x14ac:dyDescent="0.2">
      <c r="A19">
        <v>15</v>
      </c>
      <c r="B19" t="s">
        <v>58</v>
      </c>
      <c r="C19" s="8" t="s">
        <v>19</v>
      </c>
      <c r="D19" s="8" t="s">
        <v>64</v>
      </c>
      <c r="E19">
        <f>COUNT(Units)</f>
        <v>20</v>
      </c>
      <c r="F19">
        <f>COUNT(Data!C2:C21)</f>
        <v>20</v>
      </c>
      <c r="G19" t="str">
        <f t="shared" si="0"/>
        <v>PASS</v>
      </c>
    </row>
    <row r="20" spans="1:7" x14ac:dyDescent="0.2">
      <c r="A20">
        <v>16</v>
      </c>
      <c r="B20" t="s">
        <v>58</v>
      </c>
      <c r="C20" s="8" t="s">
        <v>65</v>
      </c>
      <c r="D20" s="8" t="s">
        <v>66</v>
      </c>
      <c r="E20">
        <f>COUNTA(Regions)</f>
        <v>20</v>
      </c>
      <c r="F20">
        <f>COUNTA(Data!A2:A21)</f>
        <v>20</v>
      </c>
      <c r="G20" t="str">
        <f t="shared" si="0"/>
        <v>PASS</v>
      </c>
    </row>
    <row r="21" spans="1:7" x14ac:dyDescent="0.2">
      <c r="A21">
        <v>17</v>
      </c>
      <c r="B21" t="s">
        <v>58</v>
      </c>
      <c r="C21" s="8" t="s">
        <v>67</v>
      </c>
      <c r="D21" s="8" t="s">
        <v>68</v>
      </c>
      <c r="E21">
        <f>SUMPRODUCT(Units,Prices)</f>
        <v>17874</v>
      </c>
      <c r="F21">
        <f>SUMPRODUCT(Data!C2:C21,Data!D2:D21)</f>
        <v>17874</v>
      </c>
      <c r="G21" t="str">
        <f t="shared" si="0"/>
        <v>PASS</v>
      </c>
    </row>
    <row r="22" spans="1:7" x14ac:dyDescent="0.2">
      <c r="A22">
        <v>18</v>
      </c>
      <c r="B22" t="s">
        <v>69</v>
      </c>
      <c r="C22" s="8" t="s">
        <v>67</v>
      </c>
      <c r="D22" s="8" t="s">
        <v>70</v>
      </c>
      <c r="E22" cm="1">
        <f t="array" ref="E22">SUM(Units*Prices)</f>
        <v>17874</v>
      </c>
      <c r="F22">
        <f>SUMPRODUCT(Data!C2:C21,Data!D2:D21)</f>
        <v>17874</v>
      </c>
      <c r="G22" t="str">
        <f t="shared" si="0"/>
        <v>PASS</v>
      </c>
    </row>
    <row r="23" spans="1:7" x14ac:dyDescent="0.2">
      <c r="A23">
        <v>19</v>
      </c>
      <c r="B23" t="s">
        <v>71</v>
      </c>
      <c r="C23" s="8" t="s">
        <v>72</v>
      </c>
      <c r="D23" s="8" t="s">
        <v>73</v>
      </c>
      <c r="E23">
        <f>SUMIF(Regions,"North",Revenue)</f>
        <v>3861</v>
      </c>
      <c r="F23">
        <f>SUMIF(Data!A2:A21,"North",Data!E2:E21)</f>
        <v>3861</v>
      </c>
      <c r="G23" t="str">
        <f t="shared" si="0"/>
        <v>PASS</v>
      </c>
    </row>
    <row r="24" spans="1:7" x14ac:dyDescent="0.2">
      <c r="A24">
        <v>20</v>
      </c>
      <c r="B24" t="s">
        <v>71</v>
      </c>
      <c r="C24" s="8" t="s">
        <v>74</v>
      </c>
      <c r="D24" s="8" t="s">
        <v>75</v>
      </c>
      <c r="E24">
        <f>COUNTIF(Products,"A")</f>
        <v>7</v>
      </c>
      <c r="F24">
        <f>COUNTIF(Data!B2:B21,"A")</f>
        <v>7</v>
      </c>
      <c r="G24" t="str">
        <f t="shared" si="0"/>
        <v>PASS</v>
      </c>
    </row>
    <row r="25" spans="1:7" x14ac:dyDescent="0.2">
      <c r="A25">
        <v>21</v>
      </c>
      <c r="B25" t="s">
        <v>71</v>
      </c>
      <c r="C25" s="8" t="s">
        <v>76</v>
      </c>
      <c r="D25" s="8" t="s">
        <v>77</v>
      </c>
      <c r="E25">
        <f>AVERAGEIF(Regions,"East",Units)</f>
        <v>50</v>
      </c>
      <c r="F25">
        <f>AVERAGEIF(Data!A2:A21,"East",Data!C2:C21)</f>
        <v>50</v>
      </c>
      <c r="G25" t="str">
        <f t="shared" si="0"/>
        <v>PASS</v>
      </c>
    </row>
    <row r="26" spans="1:7" x14ac:dyDescent="0.2">
      <c r="A26">
        <v>22</v>
      </c>
      <c r="B26" t="s">
        <v>71</v>
      </c>
      <c r="C26" s="8" t="s">
        <v>78</v>
      </c>
      <c r="D26" s="8" t="s">
        <v>79</v>
      </c>
      <c r="E26">
        <f>SUMIFS(Revenue,Regions,"West",Products,"B")</f>
        <v>3900</v>
      </c>
      <c r="F26">
        <f>SUMIFS(Data!E2:E21,Data!A2:A21,"West",Data!B2:B21,"B")</f>
        <v>3900</v>
      </c>
      <c r="G26" t="str">
        <f t="shared" si="0"/>
        <v>PASS</v>
      </c>
    </row>
    <row r="27" spans="1:7" x14ac:dyDescent="0.2">
      <c r="A27">
        <v>23</v>
      </c>
      <c r="B27" t="s">
        <v>71</v>
      </c>
      <c r="C27" s="8" t="s">
        <v>80</v>
      </c>
      <c r="D27" s="8" t="s">
        <v>81</v>
      </c>
      <c r="E27">
        <f>COUNTIFS(Units,"&gt;"&amp;Threshold)</f>
        <v>10</v>
      </c>
      <c r="F27">
        <f>COUNTIFS(Data!C2:C21,"&gt;"&amp;Inputs!B8)</f>
        <v>10</v>
      </c>
      <c r="G27" t="str">
        <f t="shared" si="0"/>
        <v>PASS</v>
      </c>
    </row>
    <row r="28" spans="1:7" x14ac:dyDescent="0.2">
      <c r="A28">
        <v>24</v>
      </c>
      <c r="B28" t="s">
        <v>82</v>
      </c>
      <c r="C28" s="8" t="s">
        <v>83</v>
      </c>
      <c r="D28" s="8" t="s">
        <v>84</v>
      </c>
      <c r="E28">
        <f>VLOOKUP("South",CommissionTable,2,FALSE)</f>
        <v>0.04</v>
      </c>
      <c r="F28">
        <f>VLOOKUP("South",Inputs!D2:E5,2,FALSE)</f>
        <v>0.04</v>
      </c>
      <c r="G28" t="str">
        <f t="shared" si="0"/>
        <v>PASS</v>
      </c>
    </row>
    <row r="29" spans="1:7" x14ac:dyDescent="0.2">
      <c r="A29">
        <v>25</v>
      </c>
      <c r="B29" t="s">
        <v>82</v>
      </c>
      <c r="C29" s="8" t="s">
        <v>85</v>
      </c>
      <c r="D29" s="8" t="s">
        <v>86</v>
      </c>
      <c r="E29">
        <f>INDEX(CommRates,MATCH("East",CommRegions,0))</f>
        <v>0.06</v>
      </c>
      <c r="F29">
        <f>INDEX(Inputs!E2:E5,MATCH("East",Inputs!D2:D5,0))</f>
        <v>0.06</v>
      </c>
      <c r="G29" t="str">
        <f t="shared" si="0"/>
        <v>PASS</v>
      </c>
    </row>
    <row r="30" spans="1:7" x14ac:dyDescent="0.2">
      <c r="A30">
        <v>26</v>
      </c>
      <c r="B30" t="s">
        <v>82</v>
      </c>
      <c r="C30" s="8" t="s">
        <v>87</v>
      </c>
      <c r="D30" s="8" t="s">
        <v>88</v>
      </c>
      <c r="E30">
        <f>_xlfn.XLOOKUP("West",CommRegions,CommRates)</f>
        <v>0.03</v>
      </c>
      <c r="F30">
        <f>_xlfn.XLOOKUP("West",Inputs!D2:D5,Inputs!E2:E5)</f>
        <v>0.03</v>
      </c>
      <c r="G30" t="str">
        <f t="shared" si="0"/>
        <v>PASS</v>
      </c>
    </row>
    <row r="31" spans="1:7" x14ac:dyDescent="0.2">
      <c r="A31">
        <v>27</v>
      </c>
      <c r="B31" t="s">
        <v>82</v>
      </c>
      <c r="C31" s="8" t="s">
        <v>89</v>
      </c>
      <c r="D31" s="8" t="s">
        <v>90</v>
      </c>
      <c r="E31" t="str">
        <f>INDEX(SalesTable,5,2)</f>
        <v>B</v>
      </c>
      <c r="F31" t="str">
        <f>INDEX(Data!A2:E21,5,2)</f>
        <v>B</v>
      </c>
      <c r="G31" t="str">
        <f t="shared" si="0"/>
        <v>PASS</v>
      </c>
    </row>
    <row r="32" spans="1:7" x14ac:dyDescent="0.2">
      <c r="A32">
        <v>28</v>
      </c>
      <c r="B32" t="s">
        <v>82</v>
      </c>
      <c r="C32" s="8" t="s">
        <v>91</v>
      </c>
      <c r="D32" s="8" t="s">
        <v>92</v>
      </c>
      <c r="E32">
        <f>MATCH("Revenue",SalesHeader,0)</f>
        <v>5</v>
      </c>
      <c r="F32">
        <f>MATCH("Revenue",Data!A1:E1,0)</f>
        <v>5</v>
      </c>
      <c r="G32" t="str">
        <f t="shared" si="0"/>
        <v>PASS</v>
      </c>
    </row>
    <row r="33" spans="1:7" x14ac:dyDescent="0.2">
      <c r="A33">
        <v>29</v>
      </c>
      <c r="B33" t="s">
        <v>93</v>
      </c>
      <c r="C33" s="8" t="s">
        <v>89</v>
      </c>
      <c r="D33" s="8" t="s">
        <v>94</v>
      </c>
      <c r="E33">
        <f>ROWS(SalesTable)</f>
        <v>20</v>
      </c>
      <c r="F33">
        <f>ROWS(Data!A2:E21)</f>
        <v>20</v>
      </c>
      <c r="G33" t="str">
        <f t="shared" si="0"/>
        <v>PASS</v>
      </c>
    </row>
    <row r="34" spans="1:7" x14ac:dyDescent="0.2">
      <c r="A34">
        <v>30</v>
      </c>
      <c r="B34" t="s">
        <v>93</v>
      </c>
      <c r="C34" s="8" t="s">
        <v>89</v>
      </c>
      <c r="D34" s="8" t="s">
        <v>95</v>
      </c>
      <c r="E34">
        <f>COLUMNS(SalesTable)</f>
        <v>5</v>
      </c>
      <c r="F34">
        <f>COLUMNS(Data!A2:E21)</f>
        <v>5</v>
      </c>
      <c r="G34" t="str">
        <f t="shared" si="0"/>
        <v>PASS</v>
      </c>
    </row>
    <row r="35" spans="1:7" x14ac:dyDescent="0.2">
      <c r="A35">
        <v>31</v>
      </c>
      <c r="B35" t="s">
        <v>96</v>
      </c>
      <c r="C35" s="8" t="s">
        <v>97</v>
      </c>
      <c r="D35" s="8" t="s">
        <v>98</v>
      </c>
      <c r="E35">
        <f>SUM(FirstFiveUnits)</f>
        <v>236</v>
      </c>
      <c r="F35">
        <f>SUM(Data!C2:C6)</f>
        <v>236</v>
      </c>
      <c r="G35" t="str">
        <f t="shared" si="0"/>
        <v>PASS</v>
      </c>
    </row>
    <row r="36" spans="1:7" x14ac:dyDescent="0.2">
      <c r="A36">
        <v>32</v>
      </c>
      <c r="B36" t="s">
        <v>96</v>
      </c>
      <c r="C36" s="8" t="s">
        <v>99</v>
      </c>
      <c r="D36" s="8" t="s">
        <v>100</v>
      </c>
      <c r="E36">
        <f>SUM(LastFiveUnits)</f>
        <v>263</v>
      </c>
      <c r="F36">
        <f>SUM(Data!C17:C21)</f>
        <v>263</v>
      </c>
      <c r="G36" t="str">
        <f t="shared" si="0"/>
        <v>PASS</v>
      </c>
    </row>
    <row r="37" spans="1:7" x14ac:dyDescent="0.2">
      <c r="A37">
        <v>33</v>
      </c>
      <c r="B37" t="s">
        <v>101</v>
      </c>
      <c r="C37" s="8" t="s">
        <v>102</v>
      </c>
      <c r="D37" s="8" t="s">
        <v>103</v>
      </c>
      <c r="E37">
        <f>SUM(TopLeftBlock)</f>
        <v>169</v>
      </c>
      <c r="F37">
        <f>SUM(Data!C2:D4)</f>
        <v>169</v>
      </c>
      <c r="G37" t="str">
        <f t="shared" si="0"/>
        <v>PASS</v>
      </c>
    </row>
    <row r="38" spans="1:7" x14ac:dyDescent="0.2">
      <c r="A38">
        <v>34</v>
      </c>
      <c r="B38" t="s">
        <v>104</v>
      </c>
      <c r="C38" s="8" t="s">
        <v>105</v>
      </c>
      <c r="D38" s="8" t="s">
        <v>106</v>
      </c>
      <c r="E38">
        <f>SUM(UnitsColumn)</f>
        <v>1013</v>
      </c>
      <c r="F38">
        <f>SUM(Data!C:C)</f>
        <v>1013</v>
      </c>
      <c r="G38" t="str">
        <f t="shared" si="0"/>
        <v>PASS</v>
      </c>
    </row>
    <row r="39" spans="1:7" x14ac:dyDescent="0.2">
      <c r="A39">
        <v>35</v>
      </c>
      <c r="B39" t="s">
        <v>107</v>
      </c>
      <c r="C39" s="8" t="s">
        <v>108</v>
      </c>
      <c r="D39" s="8" t="s">
        <v>109</v>
      </c>
      <c r="E39">
        <f>COUNTA(HeaderRow)</f>
        <v>6</v>
      </c>
      <c r="F39">
        <f>COUNTA(Data!1:1)</f>
        <v>6</v>
      </c>
      <c r="G39" t="str">
        <f t="shared" si="0"/>
        <v>PASS</v>
      </c>
    </row>
    <row r="40" spans="1:7" x14ac:dyDescent="0.2">
      <c r="A40">
        <v>36</v>
      </c>
      <c r="B40" t="s">
        <v>110</v>
      </c>
      <c r="C40" s="8" t="s">
        <v>111</v>
      </c>
      <c r="D40" s="8" t="s">
        <v>112</v>
      </c>
      <c r="E40">
        <f>SUM(Q1Values)</f>
        <v>4500</v>
      </c>
      <c r="F40">
        <f>SUM('Q1 Sales'!B2:B4)</f>
        <v>4500</v>
      </c>
      <c r="G40" t="str">
        <f t="shared" si="0"/>
        <v>PASS</v>
      </c>
    </row>
    <row r="41" spans="1:7" x14ac:dyDescent="0.2">
      <c r="A41">
        <v>37</v>
      </c>
      <c r="B41" t="s">
        <v>110</v>
      </c>
      <c r="C41" s="8" t="s">
        <v>113</v>
      </c>
      <c r="D41" s="8" t="s">
        <v>114</v>
      </c>
      <c r="E41" t="str">
        <f>INDEX(Q1Months,2)</f>
        <v>Feb</v>
      </c>
      <c r="F41" t="str">
        <f>INDEX('Q1 Sales'!A2:A4,2)</f>
        <v>Feb</v>
      </c>
      <c r="G41" t="str">
        <f t="shared" si="0"/>
        <v>PASS</v>
      </c>
    </row>
    <row r="42" spans="1:7" x14ac:dyDescent="0.2">
      <c r="A42">
        <v>38</v>
      </c>
      <c r="B42" t="s">
        <v>110</v>
      </c>
      <c r="C42" s="8" t="s">
        <v>115</v>
      </c>
      <c r="D42" s="8" t="s">
        <v>116</v>
      </c>
      <c r="E42">
        <f>Q1Total</f>
        <v>4500</v>
      </c>
      <c r="F42">
        <f>'Q1 Sales'!B5</f>
        <v>4500</v>
      </c>
      <c r="G42" t="str">
        <f t="shared" si="0"/>
        <v>PASS</v>
      </c>
    </row>
    <row r="43" spans="1:7" x14ac:dyDescent="0.2">
      <c r="A43">
        <v>39</v>
      </c>
      <c r="B43" t="s">
        <v>117</v>
      </c>
      <c r="C43" s="8" t="s">
        <v>118</v>
      </c>
      <c r="D43" s="8" t="s">
        <v>119</v>
      </c>
      <c r="E43">
        <f>ConstPi</f>
        <v>3.1415899999999999</v>
      </c>
      <c r="F43">
        <f>3.14159</f>
        <v>3.1415899999999999</v>
      </c>
      <c r="G43" t="str">
        <f t="shared" si="0"/>
        <v>PASS</v>
      </c>
    </row>
    <row r="44" spans="1:7" x14ac:dyDescent="0.2">
      <c r="A44">
        <v>40</v>
      </c>
      <c r="B44" t="s">
        <v>117</v>
      </c>
      <c r="C44" s="8" t="s">
        <v>120</v>
      </c>
      <c r="D44" s="8" t="s">
        <v>121</v>
      </c>
      <c r="E44">
        <f>ConstVAT*100</f>
        <v>20</v>
      </c>
      <c r="F44">
        <f>0.2*100</f>
        <v>20</v>
      </c>
      <c r="G44" t="str">
        <f t="shared" si="0"/>
        <v>PASS</v>
      </c>
    </row>
    <row r="45" spans="1:7" x14ac:dyDescent="0.2">
      <c r="A45">
        <v>41</v>
      </c>
      <c r="B45" t="s">
        <v>122</v>
      </c>
      <c r="C45" s="8" t="s">
        <v>123</v>
      </c>
      <c r="D45" s="8" t="s">
        <v>124</v>
      </c>
      <c r="E45" t="str">
        <f>ConstGreeting&amp;" "&amp;CompanyName</f>
        <v>Hello Acme Corp</v>
      </c>
      <c r="F45" t="str">
        <f>"Hello"&amp;" "&amp;Inputs!B7</f>
        <v>Hello Acme Corp</v>
      </c>
      <c r="G45" t="str">
        <f t="shared" si="0"/>
        <v>PASS</v>
      </c>
    </row>
    <row r="46" spans="1:7" x14ac:dyDescent="0.2">
      <c r="A46">
        <v>42</v>
      </c>
      <c r="B46" t="s">
        <v>125</v>
      </c>
      <c r="C46" s="8" t="s">
        <v>126</v>
      </c>
      <c r="D46" s="8" t="s">
        <v>127</v>
      </c>
      <c r="E46" cm="1">
        <f t="array" ref="E46">TotalRevenue</f>
        <v>17874</v>
      </c>
      <c r="F46">
        <f>SUM(Data!E2:E21)</f>
        <v>17874</v>
      </c>
      <c r="G46" t="str">
        <f t="shared" si="0"/>
        <v>PASS</v>
      </c>
    </row>
    <row r="47" spans="1:7" x14ac:dyDescent="0.2">
      <c r="A47">
        <v>43</v>
      </c>
      <c r="B47" t="s">
        <v>125</v>
      </c>
      <c r="C47" s="8" t="s">
        <v>128</v>
      </c>
      <c r="D47" s="8" t="s">
        <v>129</v>
      </c>
      <c r="E47" cm="1">
        <f t="array" ref="E47">AvgPrice</f>
        <v>17.899999999999999</v>
      </c>
      <c r="F47">
        <f>AVERAGE(Data!D2:D21)</f>
        <v>17.899999999999999</v>
      </c>
      <c r="G47" t="str">
        <f t="shared" si="0"/>
        <v>PASS</v>
      </c>
    </row>
    <row r="48" spans="1:7" x14ac:dyDescent="0.2">
      <c r="A48">
        <v>44</v>
      </c>
      <c r="B48" t="s">
        <v>125</v>
      </c>
      <c r="C48" s="8" t="s">
        <v>130</v>
      </c>
      <c r="D48" s="8" t="s">
        <v>131</v>
      </c>
      <c r="E48" cm="1">
        <f t="array" ref="E48">RevenueAfterTax</f>
        <v>16444.080000000002</v>
      </c>
      <c r="F48">
        <f>SUM(Data!E2:E21)*(1-Inputs!B2)</f>
        <v>16444.080000000002</v>
      </c>
      <c r="G48" t="str">
        <f t="shared" si="0"/>
        <v>PASS</v>
      </c>
    </row>
    <row r="49" spans="1:7" x14ac:dyDescent="0.2">
      <c r="A49">
        <v>45</v>
      </c>
      <c r="B49" t="s">
        <v>125</v>
      </c>
      <c r="C49" s="8" t="s">
        <v>132</v>
      </c>
      <c r="D49" s="8" t="s">
        <v>133</v>
      </c>
      <c r="E49" cm="1">
        <f t="array" ref="E49">DoubleTarget</f>
        <v>10000</v>
      </c>
      <c r="F49">
        <f>Inputs!B6*2</f>
        <v>10000</v>
      </c>
      <c r="G49" t="str">
        <f t="shared" si="0"/>
        <v>PASS</v>
      </c>
    </row>
    <row r="50" spans="1:7" x14ac:dyDescent="0.2">
      <c r="A50">
        <v>46</v>
      </c>
      <c r="B50" t="s">
        <v>134</v>
      </c>
      <c r="C50" s="8" t="s">
        <v>135</v>
      </c>
      <c r="D50" s="8" t="s">
        <v>136</v>
      </c>
      <c r="E50" cm="1">
        <f t="array" ref="E50">GrossWithTax</f>
        <v>19303.920000000002</v>
      </c>
      <c r="F50">
        <f>SUM(Data!E2:E21)*(1+Inputs!B2)</f>
        <v>19303.920000000002</v>
      </c>
      <c r="G50" t="str">
        <f t="shared" si="0"/>
        <v>PASS</v>
      </c>
    </row>
    <row r="51" spans="1:7" x14ac:dyDescent="0.2">
      <c r="A51">
        <v>47</v>
      </c>
      <c r="B51" t="s">
        <v>137</v>
      </c>
      <c r="C51" s="8" t="s">
        <v>138</v>
      </c>
      <c r="D51" s="8" t="s">
        <v>139</v>
      </c>
      <c r="E51">
        <f ca="1">SUM(DynUnits)</f>
        <v>1013</v>
      </c>
      <c r="F51">
        <f>SUM(Data!C2:C21)</f>
        <v>1013</v>
      </c>
      <c r="G51" t="str">
        <f t="shared" ca="1" si="0"/>
        <v>PASS</v>
      </c>
    </row>
    <row r="52" spans="1:7" x14ac:dyDescent="0.2">
      <c r="A52">
        <v>48</v>
      </c>
      <c r="B52" t="s">
        <v>137</v>
      </c>
      <c r="C52" s="8" t="s">
        <v>140</v>
      </c>
      <c r="D52" s="8" t="s">
        <v>141</v>
      </c>
      <c r="E52">
        <f>SUM(DynRevenue)</f>
        <v>17874</v>
      </c>
      <c r="F52">
        <f>SUM(Data!E2:E21)</f>
        <v>17874</v>
      </c>
      <c r="G52" t="str">
        <f t="shared" si="0"/>
        <v>PASS</v>
      </c>
    </row>
    <row r="53" spans="1:7" x14ac:dyDescent="0.2">
      <c r="A53">
        <v>49</v>
      </c>
      <c r="B53" t="s">
        <v>142</v>
      </c>
      <c r="C53" s="8" t="s">
        <v>143</v>
      </c>
      <c r="D53" s="8" t="s">
        <v>144</v>
      </c>
      <c r="E53">
        <f>SUM(Sales_2024)</f>
        <v>9269</v>
      </c>
      <c r="F53">
        <f>SUM(Data!E2:E11)</f>
        <v>9269</v>
      </c>
      <c r="G53" t="str">
        <f t="shared" si="0"/>
        <v>PASS</v>
      </c>
    </row>
    <row r="54" spans="1:7" x14ac:dyDescent="0.2">
      <c r="A54">
        <v>50</v>
      </c>
      <c r="B54" t="s">
        <v>142</v>
      </c>
      <c r="C54" s="8" t="s">
        <v>145</v>
      </c>
      <c r="D54" s="8" t="s">
        <v>146</v>
      </c>
      <c r="E54">
        <f>Rate.Commission</f>
        <v>0.05</v>
      </c>
      <c r="F54">
        <f>Inputs!E2</f>
        <v>0.05</v>
      </c>
      <c r="G54" t="str">
        <f t="shared" si="0"/>
        <v>PASS</v>
      </c>
    </row>
    <row r="55" spans="1:7" x14ac:dyDescent="0.2">
      <c r="A55">
        <v>51</v>
      </c>
      <c r="B55" t="s">
        <v>142</v>
      </c>
      <c r="C55" s="8" t="s">
        <v>147</v>
      </c>
      <c r="D55" s="8" t="s">
        <v>148</v>
      </c>
      <c r="E55">
        <f>_Helper</f>
        <v>250</v>
      </c>
      <c r="F55">
        <f>Inputs!B10</f>
        <v>250</v>
      </c>
      <c r="G55" t="str">
        <f t="shared" si="0"/>
        <v>PASS</v>
      </c>
    </row>
    <row r="56" spans="1:7" x14ac:dyDescent="0.2">
      <c r="A56">
        <v>52</v>
      </c>
      <c r="B56" t="s">
        <v>149</v>
      </c>
      <c r="C56" s="8" t="s">
        <v>150</v>
      </c>
      <c r="D56" s="8" t="s">
        <v>151</v>
      </c>
      <c r="E56">
        <f>lowercasename</f>
        <v>50</v>
      </c>
      <c r="F56">
        <f>Inputs!B8</f>
        <v>50</v>
      </c>
      <c r="G56" t="str">
        <f t="shared" si="0"/>
        <v>PASS</v>
      </c>
    </row>
    <row r="57" spans="1:7" x14ac:dyDescent="0.2">
      <c r="A57">
        <v>53</v>
      </c>
      <c r="B57" t="s">
        <v>142</v>
      </c>
      <c r="C57" s="8" t="s">
        <v>152</v>
      </c>
      <c r="D57" s="8" t="s">
        <v>153</v>
      </c>
      <c r="E57">
        <f>SUM(This_Is_A_Very_Long_Named_Range_For_Testing)</f>
        <v>1013</v>
      </c>
      <c r="F57">
        <f>SUM(Data!C2:C21)</f>
        <v>1013</v>
      </c>
      <c r="G57" t="str">
        <f t="shared" si="0"/>
        <v>PASS</v>
      </c>
    </row>
    <row r="58" spans="1:7" x14ac:dyDescent="0.2">
      <c r="A58">
        <v>54</v>
      </c>
      <c r="B58" t="s">
        <v>154</v>
      </c>
      <c r="C58" s="8" t="s">
        <v>155</v>
      </c>
      <c r="D58" s="8" t="s">
        <v>156</v>
      </c>
      <c r="E58">
        <f>SUM(UnionRange)</f>
        <v>251</v>
      </c>
      <c r="F58">
        <f>SUM(Data!C2:C4,Data!C19:C21)</f>
        <v>251</v>
      </c>
      <c r="G58" t="str">
        <f t="shared" si="0"/>
        <v>PASS</v>
      </c>
    </row>
    <row r="59" spans="1:7" x14ac:dyDescent="0.2">
      <c r="A59">
        <v>55</v>
      </c>
      <c r="B59" t="s">
        <v>157</v>
      </c>
      <c r="C59" s="8" t="s">
        <v>158</v>
      </c>
      <c r="D59" s="8" t="s">
        <v>159</v>
      </c>
      <c r="E59">
        <f>Scope_Test</f>
        <v>3</v>
      </c>
      <c r="F59">
        <f>Inputs!B9</f>
        <v>3</v>
      </c>
      <c r="G59" t="str">
        <f t="shared" si="0"/>
        <v>PASS</v>
      </c>
    </row>
    <row r="60" spans="1:7" x14ac:dyDescent="0.2">
      <c r="A60">
        <v>56</v>
      </c>
      <c r="B60" t="s">
        <v>160</v>
      </c>
      <c r="C60" s="8" t="s">
        <v>161</v>
      </c>
      <c r="D60" s="8" t="s">
        <v>162</v>
      </c>
      <c r="E60">
        <f>Data!Scope_Test</f>
        <v>12</v>
      </c>
      <c r="F60">
        <f>Data!C2</f>
        <v>12</v>
      </c>
      <c r="G60" t="str">
        <f t="shared" si="0"/>
        <v>PASS</v>
      </c>
    </row>
    <row r="61" spans="1:7" x14ac:dyDescent="0.2">
      <c r="A61">
        <v>57</v>
      </c>
      <c r="B61" t="s">
        <v>163</v>
      </c>
      <c r="C61" s="8" t="s">
        <v>164</v>
      </c>
      <c r="D61" s="8" t="s">
        <v>165</v>
      </c>
      <c r="E61">
        <f>LocalBonus</f>
        <v>250</v>
      </c>
      <c r="F61">
        <f>Inputs!B10</f>
        <v>250</v>
      </c>
      <c r="G61" t="str">
        <f t="shared" si="0"/>
        <v>PASS</v>
      </c>
    </row>
    <row r="62" spans="1:7" x14ac:dyDescent="0.2">
      <c r="A62">
        <v>58</v>
      </c>
      <c r="B62" t="s">
        <v>166</v>
      </c>
      <c r="C62" s="8" t="s">
        <v>167</v>
      </c>
      <c r="D62" s="8" t="s">
        <v>168</v>
      </c>
      <c r="E62">
        <f>HiddenName</f>
        <v>1.1000000000000001</v>
      </c>
      <c r="F62">
        <f>Inputs!B4</f>
        <v>1.1000000000000001</v>
      </c>
      <c r="G62" t="str">
        <f t="shared" si="0"/>
        <v>PASS</v>
      </c>
    </row>
    <row r="63" spans="1:7" x14ac:dyDescent="0.2">
      <c r="A63">
        <v>59</v>
      </c>
      <c r="B63" t="s">
        <v>169</v>
      </c>
      <c r="C63" s="8" t="s">
        <v>170</v>
      </c>
      <c r="D63" s="8" t="s">
        <v>171</v>
      </c>
      <c r="E63">
        <f>COUNTBLANK(EmptyRange)</f>
        <v>4</v>
      </c>
      <c r="F63">
        <f>COUNTBLANK(Data!G2:G5)</f>
        <v>4</v>
      </c>
      <c r="G63" t="str">
        <f t="shared" si="0"/>
        <v>PASS</v>
      </c>
    </row>
  </sheetData>
  <conditionalFormatting sqref="G5:G63">
    <cfRule type="containsText" dxfId="1" priority="1" operator="containsText" text="PASS">
      <formula>NOT(ISERROR(SEARCH("PASS",G5)))</formula>
    </cfRule>
  </conditionalFormatting>
  <conditionalFormatting sqref="G5:G63">
    <cfRule type="containsText" dxfId="0" priority="2" operator="containsText" text="FAIL">
      <formula>NOT(ISERROR(SEARCH("FAIL",G5)))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18601-E6DB-C14A-820C-5CFE921F17F2}">
  <dimension ref="A1:E10"/>
  <sheetViews>
    <sheetView workbookViewId="0"/>
  </sheetViews>
  <sheetFormatPr baseColWidth="10" defaultRowHeight="16" x14ac:dyDescent="0.2"/>
  <sheetData>
    <row r="1" spans="1:5" x14ac:dyDescent="0.2">
      <c r="A1" s="4" t="s">
        <v>0</v>
      </c>
      <c r="B1" s="4" t="s">
        <v>1</v>
      </c>
      <c r="C1" s="4"/>
      <c r="D1" s="4" t="s">
        <v>12</v>
      </c>
      <c r="E1" s="4" t="s">
        <v>13</v>
      </c>
    </row>
    <row r="2" spans="1:5" x14ac:dyDescent="0.2">
      <c r="A2" t="s">
        <v>2</v>
      </c>
      <c r="B2" s="2">
        <v>0.08</v>
      </c>
      <c r="D2" t="s">
        <v>14</v>
      </c>
      <c r="E2" s="2">
        <v>0.05</v>
      </c>
    </row>
    <row r="3" spans="1:5" x14ac:dyDescent="0.2">
      <c r="A3" t="s">
        <v>3</v>
      </c>
      <c r="B3" s="2">
        <v>0.05</v>
      </c>
      <c r="D3" t="s">
        <v>15</v>
      </c>
      <c r="E3" s="2">
        <v>0.04</v>
      </c>
    </row>
    <row r="4" spans="1:5" x14ac:dyDescent="0.2">
      <c r="A4" t="s">
        <v>4</v>
      </c>
      <c r="B4">
        <v>1.1000000000000001</v>
      </c>
      <c r="D4" t="s">
        <v>16</v>
      </c>
      <c r="E4" s="2">
        <v>0.06</v>
      </c>
    </row>
    <row r="5" spans="1:5" x14ac:dyDescent="0.2">
      <c r="A5" t="s">
        <v>5</v>
      </c>
      <c r="B5" s="1">
        <f>DATE(2026,1,1)</f>
        <v>46023</v>
      </c>
      <c r="D5" t="s">
        <v>17</v>
      </c>
      <c r="E5" s="2">
        <v>0.03</v>
      </c>
    </row>
    <row r="6" spans="1:5" x14ac:dyDescent="0.2">
      <c r="A6" t="s">
        <v>6</v>
      </c>
      <c r="B6">
        <v>5000</v>
      </c>
    </row>
    <row r="7" spans="1:5" x14ac:dyDescent="0.2">
      <c r="A7" t="s">
        <v>7</v>
      </c>
      <c r="B7" t="s">
        <v>8</v>
      </c>
    </row>
    <row r="8" spans="1:5" x14ac:dyDescent="0.2">
      <c r="A8" t="s">
        <v>9</v>
      </c>
      <c r="B8">
        <v>50</v>
      </c>
    </row>
    <row r="9" spans="1:5" x14ac:dyDescent="0.2">
      <c r="A9" t="s">
        <v>10</v>
      </c>
      <c r="B9">
        <v>3</v>
      </c>
    </row>
    <row r="10" spans="1:5" x14ac:dyDescent="0.2">
      <c r="A10" t="s">
        <v>11</v>
      </c>
      <c r="B10">
        <v>250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9D99F-3918-F242-B566-25D210096BE1}">
  <dimension ref="A1:G21"/>
  <sheetViews>
    <sheetView workbookViewId="0"/>
  </sheetViews>
  <sheetFormatPr baseColWidth="10" defaultRowHeight="16" x14ac:dyDescent="0.2"/>
  <sheetData>
    <row r="1" spans="1:7" x14ac:dyDescent="0.2">
      <c r="A1" s="4" t="s">
        <v>12</v>
      </c>
      <c r="B1" s="4" t="s">
        <v>18</v>
      </c>
      <c r="C1" s="4" t="s">
        <v>19</v>
      </c>
      <c r="D1" s="4" t="s">
        <v>20</v>
      </c>
      <c r="E1" s="4" t="s">
        <v>21</v>
      </c>
      <c r="F1" s="4"/>
      <c r="G1" s="4" t="s">
        <v>25</v>
      </c>
    </row>
    <row r="2" spans="1:7" x14ac:dyDescent="0.2">
      <c r="A2" t="s">
        <v>14</v>
      </c>
      <c r="B2" t="s">
        <v>22</v>
      </c>
      <c r="C2">
        <v>12</v>
      </c>
      <c r="D2" s="3">
        <v>10</v>
      </c>
      <c r="E2" s="3">
        <f>C2*D2</f>
        <v>120</v>
      </c>
    </row>
    <row r="3" spans="1:7" x14ac:dyDescent="0.2">
      <c r="A3" t="s">
        <v>15</v>
      </c>
      <c r="B3" t="s">
        <v>23</v>
      </c>
      <c r="C3">
        <v>45</v>
      </c>
      <c r="D3" s="3">
        <v>15</v>
      </c>
      <c r="E3" s="3">
        <f t="shared" ref="E3:E21" si="0">C3*D3</f>
        <v>675</v>
      </c>
    </row>
    <row r="4" spans="1:7" x14ac:dyDescent="0.2">
      <c r="A4" t="s">
        <v>16</v>
      </c>
      <c r="B4" t="s">
        <v>24</v>
      </c>
      <c r="C4">
        <v>67</v>
      </c>
      <c r="D4" s="3">
        <v>20</v>
      </c>
      <c r="E4" s="3">
        <f t="shared" si="0"/>
        <v>1340</v>
      </c>
    </row>
    <row r="5" spans="1:7" x14ac:dyDescent="0.2">
      <c r="A5" t="s">
        <v>17</v>
      </c>
      <c r="B5" t="s">
        <v>22</v>
      </c>
      <c r="C5">
        <v>23</v>
      </c>
      <c r="D5" s="3">
        <v>12</v>
      </c>
      <c r="E5" s="3">
        <f t="shared" si="0"/>
        <v>276</v>
      </c>
    </row>
    <row r="6" spans="1:7" x14ac:dyDescent="0.2">
      <c r="A6" t="s">
        <v>14</v>
      </c>
      <c r="B6" t="s">
        <v>23</v>
      </c>
      <c r="C6">
        <v>89</v>
      </c>
      <c r="D6" s="3">
        <v>18</v>
      </c>
      <c r="E6" s="3">
        <f t="shared" si="0"/>
        <v>1602</v>
      </c>
    </row>
    <row r="7" spans="1:7" x14ac:dyDescent="0.2">
      <c r="A7" t="s">
        <v>15</v>
      </c>
      <c r="B7" t="s">
        <v>24</v>
      </c>
      <c r="C7">
        <v>34</v>
      </c>
      <c r="D7" s="3">
        <v>25</v>
      </c>
      <c r="E7" s="3">
        <f t="shared" si="0"/>
        <v>850</v>
      </c>
    </row>
    <row r="8" spans="1:7" x14ac:dyDescent="0.2">
      <c r="A8" t="s">
        <v>16</v>
      </c>
      <c r="B8" t="s">
        <v>22</v>
      </c>
      <c r="C8">
        <v>56</v>
      </c>
      <c r="D8" s="3">
        <v>8</v>
      </c>
      <c r="E8" s="3">
        <f t="shared" si="0"/>
        <v>448</v>
      </c>
    </row>
    <row r="9" spans="1:7" x14ac:dyDescent="0.2">
      <c r="A9" t="s">
        <v>17</v>
      </c>
      <c r="B9" t="s">
        <v>23</v>
      </c>
      <c r="C9">
        <v>78</v>
      </c>
      <c r="D9" s="3">
        <v>30</v>
      </c>
      <c r="E9" s="3">
        <f t="shared" si="0"/>
        <v>2340</v>
      </c>
    </row>
    <row r="10" spans="1:7" x14ac:dyDescent="0.2">
      <c r="A10" t="s">
        <v>14</v>
      </c>
      <c r="B10" t="s">
        <v>24</v>
      </c>
      <c r="C10">
        <v>15</v>
      </c>
      <c r="D10" s="3">
        <v>22</v>
      </c>
      <c r="E10" s="3">
        <f t="shared" si="0"/>
        <v>330</v>
      </c>
    </row>
    <row r="11" spans="1:7" x14ac:dyDescent="0.2">
      <c r="A11" t="s">
        <v>15</v>
      </c>
      <c r="B11" t="s">
        <v>22</v>
      </c>
      <c r="C11">
        <v>92</v>
      </c>
      <c r="D11" s="3">
        <v>14</v>
      </c>
      <c r="E11" s="3">
        <f t="shared" si="0"/>
        <v>1288</v>
      </c>
    </row>
    <row r="12" spans="1:7" x14ac:dyDescent="0.2">
      <c r="A12" t="s">
        <v>16</v>
      </c>
      <c r="B12" t="s">
        <v>23</v>
      </c>
      <c r="C12">
        <v>41</v>
      </c>
      <c r="D12" s="3">
        <v>16</v>
      </c>
      <c r="E12" s="3">
        <f t="shared" si="0"/>
        <v>656</v>
      </c>
    </row>
    <row r="13" spans="1:7" x14ac:dyDescent="0.2">
      <c r="A13" t="s">
        <v>17</v>
      </c>
      <c r="B13" t="s">
        <v>24</v>
      </c>
      <c r="C13">
        <v>63</v>
      </c>
      <c r="D13" s="3">
        <v>11</v>
      </c>
      <c r="E13" s="3">
        <f t="shared" si="0"/>
        <v>693</v>
      </c>
    </row>
    <row r="14" spans="1:7" x14ac:dyDescent="0.2">
      <c r="A14" t="s">
        <v>14</v>
      </c>
      <c r="B14" t="s">
        <v>22</v>
      </c>
      <c r="C14">
        <v>27</v>
      </c>
      <c r="D14" s="3">
        <v>28</v>
      </c>
      <c r="E14" s="3">
        <f t="shared" si="0"/>
        <v>756</v>
      </c>
    </row>
    <row r="15" spans="1:7" x14ac:dyDescent="0.2">
      <c r="A15" t="s">
        <v>15</v>
      </c>
      <c r="B15" t="s">
        <v>23</v>
      </c>
      <c r="C15">
        <v>70</v>
      </c>
      <c r="D15" s="3">
        <v>9</v>
      </c>
      <c r="E15" s="3">
        <f t="shared" si="0"/>
        <v>630</v>
      </c>
    </row>
    <row r="16" spans="1:7" x14ac:dyDescent="0.2">
      <c r="A16" t="s">
        <v>16</v>
      </c>
      <c r="B16" t="s">
        <v>24</v>
      </c>
      <c r="C16">
        <v>38</v>
      </c>
      <c r="D16" s="3">
        <v>19</v>
      </c>
      <c r="E16" s="3">
        <f t="shared" si="0"/>
        <v>722</v>
      </c>
    </row>
    <row r="17" spans="1:5" x14ac:dyDescent="0.2">
      <c r="A17" t="s">
        <v>17</v>
      </c>
      <c r="B17" t="s">
        <v>22</v>
      </c>
      <c r="C17">
        <v>55</v>
      </c>
      <c r="D17" s="3">
        <v>24</v>
      </c>
      <c r="E17" s="3">
        <f t="shared" si="0"/>
        <v>1320</v>
      </c>
    </row>
    <row r="18" spans="1:5" x14ac:dyDescent="0.2">
      <c r="A18" t="s">
        <v>14</v>
      </c>
      <c r="B18" t="s">
        <v>23</v>
      </c>
      <c r="C18">
        <v>81</v>
      </c>
      <c r="D18" s="3">
        <v>13</v>
      </c>
      <c r="E18" s="3">
        <f t="shared" si="0"/>
        <v>1053</v>
      </c>
    </row>
    <row r="19" spans="1:5" x14ac:dyDescent="0.2">
      <c r="A19" t="s">
        <v>15</v>
      </c>
      <c r="B19" t="s">
        <v>24</v>
      </c>
      <c r="C19">
        <v>19</v>
      </c>
      <c r="D19" s="3">
        <v>21</v>
      </c>
      <c r="E19" s="3">
        <f t="shared" si="0"/>
        <v>399</v>
      </c>
    </row>
    <row r="20" spans="1:5" x14ac:dyDescent="0.2">
      <c r="A20" t="s">
        <v>16</v>
      </c>
      <c r="B20" t="s">
        <v>22</v>
      </c>
      <c r="C20">
        <v>48</v>
      </c>
      <c r="D20" s="3">
        <v>17</v>
      </c>
      <c r="E20" s="3">
        <f t="shared" si="0"/>
        <v>816</v>
      </c>
    </row>
    <row r="21" spans="1:5" x14ac:dyDescent="0.2">
      <c r="A21" t="s">
        <v>17</v>
      </c>
      <c r="B21" t="s">
        <v>23</v>
      </c>
      <c r="C21">
        <v>60</v>
      </c>
      <c r="D21" s="3">
        <v>26</v>
      </c>
      <c r="E21" s="3">
        <f t="shared" si="0"/>
        <v>1560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8E51D-21AE-DB44-9404-3AA03280270E}">
  <dimension ref="A1:B5"/>
  <sheetViews>
    <sheetView workbookViewId="0"/>
  </sheetViews>
  <sheetFormatPr baseColWidth="10" defaultRowHeight="16" x14ac:dyDescent="0.2"/>
  <sheetData>
    <row r="1" spans="1:2" x14ac:dyDescent="0.2">
      <c r="A1" s="4" t="s">
        <v>26</v>
      </c>
      <c r="B1" s="4" t="s">
        <v>27</v>
      </c>
    </row>
    <row r="2" spans="1:2" x14ac:dyDescent="0.2">
      <c r="A2" t="s">
        <v>28</v>
      </c>
      <c r="B2">
        <v>1200</v>
      </c>
    </row>
    <row r="3" spans="1:2" x14ac:dyDescent="0.2">
      <c r="A3" t="s">
        <v>29</v>
      </c>
      <c r="B3">
        <v>1500</v>
      </c>
    </row>
    <row r="4" spans="1:2" x14ac:dyDescent="0.2">
      <c r="A4" t="s">
        <v>30</v>
      </c>
      <c r="B4">
        <v>1800</v>
      </c>
    </row>
    <row r="5" spans="1:2" x14ac:dyDescent="0.2">
      <c r="A5" t="s">
        <v>31</v>
      </c>
      <c r="B5">
        <f>SUM(B2:B4)</f>
        <v>4500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D912E-3474-C948-A1AC-F5424B286C3B}">
  <dimension ref="A1:E51"/>
  <sheetViews>
    <sheetView workbookViewId="0">
      <pane ySplit="1" topLeftCell="A2" activePane="bottomLeft" state="frozen"/>
      <selection pane="bottomLeft"/>
    </sheetView>
  </sheetViews>
  <sheetFormatPr baseColWidth="10" defaultRowHeight="16" x14ac:dyDescent="0.2"/>
  <cols>
    <col min="1" max="1" width="43.33203125" customWidth="1"/>
    <col min="2" max="2" width="11.6640625" customWidth="1"/>
    <col min="3" max="3" width="50" customWidth="1"/>
    <col min="4" max="4" width="36.6640625" customWidth="1"/>
  </cols>
  <sheetData>
    <row r="1" spans="1:5" x14ac:dyDescent="0.2">
      <c r="A1" s="7" t="s">
        <v>172</v>
      </c>
      <c r="B1" s="7" t="s">
        <v>173</v>
      </c>
      <c r="C1" s="7" t="s">
        <v>174</v>
      </c>
      <c r="D1" s="7" t="s">
        <v>175</v>
      </c>
      <c r="E1" s="7" t="s">
        <v>176</v>
      </c>
    </row>
    <row r="2" spans="1:5" x14ac:dyDescent="0.2">
      <c r="A2" t="s">
        <v>147</v>
      </c>
      <c r="B2" t="s">
        <v>177</v>
      </c>
      <c r="C2" s="8" t="s">
        <v>178</v>
      </c>
      <c r="D2" t="s">
        <v>179</v>
      </c>
      <c r="E2" t="b">
        <v>1</v>
      </c>
    </row>
    <row r="3" spans="1:5" x14ac:dyDescent="0.2">
      <c r="A3" t="s">
        <v>128</v>
      </c>
      <c r="B3" t="s">
        <v>177</v>
      </c>
      <c r="C3" s="8" t="s">
        <v>180</v>
      </c>
      <c r="D3" t="s">
        <v>38</v>
      </c>
      <c r="E3" t="b">
        <v>1</v>
      </c>
    </row>
    <row r="4" spans="1:5" x14ac:dyDescent="0.2">
      <c r="A4" t="s">
        <v>11</v>
      </c>
      <c r="B4" t="s">
        <v>177</v>
      </c>
      <c r="C4" s="8" t="s">
        <v>178</v>
      </c>
      <c r="D4" t="s">
        <v>42</v>
      </c>
      <c r="E4" t="b">
        <v>1</v>
      </c>
    </row>
    <row r="5" spans="1:5" x14ac:dyDescent="0.2">
      <c r="A5" t="s">
        <v>83</v>
      </c>
      <c r="B5" t="s">
        <v>177</v>
      </c>
      <c r="C5" s="8" t="s">
        <v>181</v>
      </c>
      <c r="D5" t="s">
        <v>182</v>
      </c>
      <c r="E5" t="b">
        <v>1</v>
      </c>
    </row>
    <row r="6" spans="1:5" x14ac:dyDescent="0.2">
      <c r="A6" t="s">
        <v>183</v>
      </c>
      <c r="B6" t="s">
        <v>177</v>
      </c>
      <c r="C6" s="8" t="s">
        <v>184</v>
      </c>
      <c r="D6" t="s">
        <v>185</v>
      </c>
      <c r="E6" t="b">
        <v>1</v>
      </c>
    </row>
    <row r="7" spans="1:5" x14ac:dyDescent="0.2">
      <c r="A7" t="s">
        <v>186</v>
      </c>
      <c r="B7" t="s">
        <v>177</v>
      </c>
      <c r="C7" s="8" t="s">
        <v>187</v>
      </c>
      <c r="D7" t="s">
        <v>185</v>
      </c>
      <c r="E7" t="b">
        <v>1</v>
      </c>
    </row>
    <row r="8" spans="1:5" x14ac:dyDescent="0.2">
      <c r="A8" t="s">
        <v>7</v>
      </c>
      <c r="B8" t="s">
        <v>177</v>
      </c>
      <c r="C8" s="8" t="s">
        <v>188</v>
      </c>
      <c r="D8" t="s">
        <v>49</v>
      </c>
      <c r="E8" t="b">
        <v>1</v>
      </c>
    </row>
    <row r="9" spans="1:5" x14ac:dyDescent="0.2">
      <c r="A9" t="s">
        <v>189</v>
      </c>
      <c r="B9" t="s">
        <v>177</v>
      </c>
      <c r="C9" s="8" t="s">
        <v>190</v>
      </c>
      <c r="D9" t="s">
        <v>122</v>
      </c>
      <c r="E9" t="b">
        <v>1</v>
      </c>
    </row>
    <row r="10" spans="1:5" x14ac:dyDescent="0.2">
      <c r="A10" t="s">
        <v>118</v>
      </c>
      <c r="B10" t="s">
        <v>177</v>
      </c>
      <c r="C10" s="8" t="s">
        <v>191</v>
      </c>
      <c r="D10" t="s">
        <v>192</v>
      </c>
      <c r="E10" t="b">
        <v>1</v>
      </c>
    </row>
    <row r="11" spans="1:5" x14ac:dyDescent="0.2">
      <c r="A11" t="s">
        <v>120</v>
      </c>
      <c r="B11" t="s">
        <v>177</v>
      </c>
      <c r="C11" s="8" t="s">
        <v>193</v>
      </c>
      <c r="D11" t="s">
        <v>192</v>
      </c>
      <c r="E11" t="b">
        <v>1</v>
      </c>
    </row>
    <row r="12" spans="1:5" x14ac:dyDescent="0.2">
      <c r="A12" t="s">
        <v>3</v>
      </c>
      <c r="B12" t="s">
        <v>177</v>
      </c>
      <c r="C12" s="8" t="s">
        <v>194</v>
      </c>
      <c r="D12" t="s">
        <v>42</v>
      </c>
      <c r="E12" t="b">
        <v>1</v>
      </c>
    </row>
    <row r="13" spans="1:5" x14ac:dyDescent="0.2">
      <c r="A13" t="s">
        <v>132</v>
      </c>
      <c r="B13" t="s">
        <v>177</v>
      </c>
      <c r="C13" s="8" t="s">
        <v>195</v>
      </c>
      <c r="D13" t="s">
        <v>38</v>
      </c>
      <c r="E13" t="b">
        <v>1</v>
      </c>
    </row>
    <row r="14" spans="1:5" x14ac:dyDescent="0.2">
      <c r="A14" t="s">
        <v>140</v>
      </c>
      <c r="B14" t="s">
        <v>177</v>
      </c>
      <c r="C14" s="8" t="s">
        <v>196</v>
      </c>
      <c r="D14" t="s">
        <v>197</v>
      </c>
      <c r="E14" t="b">
        <v>1</v>
      </c>
    </row>
    <row r="15" spans="1:5" x14ac:dyDescent="0.2">
      <c r="A15" t="s">
        <v>138</v>
      </c>
      <c r="B15" t="s">
        <v>177</v>
      </c>
      <c r="C15" s="8" t="s">
        <v>198</v>
      </c>
      <c r="D15" t="s">
        <v>199</v>
      </c>
      <c r="E15" t="b">
        <v>1</v>
      </c>
    </row>
    <row r="16" spans="1:5" x14ac:dyDescent="0.2">
      <c r="A16" t="s">
        <v>170</v>
      </c>
      <c r="B16" t="s">
        <v>177</v>
      </c>
      <c r="C16" s="8" t="s">
        <v>200</v>
      </c>
      <c r="D16" t="s">
        <v>169</v>
      </c>
      <c r="E16" t="b">
        <v>1</v>
      </c>
    </row>
    <row r="17" spans="1:5" x14ac:dyDescent="0.2">
      <c r="A17" t="s">
        <v>97</v>
      </c>
      <c r="B17" t="s">
        <v>177</v>
      </c>
      <c r="C17" s="8" t="s">
        <v>201</v>
      </c>
      <c r="D17" t="s">
        <v>96</v>
      </c>
      <c r="E17" t="b">
        <v>1</v>
      </c>
    </row>
    <row r="18" spans="1:5" x14ac:dyDescent="0.2">
      <c r="A18" t="s">
        <v>54</v>
      </c>
      <c r="B18" t="s">
        <v>177</v>
      </c>
      <c r="C18" s="8" t="s">
        <v>202</v>
      </c>
      <c r="D18" t="s">
        <v>42</v>
      </c>
      <c r="E18" t="b">
        <v>1</v>
      </c>
    </row>
    <row r="19" spans="1:5" x14ac:dyDescent="0.2">
      <c r="A19" t="s">
        <v>4</v>
      </c>
      <c r="B19" t="s">
        <v>177</v>
      </c>
      <c r="C19" s="8" t="s">
        <v>203</v>
      </c>
      <c r="D19" t="s">
        <v>42</v>
      </c>
      <c r="E19" t="b">
        <v>1</v>
      </c>
    </row>
    <row r="20" spans="1:5" x14ac:dyDescent="0.2">
      <c r="A20" t="s">
        <v>135</v>
      </c>
      <c r="B20" t="s">
        <v>177</v>
      </c>
      <c r="C20" s="8" t="s">
        <v>204</v>
      </c>
      <c r="D20" t="s">
        <v>134</v>
      </c>
      <c r="E20" t="b">
        <v>1</v>
      </c>
    </row>
    <row r="21" spans="1:5" x14ac:dyDescent="0.2">
      <c r="A21" t="s">
        <v>108</v>
      </c>
      <c r="B21" t="s">
        <v>177</v>
      </c>
      <c r="C21" s="8" t="s">
        <v>205</v>
      </c>
      <c r="D21" t="s">
        <v>107</v>
      </c>
      <c r="E21" t="b">
        <v>1</v>
      </c>
    </row>
    <row r="22" spans="1:5" x14ac:dyDescent="0.2">
      <c r="A22" t="s">
        <v>167</v>
      </c>
      <c r="B22" t="s">
        <v>177</v>
      </c>
      <c r="C22" s="8" t="s">
        <v>203</v>
      </c>
      <c r="D22" t="s">
        <v>166</v>
      </c>
      <c r="E22" t="b">
        <v>0</v>
      </c>
    </row>
    <row r="23" spans="1:5" x14ac:dyDescent="0.2">
      <c r="A23" t="s">
        <v>99</v>
      </c>
      <c r="B23" t="s">
        <v>177</v>
      </c>
      <c r="C23" s="8" t="s">
        <v>206</v>
      </c>
      <c r="D23" t="s">
        <v>96</v>
      </c>
      <c r="E23" t="b">
        <v>1</v>
      </c>
    </row>
    <row r="24" spans="1:5" x14ac:dyDescent="0.2">
      <c r="A24" t="s">
        <v>56</v>
      </c>
      <c r="B24" t="s">
        <v>177</v>
      </c>
      <c r="C24" s="8" t="s">
        <v>207</v>
      </c>
      <c r="D24" t="s">
        <v>42</v>
      </c>
      <c r="E24" t="b">
        <v>1</v>
      </c>
    </row>
    <row r="25" spans="1:5" x14ac:dyDescent="0.2">
      <c r="A25" t="s">
        <v>150</v>
      </c>
      <c r="B25" t="s">
        <v>177</v>
      </c>
      <c r="C25" s="8" t="s">
        <v>208</v>
      </c>
      <c r="D25" t="s">
        <v>209</v>
      </c>
      <c r="E25" t="b">
        <v>1</v>
      </c>
    </row>
    <row r="26" spans="1:5" x14ac:dyDescent="0.2">
      <c r="A26" t="s">
        <v>10</v>
      </c>
      <c r="B26" t="s">
        <v>177</v>
      </c>
      <c r="C26" s="8" t="s">
        <v>210</v>
      </c>
      <c r="D26" t="s">
        <v>42</v>
      </c>
      <c r="E26" t="b">
        <v>1</v>
      </c>
    </row>
    <row r="27" spans="1:5" x14ac:dyDescent="0.2">
      <c r="A27" t="s">
        <v>60</v>
      </c>
      <c r="B27" t="s">
        <v>177</v>
      </c>
      <c r="C27" s="8" t="s">
        <v>211</v>
      </c>
      <c r="D27" t="s">
        <v>185</v>
      </c>
      <c r="E27" t="b">
        <v>1</v>
      </c>
    </row>
    <row r="28" spans="1:5" x14ac:dyDescent="0.2">
      <c r="A28" t="s">
        <v>74</v>
      </c>
      <c r="B28" t="s">
        <v>177</v>
      </c>
      <c r="C28" s="8" t="s">
        <v>212</v>
      </c>
      <c r="D28" t="s">
        <v>185</v>
      </c>
      <c r="E28" t="b">
        <v>1</v>
      </c>
    </row>
    <row r="29" spans="1:5" x14ac:dyDescent="0.2">
      <c r="A29" t="s">
        <v>113</v>
      </c>
      <c r="B29" t="s">
        <v>177</v>
      </c>
      <c r="C29" s="8" t="s">
        <v>213</v>
      </c>
      <c r="D29" t="s">
        <v>214</v>
      </c>
      <c r="E29" t="b">
        <v>1</v>
      </c>
    </row>
    <row r="30" spans="1:5" x14ac:dyDescent="0.2">
      <c r="A30" t="s">
        <v>115</v>
      </c>
      <c r="B30" t="s">
        <v>177</v>
      </c>
      <c r="C30" s="8" t="s">
        <v>215</v>
      </c>
      <c r="D30" t="s">
        <v>216</v>
      </c>
      <c r="E30" t="b">
        <v>1</v>
      </c>
    </row>
    <row r="31" spans="1:5" x14ac:dyDescent="0.2">
      <c r="A31" t="s">
        <v>111</v>
      </c>
      <c r="B31" t="s">
        <v>177</v>
      </c>
      <c r="C31" s="8" t="s">
        <v>217</v>
      </c>
      <c r="D31" t="s">
        <v>214</v>
      </c>
      <c r="E31" t="b">
        <v>1</v>
      </c>
    </row>
    <row r="32" spans="1:5" x14ac:dyDescent="0.2">
      <c r="A32" t="s">
        <v>145</v>
      </c>
      <c r="B32" t="s">
        <v>177</v>
      </c>
      <c r="C32" s="8" t="s">
        <v>218</v>
      </c>
      <c r="D32" t="s">
        <v>219</v>
      </c>
      <c r="E32" t="b">
        <v>1</v>
      </c>
    </row>
    <row r="33" spans="1:5" x14ac:dyDescent="0.2">
      <c r="A33" t="s">
        <v>65</v>
      </c>
      <c r="B33" t="s">
        <v>177</v>
      </c>
      <c r="C33" s="8" t="s">
        <v>220</v>
      </c>
      <c r="D33" t="s">
        <v>185</v>
      </c>
      <c r="E33" t="b">
        <v>1</v>
      </c>
    </row>
    <row r="34" spans="1:5" x14ac:dyDescent="0.2">
      <c r="A34" t="s">
        <v>21</v>
      </c>
      <c r="B34" t="s">
        <v>177</v>
      </c>
      <c r="C34" s="8" t="s">
        <v>221</v>
      </c>
      <c r="D34" t="s">
        <v>185</v>
      </c>
      <c r="E34" t="b">
        <v>1</v>
      </c>
    </row>
    <row r="35" spans="1:5" x14ac:dyDescent="0.2">
      <c r="A35" t="s">
        <v>130</v>
      </c>
      <c r="B35" t="s">
        <v>177</v>
      </c>
      <c r="C35" s="8" t="s">
        <v>222</v>
      </c>
      <c r="D35" t="s">
        <v>38</v>
      </c>
      <c r="E35" t="b">
        <v>1</v>
      </c>
    </row>
    <row r="36" spans="1:5" x14ac:dyDescent="0.2">
      <c r="A36" t="s">
        <v>143</v>
      </c>
      <c r="B36" t="s">
        <v>177</v>
      </c>
      <c r="C36" s="8" t="s">
        <v>223</v>
      </c>
      <c r="D36" t="s">
        <v>224</v>
      </c>
      <c r="E36" t="b">
        <v>1</v>
      </c>
    </row>
    <row r="37" spans="1:5" x14ac:dyDescent="0.2">
      <c r="A37" t="s">
        <v>91</v>
      </c>
      <c r="B37" t="s">
        <v>177</v>
      </c>
      <c r="C37" s="8" t="s">
        <v>225</v>
      </c>
      <c r="D37" t="s">
        <v>226</v>
      </c>
      <c r="E37" t="b">
        <v>1</v>
      </c>
    </row>
    <row r="38" spans="1:5" x14ac:dyDescent="0.2">
      <c r="A38" t="s">
        <v>89</v>
      </c>
      <c r="B38" t="s">
        <v>177</v>
      </c>
      <c r="C38" s="8" t="s">
        <v>227</v>
      </c>
      <c r="D38" t="s">
        <v>182</v>
      </c>
      <c r="E38" t="b">
        <v>1</v>
      </c>
    </row>
    <row r="39" spans="1:5" x14ac:dyDescent="0.2">
      <c r="A39" t="s">
        <v>6</v>
      </c>
      <c r="B39" t="s">
        <v>177</v>
      </c>
      <c r="C39" s="8" t="s">
        <v>228</v>
      </c>
      <c r="D39" t="s">
        <v>42</v>
      </c>
      <c r="E39" t="b">
        <v>1</v>
      </c>
    </row>
    <row r="40" spans="1:5" x14ac:dyDescent="0.2">
      <c r="A40" t="s">
        <v>229</v>
      </c>
      <c r="B40" t="s">
        <v>177</v>
      </c>
      <c r="C40" s="8" t="s">
        <v>210</v>
      </c>
      <c r="D40" t="s">
        <v>230</v>
      </c>
      <c r="E40" t="b">
        <v>1</v>
      </c>
    </row>
    <row r="41" spans="1:5" x14ac:dyDescent="0.2">
      <c r="A41" t="s">
        <v>5</v>
      </c>
      <c r="B41" t="s">
        <v>177</v>
      </c>
      <c r="C41" s="8" t="s">
        <v>231</v>
      </c>
      <c r="D41" t="s">
        <v>46</v>
      </c>
      <c r="E41" t="b">
        <v>1</v>
      </c>
    </row>
    <row r="42" spans="1:5" x14ac:dyDescent="0.2">
      <c r="A42" t="s">
        <v>2</v>
      </c>
      <c r="B42" t="s">
        <v>177</v>
      </c>
      <c r="C42" s="8" t="s">
        <v>232</v>
      </c>
      <c r="D42" t="s">
        <v>42</v>
      </c>
      <c r="E42" t="b">
        <v>1</v>
      </c>
    </row>
    <row r="43" spans="1:5" x14ac:dyDescent="0.2">
      <c r="A43" t="s">
        <v>152</v>
      </c>
      <c r="B43" t="s">
        <v>177</v>
      </c>
      <c r="C43" s="8" t="s">
        <v>233</v>
      </c>
      <c r="D43" t="s">
        <v>234</v>
      </c>
      <c r="E43" t="b">
        <v>1</v>
      </c>
    </row>
    <row r="44" spans="1:5" x14ac:dyDescent="0.2">
      <c r="A44" t="s">
        <v>9</v>
      </c>
      <c r="B44" t="s">
        <v>177</v>
      </c>
      <c r="C44" s="8" t="s">
        <v>208</v>
      </c>
      <c r="D44" t="s">
        <v>42</v>
      </c>
      <c r="E44" t="b">
        <v>1</v>
      </c>
    </row>
    <row r="45" spans="1:5" x14ac:dyDescent="0.2">
      <c r="A45" t="s">
        <v>102</v>
      </c>
      <c r="B45" t="s">
        <v>177</v>
      </c>
      <c r="C45" s="8" t="s">
        <v>235</v>
      </c>
      <c r="D45" t="s">
        <v>101</v>
      </c>
      <c r="E45" t="b">
        <v>1</v>
      </c>
    </row>
    <row r="46" spans="1:5" x14ac:dyDescent="0.2">
      <c r="A46" t="s">
        <v>126</v>
      </c>
      <c r="B46" t="s">
        <v>177</v>
      </c>
      <c r="C46" s="8" t="s">
        <v>236</v>
      </c>
      <c r="D46" t="s">
        <v>38</v>
      </c>
      <c r="E46" t="b">
        <v>1</v>
      </c>
    </row>
    <row r="47" spans="1:5" x14ac:dyDescent="0.2">
      <c r="A47" t="s">
        <v>155</v>
      </c>
      <c r="B47" t="s">
        <v>177</v>
      </c>
      <c r="C47" s="8" t="s">
        <v>237</v>
      </c>
      <c r="D47" t="s">
        <v>238</v>
      </c>
      <c r="E47" t="b">
        <v>1</v>
      </c>
    </row>
    <row r="48" spans="1:5" x14ac:dyDescent="0.2">
      <c r="A48" t="s">
        <v>19</v>
      </c>
      <c r="B48" t="s">
        <v>177</v>
      </c>
      <c r="C48" s="8" t="s">
        <v>233</v>
      </c>
      <c r="D48" t="s">
        <v>185</v>
      </c>
      <c r="E48" t="b">
        <v>1</v>
      </c>
    </row>
    <row r="49" spans="1:5" x14ac:dyDescent="0.2">
      <c r="A49" t="s">
        <v>105</v>
      </c>
      <c r="B49" t="s">
        <v>177</v>
      </c>
      <c r="C49" s="8" t="s">
        <v>239</v>
      </c>
      <c r="D49" t="s">
        <v>104</v>
      </c>
      <c r="E49" t="b">
        <v>1</v>
      </c>
    </row>
    <row r="50" spans="1:5" x14ac:dyDescent="0.2">
      <c r="A50" t="s">
        <v>229</v>
      </c>
      <c r="B50" t="s">
        <v>240</v>
      </c>
      <c r="C50" s="8" t="s">
        <v>241</v>
      </c>
      <c r="D50" t="s">
        <v>242</v>
      </c>
      <c r="E50" t="b">
        <v>1</v>
      </c>
    </row>
    <row r="51" spans="1:5" x14ac:dyDescent="0.2">
      <c r="A51" t="s">
        <v>243</v>
      </c>
      <c r="B51" t="s">
        <v>244</v>
      </c>
      <c r="C51" s="8" t="s">
        <v>178</v>
      </c>
      <c r="D51" t="s">
        <v>245</v>
      </c>
      <c r="E5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39</vt:i4>
      </vt:variant>
    </vt:vector>
  </HeadingPairs>
  <TitlesOfParts>
    <vt:vector size="44" baseType="lpstr">
      <vt:lpstr>Tests</vt:lpstr>
      <vt:lpstr>Inputs</vt:lpstr>
      <vt:lpstr>Data</vt:lpstr>
      <vt:lpstr>Q1 Sales</vt:lpstr>
      <vt:lpstr>Names</vt:lpstr>
      <vt:lpstr>_Helper</vt:lpstr>
      <vt:lpstr>BonusAmount</vt:lpstr>
      <vt:lpstr>CommissionTable</vt:lpstr>
      <vt:lpstr>CommRates</vt:lpstr>
      <vt:lpstr>CommRegions</vt:lpstr>
      <vt:lpstr>CompanyName</vt:lpstr>
      <vt:lpstr>DiscountRate</vt:lpstr>
      <vt:lpstr>EmptyRange</vt:lpstr>
      <vt:lpstr>FirstFiveUnits</vt:lpstr>
      <vt:lpstr>FirstRegion</vt:lpstr>
      <vt:lpstr>FXRate</vt:lpstr>
      <vt:lpstr>HeaderRow</vt:lpstr>
      <vt:lpstr>LastFiveUnits</vt:lpstr>
      <vt:lpstr>LastRevenue</vt:lpstr>
      <vt:lpstr>Tests!LocalBonus</vt:lpstr>
      <vt:lpstr>lowercasename</vt:lpstr>
      <vt:lpstr>Multiplier</vt:lpstr>
      <vt:lpstr>Prices</vt:lpstr>
      <vt:lpstr>Products</vt:lpstr>
      <vt:lpstr>Q1Months</vt:lpstr>
      <vt:lpstr>Q1Total</vt:lpstr>
      <vt:lpstr>Q1Values</vt:lpstr>
      <vt:lpstr>Rate.Commission</vt:lpstr>
      <vt:lpstr>Regions</vt:lpstr>
      <vt:lpstr>Revenue</vt:lpstr>
      <vt:lpstr>Sales_2024</vt:lpstr>
      <vt:lpstr>SalesHeader</vt:lpstr>
      <vt:lpstr>SalesTable</vt:lpstr>
      <vt:lpstr>SalesTarget</vt:lpstr>
      <vt:lpstr>Data!Scope_Test</vt:lpstr>
      <vt:lpstr>Scope_Test</vt:lpstr>
      <vt:lpstr>StartDate</vt:lpstr>
      <vt:lpstr>TaxRate</vt:lpstr>
      <vt:lpstr>This_Is_A_Very_Long_Named_Range_For_Testing</vt:lpstr>
      <vt:lpstr>Threshold</vt:lpstr>
      <vt:lpstr>TopLeftBlock</vt:lpstr>
      <vt:lpstr>UnionRange</vt:lpstr>
      <vt:lpstr>Units</vt:lpstr>
      <vt:lpstr>UnitsColumn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González-Albo Campillo</dc:creator>
  <cp:lastModifiedBy>Daniel González-Albo Campillo</cp:lastModifiedBy>
  <dcterms:created xsi:type="dcterms:W3CDTF">2026-10-22T07:55:58Z</dcterms:created>
  <dcterms:modified xsi:type="dcterms:W3CDTF">2026-10-22T08:09:48Z</dcterms:modified>
</cp:coreProperties>
</file>