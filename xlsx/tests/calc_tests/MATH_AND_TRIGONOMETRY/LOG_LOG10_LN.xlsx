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elsam\Documents\IronCalc stuff\my_calc_tests\"/>
    </mc:Choice>
  </mc:AlternateContent>
  <xr:revisionPtr revIDLastSave="0" documentId="13_ncr:1_{5BA4BD7E-FD99-4E17-9C35-39B398205514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LOG_LOG10_L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1" i="1" l="1"/>
  <c r="D21" i="1"/>
  <c r="E21" i="1"/>
  <c r="C42" i="1"/>
  <c r="D42" i="1"/>
  <c r="E42" i="1"/>
  <c r="C76" i="1"/>
  <c r="E75" i="1"/>
  <c r="D75" i="1"/>
  <c r="C75" i="1"/>
  <c r="E74" i="1"/>
  <c r="D74" i="1"/>
  <c r="C74" i="1"/>
  <c r="E73" i="1"/>
  <c r="D73" i="1"/>
  <c r="C73" i="1"/>
  <c r="E72" i="1"/>
  <c r="D72" i="1"/>
  <c r="C72" i="1"/>
  <c r="E71" i="1"/>
  <c r="D71" i="1"/>
  <c r="C71" i="1"/>
  <c r="E70" i="1"/>
  <c r="D70" i="1"/>
  <c r="C70" i="1"/>
  <c r="E69" i="1"/>
  <c r="D69" i="1"/>
  <c r="C69" i="1"/>
  <c r="E68" i="1"/>
  <c r="D68" i="1"/>
  <c r="C68" i="1"/>
  <c r="E67" i="1"/>
  <c r="D67" i="1"/>
  <c r="C67" i="1"/>
  <c r="E66" i="1"/>
  <c r="D66" i="1"/>
  <c r="C66" i="1"/>
  <c r="A65" i="1"/>
  <c r="E64" i="1"/>
  <c r="D64" i="1"/>
  <c r="C64" i="1"/>
  <c r="E63" i="1"/>
  <c r="D63" i="1"/>
  <c r="C63" i="1"/>
  <c r="E62" i="1"/>
  <c r="D62" i="1"/>
  <c r="C62" i="1"/>
  <c r="E61" i="1"/>
  <c r="D61" i="1"/>
  <c r="C61" i="1"/>
  <c r="E60" i="1"/>
  <c r="D60" i="1"/>
  <c r="C60" i="1"/>
  <c r="E59" i="1"/>
  <c r="D59" i="1"/>
  <c r="C59" i="1"/>
  <c r="E58" i="1"/>
  <c r="D58" i="1"/>
  <c r="C58" i="1"/>
  <c r="E57" i="1"/>
  <c r="D57" i="1"/>
  <c r="C57" i="1"/>
  <c r="E56" i="1"/>
  <c r="D56" i="1"/>
  <c r="C56" i="1"/>
  <c r="E55" i="1"/>
  <c r="D55" i="1"/>
  <c r="C55" i="1"/>
  <c r="E54" i="1"/>
  <c r="D54" i="1"/>
  <c r="C54" i="1"/>
  <c r="B53" i="1"/>
  <c r="A53" i="1"/>
  <c r="E52" i="1"/>
  <c r="D52" i="1"/>
  <c r="B52" i="1"/>
  <c r="C52" i="1" s="1"/>
  <c r="A51" i="1"/>
  <c r="C50" i="1"/>
  <c r="C49" i="1"/>
  <c r="C48" i="1"/>
  <c r="E47" i="1"/>
  <c r="D47" i="1"/>
  <c r="C47" i="1"/>
  <c r="E46" i="1"/>
  <c r="D46" i="1"/>
  <c r="C46" i="1"/>
  <c r="E45" i="1"/>
  <c r="D45" i="1"/>
  <c r="C45" i="1"/>
  <c r="E44" i="1"/>
  <c r="D44" i="1"/>
  <c r="C44" i="1"/>
  <c r="E43" i="1"/>
  <c r="D43" i="1"/>
  <c r="C43" i="1"/>
  <c r="E41" i="1"/>
  <c r="D41" i="1"/>
  <c r="C41" i="1"/>
  <c r="E40" i="1"/>
  <c r="D40" i="1"/>
  <c r="C40" i="1"/>
  <c r="E39" i="1"/>
  <c r="D39" i="1"/>
  <c r="C39" i="1"/>
  <c r="E38" i="1"/>
  <c r="D38" i="1"/>
  <c r="C38" i="1"/>
  <c r="E37" i="1"/>
  <c r="D37" i="1"/>
  <c r="C37" i="1"/>
  <c r="E36" i="1"/>
  <c r="D36" i="1"/>
  <c r="C36" i="1"/>
  <c r="E35" i="1"/>
  <c r="D35" i="1"/>
  <c r="C35" i="1"/>
  <c r="E34" i="1"/>
  <c r="D34" i="1"/>
  <c r="C34" i="1"/>
  <c r="E33" i="1"/>
  <c r="D33" i="1"/>
  <c r="C33" i="1"/>
  <c r="E32" i="1"/>
  <c r="D32" i="1"/>
  <c r="C32" i="1"/>
  <c r="A31" i="1"/>
  <c r="E30" i="1"/>
  <c r="D30" i="1"/>
  <c r="C30" i="1"/>
  <c r="E29" i="1"/>
  <c r="D29" i="1"/>
  <c r="C29" i="1"/>
  <c r="E28" i="1"/>
  <c r="D28" i="1"/>
  <c r="C28" i="1"/>
  <c r="E27" i="1"/>
  <c r="D27" i="1"/>
  <c r="C27" i="1"/>
  <c r="E26" i="1"/>
  <c r="D26" i="1"/>
  <c r="C26" i="1"/>
  <c r="E25" i="1"/>
  <c r="D25" i="1"/>
  <c r="C25" i="1"/>
  <c r="E24" i="1"/>
  <c r="D24" i="1"/>
  <c r="C24" i="1"/>
  <c r="E23" i="1"/>
  <c r="D23" i="1"/>
  <c r="C23" i="1"/>
  <c r="E22" i="1"/>
  <c r="D22" i="1"/>
  <c r="C22" i="1"/>
  <c r="E20" i="1"/>
  <c r="D20" i="1"/>
  <c r="C20" i="1"/>
  <c r="E19" i="1"/>
  <c r="D19" i="1"/>
  <c r="C19" i="1"/>
  <c r="E18" i="1"/>
  <c r="D18" i="1"/>
  <c r="C18" i="1"/>
  <c r="E17" i="1"/>
  <c r="D17" i="1"/>
  <c r="C17" i="1"/>
  <c r="A16" i="1"/>
  <c r="E15" i="1"/>
  <c r="D15" i="1"/>
  <c r="C15" i="1"/>
  <c r="E14" i="1"/>
  <c r="D14" i="1"/>
  <c r="C14" i="1"/>
  <c r="E13" i="1"/>
  <c r="D13" i="1"/>
  <c r="C13" i="1"/>
  <c r="E12" i="1"/>
  <c r="D12" i="1"/>
  <c r="C12" i="1"/>
  <c r="E11" i="1"/>
  <c r="D11" i="1"/>
  <c r="C11" i="1"/>
  <c r="E10" i="1"/>
  <c r="D10" i="1"/>
  <c r="C10" i="1"/>
  <c r="E9" i="1"/>
  <c r="D9" i="1"/>
  <c r="C9" i="1"/>
  <c r="E8" i="1"/>
  <c r="D8" i="1"/>
  <c r="C8" i="1"/>
  <c r="A7" i="1"/>
  <c r="A6" i="1"/>
  <c r="E5" i="1"/>
  <c r="D5" i="1"/>
  <c r="C5" i="1"/>
  <c r="E4" i="1"/>
  <c r="D4" i="1"/>
  <c r="B4" i="1"/>
  <c r="C4" i="1" s="1"/>
  <c r="E3" i="1"/>
  <c r="D3" i="1"/>
  <c r="C3" i="1"/>
  <c r="E2" i="1"/>
  <c r="D2" i="1"/>
  <c r="C2" i="1"/>
  <c r="E31" i="1" l="1"/>
  <c r="D31" i="1"/>
  <c r="C31" i="1"/>
  <c r="D65" i="1"/>
  <c r="C65" i="1"/>
  <c r="E65" i="1"/>
  <c r="D53" i="1"/>
  <c r="C53" i="1"/>
  <c r="E53" i="1"/>
  <c r="D51" i="1"/>
  <c r="E51" i="1"/>
  <c r="C51" i="1"/>
  <c r="D16" i="1"/>
  <c r="C16" i="1"/>
  <c r="E16" i="1"/>
  <c r="C7" i="1"/>
  <c r="E7" i="1"/>
  <c r="D7" i="1"/>
  <c r="E6" i="1"/>
  <c r="D6" i="1"/>
  <c r="C6" i="1"/>
</calcChain>
</file>

<file path=xl/sharedStrings.xml><?xml version="1.0" encoding="utf-8"?>
<sst xmlns="http://schemas.openxmlformats.org/spreadsheetml/2006/main" count="90" uniqueCount="86">
  <si>
    <t>NOTES</t>
  </si>
  <si>
    <t>"4"</t>
  </si>
  <si>
    <t>hello</t>
  </si>
  <si>
    <t>LOG</t>
  </si>
  <si>
    <t>LN</t>
  </si>
  <si>
    <t>LOG10</t>
  </si>
  <si>
    <t>number</t>
  </si>
  <si>
    <t>base</t>
  </si>
  <si>
    <t>All args empty (direct)</t>
  </si>
  <si>
    <t>Number as TRUE (cell ref)</t>
  </si>
  <si>
    <t>Number as FALSE (cell ref)</t>
  </si>
  <si>
    <t>100</t>
  </si>
  <si>
    <t>Number as numeric text string (cell ref)</t>
  </si>
  <si>
    <t>10</t>
  </si>
  <si>
    <t>Base as numeric text string (cell ref)</t>
  </si>
  <si>
    <t>Both args as text strings</t>
  </si>
  <si>
    <t xml:space="preserve"> 100 </t>
  </si>
  <si>
    <t>Numeric text with leading/trailing spaces</t>
  </si>
  <si>
    <t>1E3</t>
  </si>
  <si>
    <t>50%</t>
  </si>
  <si>
    <t>Dates as number and base</t>
  </si>
  <si>
    <t>helper</t>
  </si>
  <si>
    <t>Implicit intersection on first argument</t>
  </si>
  <si>
    <t>Implicit intersection on second argument</t>
  </si>
  <si>
    <t>Doc example: base omitted</t>
  </si>
  <si>
    <t>Doc example: integer number and base</t>
  </si>
  <si>
    <t>Doc example: base e</t>
  </si>
  <si>
    <t>Number = e</t>
  </si>
  <si>
    <t>Number = e^3</t>
  </si>
  <si>
    <t>Number = 1</t>
  </si>
  <si>
    <t>Exact power of the base (floating-point precision)</t>
  </si>
  <si>
    <t>Exact power of 10, base omitted</t>
  </si>
  <si>
    <t>Exact power of 10</t>
  </si>
  <si>
    <t>Decimal number &lt; 1</t>
  </si>
  <si>
    <t>Base between 0 and 1, number &lt; 1</t>
  </si>
  <si>
    <t>Base between 0 and 1, number &gt; 1</t>
  </si>
  <si>
    <t>Decimal base</t>
  </si>
  <si>
    <t>Fraction as number</t>
  </si>
  <si>
    <t>Decimal number and base</t>
  </si>
  <si>
    <t>Number = base</t>
  </si>
  <si>
    <t>Integer power of a non-10 base</t>
  </si>
  <si>
    <t>Decimal power of 10</t>
  </si>
  <si>
    <t>Very small number, base omitted</t>
  </si>
  <si>
    <t>Extremely small number</t>
  </si>
  <si>
    <t>Extremely small number (1E-300)</t>
  </si>
  <si>
    <t>Number just above 1</t>
  </si>
  <si>
    <t>Number just below 1</t>
  </si>
  <si>
    <t>Very large number, base omitted</t>
  </si>
  <si>
    <t>Extremely large number (1E+100)</t>
  </si>
  <si>
    <t>Extremely large number (1E+300)</t>
  </si>
  <si>
    <t>Max Excel number</t>
  </si>
  <si>
    <t>Near overflow: EXP(709) as number</t>
  </si>
  <si>
    <t>Very small base</t>
  </si>
  <si>
    <t>Very large base</t>
  </si>
  <si>
    <t>Base just above 1</t>
  </si>
  <si>
    <t>Base just below 1</t>
  </si>
  <si>
    <t>Base = 1</t>
  </si>
  <si>
    <t>Number = 1 and base = 1</t>
  </si>
  <si>
    <t>Base = 0</t>
  </si>
  <si>
    <t>Base &lt; 0</t>
  </si>
  <si>
    <t>Number = 0</t>
  </si>
  <si>
    <t>Number &lt; 0</t>
  </si>
  <si>
    <t>Tiny negative number</t>
  </si>
  <si>
    <t>Negative number and negative base</t>
  </si>
  <si>
    <t>Number = 0 and base = 0</t>
  </si>
  <si>
    <t>Empty number (cell ref)</t>
  </si>
  <si>
    <t>Empty base (cell ref)</t>
  </si>
  <si>
    <t>Empty number (direct)</t>
  </si>
  <si>
    <t>Empty base (direct, trailing comma)</t>
  </si>
  <si>
    <t>Errors in both args</t>
  </si>
  <si>
    <t>Base as TRUE (cell ref)</t>
  </si>
  <si>
    <t>Base as FALSE (cell ref)</t>
  </si>
  <si>
    <t>Boolean literal TRUE as number (direct)</t>
  </si>
  <si>
    <t>Boolean literals (direct): base TRUE; LOG10/LN of FALSE</t>
  </si>
  <si>
    <t>Quoted numeric string</t>
  </si>
  <si>
    <t>Non-numeric text</t>
  </si>
  <si>
    <t>Empty string from formula</t>
  </si>
  <si>
    <t>Scientific-notation text</t>
  </si>
  <si>
    <t>Percent text</t>
  </si>
  <si>
    <t>Numeric text literals (direct)</t>
  </si>
  <si>
    <t>Non-numeric text literal (direct)</t>
  </si>
  <si>
    <t>Empty string literal (direct)</t>
  </si>
  <si>
    <t>Date as number</t>
  </si>
  <si>
    <t>Percentage-formatted number</t>
  </si>
  <si>
    <t>Error propagation</t>
  </si>
  <si>
    <t>Tiny positive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</si>
</sst>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"/>
  </numFmts>
  <fonts count="4" x14ac:knownFonts="1">
    <font>
      <sz val="11"/>
      <color theme="1"/>
      <name val="Calibri"/>
      <family val="2"/>
      <scheme val="minor"/>
    </font>
    <font>
      <b/>
      <sz val="12"/>
      <name val="Calibri"/>
    </font>
    <font>
      <sz val="11"/>
      <color rgb="FF000000"/>
      <name val="Calibri"/>
      <scheme val="minor"/>
    </font>
    <font>
      <b/>
      <sz val="11"/>
      <color rgb="FFFA7D00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3" xfId="0" applyFont="1" applyFill="1" applyBorder="1"/>
    <xf numFmtId="0" fontId="3" fillId="2" borderId="1" xfId="0" applyFont="1" applyFill="1" applyBorder="1"/>
    <xf numFmtId="0" fontId="2" fillId="0" borderId="2" xfId="0" applyFont="1" applyBorder="1"/>
    <xf numFmtId="11" fontId="2" fillId="0" borderId="0" xfId="0" applyNumberFormat="1" applyFont="1"/>
    <xf numFmtId="49" fontId="2" fillId="0" borderId="0" xfId="0" applyNumberFormat="1" applyFont="1"/>
    <xf numFmtId="164" fontId="2" fillId="0" borderId="0" xfId="0" applyNumberFormat="1" applyFont="1"/>
    <xf numFmtId="9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700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9A6CBA50-DD66-45A9-B3AF-EC40E55D40FF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910fdb50-7e1d-498e-af3c-0d138bb820b8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6"/>
  <sheetViews>
    <sheetView tabSelected="1" workbookViewId="0">
      <pane ySplit="1" topLeftCell="A60" activePane="bottomLeft" state="frozen"/>
      <selection pane="bottomLeft" activeCell="A74" sqref="A74:XFD74"/>
    </sheetView>
  </sheetViews>
  <sheetFormatPr defaultRowHeight="14.25" x14ac:dyDescent="0.45"/>
  <cols>
    <col min="1" max="3" width="13.19921875" customWidth="1"/>
    <col min="4" max="5" width="15.59765625" customWidth="1"/>
    <col min="6" max="6" width="38.265625" customWidth="1"/>
  </cols>
  <sheetData>
    <row r="1" spans="1:8" ht="19.5" customHeight="1" x14ac:dyDescent="0.5">
      <c r="A1" s="1" t="s">
        <v>6</v>
      </c>
      <c r="B1" s="1" t="s">
        <v>7</v>
      </c>
      <c r="C1" s="1" t="s">
        <v>3</v>
      </c>
      <c r="D1" s="1" t="s">
        <v>5</v>
      </c>
      <c r="E1" s="1" t="s">
        <v>4</v>
      </c>
      <c r="F1" s="1" t="s">
        <v>0</v>
      </c>
      <c r="G1" s="1" t="s">
        <v>21</v>
      </c>
    </row>
    <row r="2" spans="1:8" x14ac:dyDescent="0.45">
      <c r="A2" s="2">
        <v>10</v>
      </c>
      <c r="B2" s="2"/>
      <c r="C2" s="3">
        <f>LOG(A2)</f>
        <v>1</v>
      </c>
      <c r="D2" s="3">
        <f t="shared" ref="D2:D47" si="0">LOG10(A2)</f>
        <v>1</v>
      </c>
      <c r="E2" s="4">
        <f t="shared" ref="E2:E47" si="1">LN(A2)</f>
        <v>2.3025850929940459</v>
      </c>
      <c r="F2" s="5" t="s">
        <v>24</v>
      </c>
      <c r="G2" s="2"/>
      <c r="H2" s="2"/>
    </row>
    <row r="3" spans="1:8" x14ac:dyDescent="0.45">
      <c r="A3" s="2">
        <v>8</v>
      </c>
      <c r="B3" s="2">
        <v>2</v>
      </c>
      <c r="C3" s="3">
        <f>LOG(A3,B3)</f>
        <v>3</v>
      </c>
      <c r="D3" s="3">
        <f t="shared" si="0"/>
        <v>0.90308998699194354</v>
      </c>
      <c r="E3" s="4">
        <f t="shared" si="1"/>
        <v>2.0794415416798357</v>
      </c>
      <c r="F3" s="5" t="s">
        <v>25</v>
      </c>
      <c r="G3" s="2"/>
      <c r="H3" s="2"/>
    </row>
    <row r="4" spans="1:8" x14ac:dyDescent="0.45">
      <c r="A4" s="2">
        <v>86</v>
      </c>
      <c r="B4" s="2">
        <f>EXP(1)</f>
        <v>2.7182818284590451</v>
      </c>
      <c r="C4" s="3">
        <f>LOG(A4,B4)</f>
        <v>4.4543472962535073</v>
      </c>
      <c r="D4" s="3">
        <f t="shared" si="0"/>
        <v>1.9344984512435677</v>
      </c>
      <c r="E4" s="4">
        <f t="shared" si="1"/>
        <v>4.4543472962535073</v>
      </c>
      <c r="F4" s="5" t="s">
        <v>26</v>
      </c>
      <c r="G4" s="2"/>
      <c r="H4" s="2"/>
    </row>
    <row r="5" spans="1:8" x14ac:dyDescent="0.45">
      <c r="A5" s="2">
        <v>86</v>
      </c>
      <c r="B5" s="2"/>
      <c r="C5" s="3">
        <f>LOG(A5)</f>
        <v>1.9344984512435677</v>
      </c>
      <c r="D5" s="3">
        <f t="shared" si="0"/>
        <v>1.9344984512435677</v>
      </c>
      <c r="E5" s="4">
        <f t="shared" si="1"/>
        <v>4.4543472962535073</v>
      </c>
      <c r="F5" s="5" t="s">
        <v>24</v>
      </c>
      <c r="G5" s="2"/>
      <c r="H5" s="2"/>
    </row>
    <row r="6" spans="1:8" x14ac:dyDescent="0.45">
      <c r="A6" s="2">
        <f>EXP(1)</f>
        <v>2.7182818284590451</v>
      </c>
      <c r="B6" s="2"/>
      <c r="C6" s="3">
        <f>LOG(A6)</f>
        <v>0.43429448190325182</v>
      </c>
      <c r="D6" s="3">
        <f t="shared" si="0"/>
        <v>0.43429448190325182</v>
      </c>
      <c r="E6" s="4">
        <f t="shared" si="1"/>
        <v>1</v>
      </c>
      <c r="F6" s="5" t="s">
        <v>27</v>
      </c>
      <c r="G6" s="2"/>
      <c r="H6" s="2"/>
    </row>
    <row r="7" spans="1:8" x14ac:dyDescent="0.45">
      <c r="A7" s="2">
        <f>EXP(3)</f>
        <v>20.085536923187668</v>
      </c>
      <c r="B7" s="2"/>
      <c r="C7" s="3">
        <f>LOG(A7)</f>
        <v>1.3028834457097556</v>
      </c>
      <c r="D7" s="3">
        <f t="shared" si="0"/>
        <v>1.3028834457097556</v>
      </c>
      <c r="E7" s="4">
        <f t="shared" si="1"/>
        <v>3</v>
      </c>
      <c r="F7" s="5" t="s">
        <v>28</v>
      </c>
      <c r="G7" s="2"/>
      <c r="H7" s="2"/>
    </row>
    <row r="8" spans="1:8" x14ac:dyDescent="0.45">
      <c r="A8" s="2">
        <v>1</v>
      </c>
      <c r="B8" s="2">
        <v>10</v>
      </c>
      <c r="C8" s="3">
        <f>LOG(A8,B8)</f>
        <v>0</v>
      </c>
      <c r="D8" s="3">
        <f t="shared" si="0"/>
        <v>0</v>
      </c>
      <c r="E8" s="4">
        <f t="shared" si="1"/>
        <v>0</v>
      </c>
      <c r="F8" s="5" t="s">
        <v>29</v>
      </c>
      <c r="G8" s="2"/>
      <c r="H8" s="2"/>
    </row>
    <row r="9" spans="1:8" x14ac:dyDescent="0.45">
      <c r="A9" s="2">
        <v>1000</v>
      </c>
      <c r="B9" s="2">
        <v>10</v>
      </c>
      <c r="C9" s="3">
        <f>LOG(A9,B9)</f>
        <v>2.9999999999999996</v>
      </c>
      <c r="D9" s="3">
        <f t="shared" si="0"/>
        <v>3</v>
      </c>
      <c r="E9" s="4">
        <f t="shared" si="1"/>
        <v>6.9077552789821368</v>
      </c>
      <c r="F9" s="5" t="s">
        <v>30</v>
      </c>
      <c r="G9" s="2"/>
      <c r="H9" s="2"/>
    </row>
    <row r="10" spans="1:8" x14ac:dyDescent="0.45">
      <c r="A10" s="2">
        <v>1000</v>
      </c>
      <c r="B10" s="2"/>
      <c r="C10" s="3">
        <f>LOG(A10)</f>
        <v>3</v>
      </c>
      <c r="D10" s="3">
        <f t="shared" si="0"/>
        <v>3</v>
      </c>
      <c r="E10" s="4">
        <f t="shared" si="1"/>
        <v>6.9077552789821368</v>
      </c>
      <c r="F10" s="5" t="s">
        <v>31</v>
      </c>
      <c r="G10" s="2"/>
      <c r="H10" s="2"/>
    </row>
    <row r="11" spans="1:8" x14ac:dyDescent="0.45">
      <c r="A11" s="2">
        <v>100000</v>
      </c>
      <c r="B11" s="2">
        <v>10</v>
      </c>
      <c r="C11" s="3">
        <f t="shared" ref="C11:C21" si="2">LOG(A11,B11)</f>
        <v>5</v>
      </c>
      <c r="D11" s="3">
        <f t="shared" si="0"/>
        <v>5</v>
      </c>
      <c r="E11" s="4">
        <f t="shared" si="1"/>
        <v>11.512925464970229</v>
      </c>
      <c r="F11" s="5" t="s">
        <v>32</v>
      </c>
      <c r="G11" s="2"/>
      <c r="H11" s="2"/>
    </row>
    <row r="12" spans="1:8" x14ac:dyDescent="0.45">
      <c r="A12" s="2">
        <v>0.5</v>
      </c>
      <c r="B12" s="2">
        <v>2</v>
      </c>
      <c r="C12" s="3">
        <f t="shared" si="2"/>
        <v>-1</v>
      </c>
      <c r="D12" s="3">
        <f t="shared" si="0"/>
        <v>-0.3010299956639812</v>
      </c>
      <c r="E12" s="4">
        <f t="shared" si="1"/>
        <v>-0.69314718055994529</v>
      </c>
      <c r="F12" s="5" t="s">
        <v>33</v>
      </c>
      <c r="G12" s="2"/>
      <c r="H12" s="2"/>
    </row>
    <row r="13" spans="1:8" x14ac:dyDescent="0.45">
      <c r="A13" s="2">
        <v>0.25</v>
      </c>
      <c r="B13" s="2">
        <v>0.5</v>
      </c>
      <c r="C13" s="3">
        <f t="shared" si="2"/>
        <v>2</v>
      </c>
      <c r="D13" s="3">
        <f t="shared" si="0"/>
        <v>-0.6020599913279624</v>
      </c>
      <c r="E13" s="4">
        <f t="shared" si="1"/>
        <v>-1.3862943611198906</v>
      </c>
      <c r="F13" s="5" t="s">
        <v>34</v>
      </c>
      <c r="G13" s="2"/>
      <c r="H13" s="2"/>
    </row>
    <row r="14" spans="1:8" x14ac:dyDescent="0.45">
      <c r="A14" s="2">
        <v>2</v>
      </c>
      <c r="B14" s="2">
        <v>0.5</v>
      </c>
      <c r="C14" s="3">
        <f t="shared" si="2"/>
        <v>-1</v>
      </c>
      <c r="D14" s="3">
        <f t="shared" si="0"/>
        <v>0.3010299956639812</v>
      </c>
      <c r="E14" s="4">
        <f t="shared" si="1"/>
        <v>0.69314718055994529</v>
      </c>
      <c r="F14" s="5" t="s">
        <v>35</v>
      </c>
      <c r="G14" s="2"/>
      <c r="H14" s="2"/>
    </row>
    <row r="15" spans="1:8" x14ac:dyDescent="0.45">
      <c r="A15" s="2">
        <v>15.625</v>
      </c>
      <c r="B15" s="2">
        <v>2.5</v>
      </c>
      <c r="C15" s="3">
        <f t="shared" si="2"/>
        <v>3</v>
      </c>
      <c r="D15" s="3">
        <f t="shared" si="0"/>
        <v>1.1938200260161129</v>
      </c>
      <c r="E15" s="4">
        <f t="shared" si="1"/>
        <v>2.7488721956224653</v>
      </c>
      <c r="F15" s="5" t="s">
        <v>36</v>
      </c>
      <c r="G15" s="2"/>
      <c r="H15" s="2"/>
    </row>
    <row r="16" spans="1:8" x14ac:dyDescent="0.45">
      <c r="A16" s="2">
        <f>1/3</f>
        <v>0.33333333333333331</v>
      </c>
      <c r="B16" s="2">
        <v>3</v>
      </c>
      <c r="C16" s="3">
        <f t="shared" si="2"/>
        <v>-1</v>
      </c>
      <c r="D16" s="3">
        <f t="shared" si="0"/>
        <v>-0.47712125471966244</v>
      </c>
      <c r="E16" s="4">
        <f t="shared" si="1"/>
        <v>-1.0986122886681098</v>
      </c>
      <c r="F16" s="5" t="s">
        <v>37</v>
      </c>
      <c r="G16" s="2"/>
      <c r="H16" s="2"/>
    </row>
    <row r="17" spans="1:8" x14ac:dyDescent="0.45">
      <c r="A17" s="2">
        <v>3.7</v>
      </c>
      <c r="B17" s="2">
        <v>1.5</v>
      </c>
      <c r="C17" s="3">
        <f t="shared" si="2"/>
        <v>3.2267457630439558</v>
      </c>
      <c r="D17" s="3">
        <f t="shared" si="0"/>
        <v>0.56820172406699498</v>
      </c>
      <c r="E17" s="4">
        <f t="shared" si="1"/>
        <v>1.3083328196501789</v>
      </c>
      <c r="F17" s="5" t="s">
        <v>38</v>
      </c>
      <c r="G17" s="2"/>
      <c r="H17" s="2"/>
    </row>
    <row r="18" spans="1:8" x14ac:dyDescent="0.45">
      <c r="A18" s="2">
        <v>1000</v>
      </c>
      <c r="B18" s="2">
        <v>1000</v>
      </c>
      <c r="C18" s="3">
        <f t="shared" si="2"/>
        <v>1</v>
      </c>
      <c r="D18" s="3">
        <f t="shared" si="0"/>
        <v>3</v>
      </c>
      <c r="E18" s="4">
        <f t="shared" si="1"/>
        <v>6.9077552789821368</v>
      </c>
      <c r="F18" s="5" t="s">
        <v>39</v>
      </c>
      <c r="G18" s="2"/>
      <c r="H18" s="2"/>
    </row>
    <row r="19" spans="1:8" x14ac:dyDescent="0.45">
      <c r="A19" s="2">
        <v>64</v>
      </c>
      <c r="B19" s="2">
        <v>4</v>
      </c>
      <c r="C19" s="3">
        <f t="shared" si="2"/>
        <v>3</v>
      </c>
      <c r="D19" s="3">
        <f t="shared" si="0"/>
        <v>1.8061799739838871</v>
      </c>
      <c r="E19" s="4">
        <f t="shared" si="1"/>
        <v>4.1588830833596715</v>
      </c>
      <c r="F19" s="5" t="s">
        <v>40</v>
      </c>
      <c r="G19" s="2"/>
      <c r="H19" s="2"/>
    </row>
    <row r="20" spans="1:8" x14ac:dyDescent="0.45">
      <c r="A20" s="2">
        <v>1E-3</v>
      </c>
      <c r="B20" s="2">
        <v>10</v>
      </c>
      <c r="C20" s="3">
        <f t="shared" si="2"/>
        <v>-2.9999999999999996</v>
      </c>
      <c r="D20" s="3">
        <f t="shared" si="0"/>
        <v>-3</v>
      </c>
      <c r="E20" s="4">
        <f t="shared" si="1"/>
        <v>-6.9077552789821368</v>
      </c>
      <c r="F20" s="5" t="s">
        <v>41</v>
      </c>
      <c r="G20" s="2"/>
      <c r="H20" s="2"/>
    </row>
    <row r="21" spans="1:8" x14ac:dyDescent="0.45">
      <c r="A21" s="2">
        <v>4.0000000000000001E-3</v>
      </c>
      <c r="B21" s="2">
        <v>10</v>
      </c>
      <c r="C21" s="3">
        <f t="shared" si="2"/>
        <v>-2.397940008672037</v>
      </c>
      <c r="D21" s="3">
        <f t="shared" si="0"/>
        <v>-2.3979400086720375</v>
      </c>
      <c r="E21" s="4">
        <f t="shared" si="1"/>
        <v>-5.521460917862246</v>
      </c>
      <c r="F21" s="5"/>
      <c r="G21" s="2"/>
      <c r="H21" s="2"/>
    </row>
    <row r="22" spans="1:8" x14ac:dyDescent="0.45">
      <c r="A22" s="6">
        <v>1.0000000000000001E-5</v>
      </c>
      <c r="B22" s="2"/>
      <c r="C22" s="3">
        <f>LOG(A22)</f>
        <v>-5</v>
      </c>
      <c r="D22" s="3">
        <f t="shared" si="0"/>
        <v>-5</v>
      </c>
      <c r="E22" s="4">
        <f t="shared" si="1"/>
        <v>-11.512925464970229</v>
      </c>
      <c r="F22" s="5" t="s">
        <v>42</v>
      </c>
      <c r="G22" s="2"/>
      <c r="H22" s="2"/>
    </row>
    <row r="23" spans="1:8" x14ac:dyDescent="0.45">
      <c r="A23" s="6">
        <v>1E-10</v>
      </c>
      <c r="B23" s="2">
        <v>10</v>
      </c>
      <c r="C23" s="3">
        <f>LOG(A23,B23)</f>
        <v>-10</v>
      </c>
      <c r="D23" s="3">
        <f t="shared" si="0"/>
        <v>-10</v>
      </c>
      <c r="E23" s="4">
        <f t="shared" si="1"/>
        <v>-23.025850929940457</v>
      </c>
      <c r="F23" s="5" t="s">
        <v>43</v>
      </c>
      <c r="G23" s="2"/>
      <c r="H23" s="2"/>
    </row>
    <row r="24" spans="1:8" x14ac:dyDescent="0.45">
      <c r="A24" s="6">
        <v>1E-300</v>
      </c>
      <c r="B24" s="2">
        <v>10</v>
      </c>
      <c r="C24" s="3">
        <f>LOG(A24,B24)</f>
        <v>-299.99999999999994</v>
      </c>
      <c r="D24" s="3">
        <f t="shared" si="0"/>
        <v>-300</v>
      </c>
      <c r="E24" s="4">
        <f t="shared" si="1"/>
        <v>-690.77552789821368</v>
      </c>
      <c r="F24" s="5" t="s">
        <v>44</v>
      </c>
      <c r="G24" s="2"/>
      <c r="H24" s="2"/>
    </row>
    <row r="25" spans="1:8" x14ac:dyDescent="0.45">
      <c r="A25" s="2">
        <v>1.0000001000000001</v>
      </c>
      <c r="B25" s="2">
        <v>10</v>
      </c>
      <c r="C25" s="3">
        <f>LOG(A25,B25)</f>
        <v>4.342944604420994E-8</v>
      </c>
      <c r="D25" s="3">
        <f t="shared" si="0"/>
        <v>4.3429446044209946E-8</v>
      </c>
      <c r="E25" s="4">
        <f t="shared" si="1"/>
        <v>9.9999995058387044E-8</v>
      </c>
      <c r="F25" s="5" t="s">
        <v>45</v>
      </c>
      <c r="G25" s="2"/>
      <c r="H25" s="2"/>
    </row>
    <row r="26" spans="1:8" x14ac:dyDescent="0.45">
      <c r="A26" s="2">
        <v>0.99999990000000005</v>
      </c>
      <c r="B26" s="2">
        <v>10</v>
      </c>
      <c r="C26" s="3">
        <f>LOG(A26,B26)</f>
        <v>-4.3429450338938383E-8</v>
      </c>
      <c r="D26" s="3">
        <f t="shared" si="0"/>
        <v>-4.342945033893839E-8</v>
      </c>
      <c r="E26" s="4">
        <f t="shared" si="1"/>
        <v>-1.0000000494736474E-7</v>
      </c>
      <c r="F26" s="5" t="s">
        <v>46</v>
      </c>
      <c r="G26" s="2"/>
      <c r="H26" s="2"/>
    </row>
    <row r="27" spans="1:8" x14ac:dyDescent="0.45">
      <c r="A27" s="6">
        <v>1000000</v>
      </c>
      <c r="B27" s="2"/>
      <c r="C27" s="3">
        <f>LOG(A27)</f>
        <v>6</v>
      </c>
      <c r="D27" s="3">
        <f t="shared" si="0"/>
        <v>6</v>
      </c>
      <c r="E27" s="4">
        <f t="shared" si="1"/>
        <v>13.815510557964274</v>
      </c>
      <c r="F27" s="5" t="s">
        <v>47</v>
      </c>
      <c r="G27" s="2"/>
      <c r="H27" s="2"/>
    </row>
    <row r="28" spans="1:8" x14ac:dyDescent="0.45">
      <c r="A28" s="6">
        <v>1E+100</v>
      </c>
      <c r="B28" s="2">
        <v>10</v>
      </c>
      <c r="C28" s="3">
        <f>LOG(A28,B28)</f>
        <v>100</v>
      </c>
      <c r="D28" s="3">
        <f t="shared" si="0"/>
        <v>100</v>
      </c>
      <c r="E28" s="4">
        <f t="shared" si="1"/>
        <v>230.25850929940458</v>
      </c>
      <c r="F28" s="5" t="s">
        <v>48</v>
      </c>
      <c r="G28" s="2"/>
      <c r="H28" s="2"/>
    </row>
    <row r="29" spans="1:8" x14ac:dyDescent="0.45">
      <c r="A29" s="6">
        <v>1.0000000000000001E+300</v>
      </c>
      <c r="B29" s="2">
        <v>10</v>
      </c>
      <c r="C29" s="3">
        <f>LOG(A29,B29)</f>
        <v>299.99999999999994</v>
      </c>
      <c r="D29" s="3">
        <f t="shared" si="0"/>
        <v>300</v>
      </c>
      <c r="E29" s="4">
        <f t="shared" si="1"/>
        <v>690.77552789821368</v>
      </c>
      <c r="F29" s="5" t="s">
        <v>49</v>
      </c>
      <c r="G29" s="2"/>
      <c r="H29" s="2"/>
    </row>
    <row r="30" spans="1:8" x14ac:dyDescent="0.45">
      <c r="A30" s="6">
        <v>9.9999999999999901E+307</v>
      </c>
      <c r="B30" s="2">
        <v>10</v>
      </c>
      <c r="C30" s="3">
        <f>LOG(A30,B30)</f>
        <v>308</v>
      </c>
      <c r="D30" s="3">
        <f t="shared" si="0"/>
        <v>308</v>
      </c>
      <c r="E30" s="4">
        <f t="shared" si="1"/>
        <v>709.19620864216608</v>
      </c>
      <c r="F30" s="5" t="s">
        <v>50</v>
      </c>
      <c r="G30" s="2"/>
      <c r="H30" s="2"/>
    </row>
    <row r="31" spans="1:8" x14ac:dyDescent="0.45">
      <c r="A31" s="6">
        <f>EXP(709)</f>
        <v>8.2184074615549724E+307</v>
      </c>
      <c r="B31" s="2"/>
      <c r="C31" s="3">
        <f>LOG(A31)</f>
        <v>307.91478766940554</v>
      </c>
      <c r="D31" s="3">
        <f t="shared" si="0"/>
        <v>307.91478766940554</v>
      </c>
      <c r="E31" s="4">
        <f t="shared" si="1"/>
        <v>709</v>
      </c>
      <c r="F31" s="5" t="s">
        <v>51</v>
      </c>
      <c r="G31" s="2"/>
      <c r="H31" s="2"/>
    </row>
    <row r="32" spans="1:8" x14ac:dyDescent="0.45">
      <c r="A32" s="2">
        <v>100</v>
      </c>
      <c r="B32" s="6">
        <v>1E-10</v>
      </c>
      <c r="C32" s="3">
        <f t="shared" ref="C32:C47" si="3">LOG(A32,B32)</f>
        <v>-0.2</v>
      </c>
      <c r="D32" s="3">
        <f t="shared" si="0"/>
        <v>2</v>
      </c>
      <c r="E32" s="4">
        <f t="shared" si="1"/>
        <v>4.6051701859880918</v>
      </c>
      <c r="F32" s="5" t="s">
        <v>52</v>
      </c>
      <c r="G32" s="2"/>
      <c r="H32" s="2"/>
    </row>
    <row r="33" spans="1:8" x14ac:dyDescent="0.45">
      <c r="A33" s="2">
        <v>100</v>
      </c>
      <c r="B33" s="6">
        <v>1.0000000000000001E+300</v>
      </c>
      <c r="C33" s="3">
        <f t="shared" si="3"/>
        <v>6.6666666666666671E-3</v>
      </c>
      <c r="D33" s="3">
        <f t="shared" si="0"/>
        <v>2</v>
      </c>
      <c r="E33" s="4">
        <f t="shared" si="1"/>
        <v>4.6051701859880918</v>
      </c>
      <c r="F33" s="5" t="s">
        <v>53</v>
      </c>
      <c r="G33" s="2"/>
      <c r="H33" s="2"/>
    </row>
    <row r="34" spans="1:8" x14ac:dyDescent="0.45">
      <c r="A34" s="2">
        <v>100</v>
      </c>
      <c r="B34" s="2">
        <v>1.0000001000000001</v>
      </c>
      <c r="C34" s="3">
        <f t="shared" si="3"/>
        <v>46051704.135577895</v>
      </c>
      <c r="D34" s="3">
        <f t="shared" si="0"/>
        <v>2</v>
      </c>
      <c r="E34" s="4">
        <f t="shared" si="1"/>
        <v>4.6051701859880918</v>
      </c>
      <c r="F34" s="5" t="s">
        <v>54</v>
      </c>
      <c r="G34" s="2"/>
      <c r="H34" s="2"/>
    </row>
    <row r="35" spans="1:8" x14ac:dyDescent="0.45">
      <c r="A35" s="2">
        <v>100</v>
      </c>
      <c r="B35" s="2">
        <v>0.99999990000000005</v>
      </c>
      <c r="C35" s="3">
        <f t="shared" si="3"/>
        <v>-46051699.581535369</v>
      </c>
      <c r="D35" s="3">
        <f t="shared" si="0"/>
        <v>2</v>
      </c>
      <c r="E35" s="4">
        <f t="shared" si="1"/>
        <v>4.6051701859880918</v>
      </c>
      <c r="F35" s="5" t="s">
        <v>55</v>
      </c>
      <c r="G35" s="2"/>
      <c r="H35" s="2"/>
    </row>
    <row r="36" spans="1:8" x14ac:dyDescent="0.45">
      <c r="A36" s="2">
        <v>5</v>
      </c>
      <c r="B36" s="2">
        <v>1</v>
      </c>
      <c r="C36" s="3" t="e">
        <f t="shared" si="3"/>
        <v>#DIV/0!</v>
      </c>
      <c r="D36" s="3">
        <f t="shared" si="0"/>
        <v>0.69897000433601886</v>
      </c>
      <c r="E36" s="4">
        <f t="shared" si="1"/>
        <v>1.6094379124341003</v>
      </c>
      <c r="F36" s="5" t="s">
        <v>56</v>
      </c>
      <c r="G36" s="2"/>
      <c r="H36" s="2"/>
    </row>
    <row r="37" spans="1:8" x14ac:dyDescent="0.45">
      <c r="A37" s="2">
        <v>1</v>
      </c>
      <c r="B37" s="2">
        <v>1</v>
      </c>
      <c r="C37" s="3" t="e">
        <f t="shared" si="3"/>
        <v>#DIV/0!</v>
      </c>
      <c r="D37" s="3">
        <f t="shared" si="0"/>
        <v>0</v>
      </c>
      <c r="E37" s="4">
        <f t="shared" si="1"/>
        <v>0</v>
      </c>
      <c r="F37" s="5" t="s">
        <v>57</v>
      </c>
      <c r="G37" s="2"/>
      <c r="H37" s="2"/>
    </row>
    <row r="38" spans="1:8" x14ac:dyDescent="0.45">
      <c r="A38" s="2">
        <v>5</v>
      </c>
      <c r="B38" s="2">
        <v>0</v>
      </c>
      <c r="C38" s="3" t="e">
        <f t="shared" si="3"/>
        <v>#NUM!</v>
      </c>
      <c r="D38" s="3">
        <f t="shared" si="0"/>
        <v>0.69897000433601886</v>
      </c>
      <c r="E38" s="4">
        <f t="shared" si="1"/>
        <v>1.6094379124341003</v>
      </c>
      <c r="F38" s="5" t="s">
        <v>58</v>
      </c>
      <c r="G38" s="2"/>
      <c r="H38" s="2"/>
    </row>
    <row r="39" spans="1:8" x14ac:dyDescent="0.45">
      <c r="A39" s="2">
        <v>5</v>
      </c>
      <c r="B39" s="2">
        <v>-2</v>
      </c>
      <c r="C39" s="3" t="e">
        <f t="shared" si="3"/>
        <v>#NUM!</v>
      </c>
      <c r="D39" s="3">
        <f t="shared" si="0"/>
        <v>0.69897000433601886</v>
      </c>
      <c r="E39" s="4">
        <f t="shared" si="1"/>
        <v>1.6094379124341003</v>
      </c>
      <c r="F39" s="5" t="s">
        <v>59</v>
      </c>
      <c r="G39" s="2"/>
      <c r="H39" s="2"/>
    </row>
    <row r="40" spans="1:8" x14ac:dyDescent="0.45">
      <c r="A40" s="2">
        <v>0</v>
      </c>
      <c r="B40" s="2">
        <v>10</v>
      </c>
      <c r="C40" s="3" t="e">
        <f t="shared" si="3"/>
        <v>#NUM!</v>
      </c>
      <c r="D40" s="3" t="e">
        <f t="shared" si="0"/>
        <v>#NUM!</v>
      </c>
      <c r="E40" s="4" t="e">
        <f t="shared" si="1"/>
        <v>#NUM!</v>
      </c>
      <c r="F40" s="5" t="s">
        <v>60</v>
      </c>
      <c r="G40" s="2"/>
      <c r="H40" s="2"/>
    </row>
    <row r="41" spans="1:8" x14ac:dyDescent="0.45">
      <c r="A41" s="2">
        <v>-1</v>
      </c>
      <c r="B41" s="2">
        <v>10</v>
      </c>
      <c r="C41" s="3" t="e">
        <f t="shared" si="3"/>
        <v>#NUM!</v>
      </c>
      <c r="D41" s="3" t="e">
        <f t="shared" si="0"/>
        <v>#NUM!</v>
      </c>
      <c r="E41" s="4" t="e">
        <f t="shared" si="1"/>
        <v>#NUM!</v>
      </c>
      <c r="F41" s="5" t="s">
        <v>61</v>
      </c>
      <c r="G41" s="2"/>
      <c r="H41" s="2"/>
    </row>
    <row r="42" spans="1:8" x14ac:dyDescent="0.45">
      <c r="A42" s="6">
        <v>1E-10</v>
      </c>
      <c r="B42" s="2">
        <v>10</v>
      </c>
      <c r="C42" s="3">
        <f t="shared" si="3"/>
        <v>-10</v>
      </c>
      <c r="D42" s="3">
        <f t="shared" si="0"/>
        <v>-10</v>
      </c>
      <c r="E42" s="4">
        <f t="shared" si="1"/>
        <v>-23.025850929940457</v>
      </c>
      <c r="F42" s="5" t="s">
        <v>85</v>
      </c>
      <c r="G42" s="2"/>
      <c r="H42" s="2"/>
    </row>
    <row r="43" spans="1:8" x14ac:dyDescent="0.45">
      <c r="A43" s="6">
        <v>-1E-10</v>
      </c>
      <c r="B43" s="2">
        <v>10</v>
      </c>
      <c r="C43" s="3" t="e">
        <f t="shared" si="3"/>
        <v>#NUM!</v>
      </c>
      <c r="D43" s="3" t="e">
        <f t="shared" si="0"/>
        <v>#NUM!</v>
      </c>
      <c r="E43" s="4" t="e">
        <f t="shared" si="1"/>
        <v>#NUM!</v>
      </c>
      <c r="F43" s="5" t="s">
        <v>62</v>
      </c>
      <c r="G43" s="2"/>
      <c r="H43" s="2"/>
    </row>
    <row r="44" spans="1:8" x14ac:dyDescent="0.45">
      <c r="A44" s="2">
        <v>-8</v>
      </c>
      <c r="B44" s="2">
        <v>-2</v>
      </c>
      <c r="C44" s="3" t="e">
        <f t="shared" si="3"/>
        <v>#NUM!</v>
      </c>
      <c r="D44" s="3" t="e">
        <f t="shared" si="0"/>
        <v>#NUM!</v>
      </c>
      <c r="E44" s="4" t="e">
        <f t="shared" si="1"/>
        <v>#NUM!</v>
      </c>
      <c r="F44" s="5" t="s">
        <v>63</v>
      </c>
      <c r="G44" s="2"/>
      <c r="H44" s="2"/>
    </row>
    <row r="45" spans="1:8" x14ac:dyDescent="0.45">
      <c r="A45" s="2">
        <v>0</v>
      </c>
      <c r="B45" s="2">
        <v>0</v>
      </c>
      <c r="C45" s="3" t="e">
        <f t="shared" si="3"/>
        <v>#NUM!</v>
      </c>
      <c r="D45" s="3" t="e">
        <f t="shared" si="0"/>
        <v>#NUM!</v>
      </c>
      <c r="E45" s="4" t="e">
        <f t="shared" si="1"/>
        <v>#NUM!</v>
      </c>
      <c r="F45" s="5" t="s">
        <v>64</v>
      </c>
      <c r="G45" s="2"/>
      <c r="H45" s="2"/>
    </row>
    <row r="46" spans="1:8" x14ac:dyDescent="0.45">
      <c r="A46" s="2"/>
      <c r="B46" s="2">
        <v>10</v>
      </c>
      <c r="C46" s="3" t="e">
        <f t="shared" si="3"/>
        <v>#NUM!</v>
      </c>
      <c r="D46" s="3" t="e">
        <f t="shared" si="0"/>
        <v>#NUM!</v>
      </c>
      <c r="E46" s="4" t="e">
        <f t="shared" si="1"/>
        <v>#NUM!</v>
      </c>
      <c r="F46" s="5" t="s">
        <v>65</v>
      </c>
      <c r="G46" s="2"/>
      <c r="H46" s="2"/>
    </row>
    <row r="47" spans="1:8" x14ac:dyDescent="0.45">
      <c r="A47" s="2">
        <v>100</v>
      </c>
      <c r="B47" s="2"/>
      <c r="C47" s="3" t="e">
        <f t="shared" si="3"/>
        <v>#NUM!</v>
      </c>
      <c r="D47" s="3">
        <f t="shared" si="0"/>
        <v>2</v>
      </c>
      <c r="E47" s="4">
        <f t="shared" si="1"/>
        <v>4.6051701859880918</v>
      </c>
      <c r="F47" s="5" t="s">
        <v>66</v>
      </c>
      <c r="G47" s="2"/>
      <c r="H47" s="2"/>
    </row>
    <row r="48" spans="1:8" x14ac:dyDescent="0.45">
      <c r="A48" s="2"/>
      <c r="B48" s="2">
        <v>10</v>
      </c>
      <c r="C48" s="3" t="e">
        <f>LOG(,B48)</f>
        <v>#NUM!</v>
      </c>
      <c r="D48" s="3"/>
      <c r="E48" s="4"/>
      <c r="F48" s="5" t="s">
        <v>67</v>
      </c>
      <c r="G48" s="2"/>
      <c r="H48" s="2"/>
    </row>
    <row r="49" spans="1:8" x14ac:dyDescent="0.45">
      <c r="A49" s="2">
        <v>100</v>
      </c>
      <c r="B49" s="2"/>
      <c r="C49" s="3" t="e">
        <f>LOG(A49,)</f>
        <v>#NUM!</v>
      </c>
      <c r="D49" s="3"/>
      <c r="E49" s="4"/>
      <c r="F49" s="5" t="s">
        <v>68</v>
      </c>
      <c r="G49" s="2"/>
      <c r="H49" s="2"/>
    </row>
    <row r="50" spans="1:8" x14ac:dyDescent="0.45">
      <c r="A50" s="2"/>
      <c r="B50" s="2"/>
      <c r="C50" s="3" t="e">
        <f>LOG(,)</f>
        <v>#NUM!</v>
      </c>
      <c r="D50" s="3"/>
      <c r="E50" s="4"/>
      <c r="F50" s="5" t="s">
        <v>8</v>
      </c>
      <c r="G50" s="2"/>
      <c r="H50" s="2"/>
    </row>
    <row r="51" spans="1:8" x14ac:dyDescent="0.45">
      <c r="A51" s="2" t="e">
        <f>1/0</f>
        <v>#DIV/0!</v>
      </c>
      <c r="B51" s="2">
        <v>10</v>
      </c>
      <c r="C51" s="3" t="e">
        <f t="shared" ref="C51:C57" si="4">LOG(A51,B51)</f>
        <v>#DIV/0!</v>
      </c>
      <c r="D51" s="3" t="e">
        <f t="shared" ref="D51:D57" si="5">LOG10(A51)</f>
        <v>#DIV/0!</v>
      </c>
      <c r="E51" s="4" t="e">
        <f t="shared" ref="E51:E57" si="6">LN(A51)</f>
        <v>#DIV/0!</v>
      </c>
      <c r="F51" s="5" t="s">
        <v>84</v>
      </c>
      <c r="G51" s="2"/>
      <c r="H51" s="2"/>
    </row>
    <row r="52" spans="1:8" x14ac:dyDescent="0.45">
      <c r="A52" s="2">
        <v>100</v>
      </c>
      <c r="B52" s="2" t="e">
        <f>NA()</f>
        <v>#N/A</v>
      </c>
      <c r="C52" s="3" t="e">
        <f t="shared" si="4"/>
        <v>#N/A</v>
      </c>
      <c r="D52" s="3">
        <f t="shared" si="5"/>
        <v>2</v>
      </c>
      <c r="E52" s="4">
        <f t="shared" si="6"/>
        <v>4.6051701859880918</v>
      </c>
      <c r="F52" s="5" t="s">
        <v>84</v>
      </c>
      <c r="G52" s="2"/>
      <c r="H52" s="2"/>
    </row>
    <row r="53" spans="1:8" x14ac:dyDescent="0.45">
      <c r="A53" s="2" t="e">
        <f>1/0</f>
        <v>#DIV/0!</v>
      </c>
      <c r="B53" s="2" t="e">
        <f>NA()</f>
        <v>#N/A</v>
      </c>
      <c r="C53" s="3" t="e">
        <f t="shared" si="4"/>
        <v>#DIV/0!</v>
      </c>
      <c r="D53" s="3" t="e">
        <f t="shared" si="5"/>
        <v>#DIV/0!</v>
      </c>
      <c r="E53" s="4" t="e">
        <f t="shared" si="6"/>
        <v>#DIV/0!</v>
      </c>
      <c r="F53" s="5" t="s">
        <v>69</v>
      </c>
      <c r="G53" s="2"/>
      <c r="H53" s="2"/>
    </row>
    <row r="54" spans="1:8" x14ac:dyDescent="0.45">
      <c r="A54" s="2" t="b">
        <v>1</v>
      </c>
      <c r="B54" s="2">
        <v>10</v>
      </c>
      <c r="C54" s="3">
        <f t="shared" si="4"/>
        <v>0</v>
      </c>
      <c r="D54" s="3">
        <f t="shared" si="5"/>
        <v>0</v>
      </c>
      <c r="E54" s="4">
        <f t="shared" si="6"/>
        <v>0</v>
      </c>
      <c r="F54" s="5" t="s">
        <v>9</v>
      </c>
      <c r="G54" s="2"/>
      <c r="H54" s="2"/>
    </row>
    <row r="55" spans="1:8" x14ac:dyDescent="0.45">
      <c r="A55" s="2" t="b">
        <v>0</v>
      </c>
      <c r="B55" s="2">
        <v>10</v>
      </c>
      <c r="C55" s="3" t="e">
        <f t="shared" si="4"/>
        <v>#NUM!</v>
      </c>
      <c r="D55" s="3" t="e">
        <f t="shared" si="5"/>
        <v>#NUM!</v>
      </c>
      <c r="E55" s="4" t="e">
        <f t="shared" si="6"/>
        <v>#NUM!</v>
      </c>
      <c r="F55" s="5" t="s">
        <v>10</v>
      </c>
      <c r="G55" s="2"/>
      <c r="H55" s="2"/>
    </row>
    <row r="56" spans="1:8" x14ac:dyDescent="0.45">
      <c r="A56" s="2">
        <v>100</v>
      </c>
      <c r="B56" s="2" t="b">
        <v>1</v>
      </c>
      <c r="C56" s="3" t="e">
        <f t="shared" si="4"/>
        <v>#DIV/0!</v>
      </c>
      <c r="D56" s="3">
        <f t="shared" si="5"/>
        <v>2</v>
      </c>
      <c r="E56" s="4">
        <f t="shared" si="6"/>
        <v>4.6051701859880918</v>
      </c>
      <c r="F56" s="5" t="s">
        <v>70</v>
      </c>
      <c r="G56" s="2"/>
      <c r="H56" s="2"/>
    </row>
    <row r="57" spans="1:8" x14ac:dyDescent="0.45">
      <c r="A57" s="2">
        <v>100</v>
      </c>
      <c r="B57" s="2" t="b">
        <v>0</v>
      </c>
      <c r="C57" s="3" t="e">
        <f t="shared" si="4"/>
        <v>#NUM!</v>
      </c>
      <c r="D57" s="3">
        <f t="shared" si="5"/>
        <v>2</v>
      </c>
      <c r="E57" s="4">
        <f t="shared" si="6"/>
        <v>4.6051701859880918</v>
      </c>
      <c r="F57" s="5" t="s">
        <v>71</v>
      </c>
      <c r="G57" s="2"/>
      <c r="H57" s="2"/>
    </row>
    <row r="58" spans="1:8" x14ac:dyDescent="0.45">
      <c r="A58" s="2"/>
      <c r="B58" s="2"/>
      <c r="C58" s="3">
        <f>LOG(TRUE,10)</f>
        <v>0</v>
      </c>
      <c r="D58" s="3">
        <f>LOG10(TRUE)</f>
        <v>0</v>
      </c>
      <c r="E58" s="4">
        <f>LN(TRUE)</f>
        <v>0</v>
      </c>
      <c r="F58" s="5" t="s">
        <v>72</v>
      </c>
      <c r="G58" s="2"/>
      <c r="H58" s="2"/>
    </row>
    <row r="59" spans="1:8" x14ac:dyDescent="0.45">
      <c r="A59" s="2"/>
      <c r="B59" s="2"/>
      <c r="C59" s="3" t="e">
        <f>LOG(100,TRUE)</f>
        <v>#DIV/0!</v>
      </c>
      <c r="D59" s="3" t="e">
        <f>LOG10(FALSE)</f>
        <v>#NUM!</v>
      </c>
      <c r="E59" s="4" t="e">
        <f>LN(FALSE)</f>
        <v>#NUM!</v>
      </c>
      <c r="F59" s="5" t="s">
        <v>73</v>
      </c>
      <c r="G59" s="2"/>
      <c r="H59" s="2"/>
    </row>
    <row r="60" spans="1:8" x14ac:dyDescent="0.45">
      <c r="A60" s="7" t="s">
        <v>11</v>
      </c>
      <c r="B60" s="2">
        <v>10</v>
      </c>
      <c r="C60" s="3">
        <f t="shared" ref="C60:C68" si="7">LOG(A60,B60)</f>
        <v>2</v>
      </c>
      <c r="D60" s="3">
        <f t="shared" ref="D60:D68" si="8">LOG10(A60)</f>
        <v>2</v>
      </c>
      <c r="E60" s="4">
        <f t="shared" ref="E60:E68" si="9">LN(A60)</f>
        <v>4.6051701859880918</v>
      </c>
      <c r="F60" s="5" t="s">
        <v>12</v>
      </c>
      <c r="G60" s="2"/>
      <c r="H60" s="2"/>
    </row>
    <row r="61" spans="1:8" x14ac:dyDescent="0.45">
      <c r="A61" s="2">
        <v>100</v>
      </c>
      <c r="B61" s="7" t="s">
        <v>13</v>
      </c>
      <c r="C61" s="3">
        <f t="shared" si="7"/>
        <v>2</v>
      </c>
      <c r="D61" s="3">
        <f t="shared" si="8"/>
        <v>2</v>
      </c>
      <c r="E61" s="4">
        <f t="shared" si="9"/>
        <v>4.6051701859880918</v>
      </c>
      <c r="F61" s="5" t="s">
        <v>14</v>
      </c>
      <c r="G61" s="2"/>
      <c r="H61" s="2"/>
    </row>
    <row r="62" spans="1:8" x14ac:dyDescent="0.45">
      <c r="A62" s="7" t="s">
        <v>11</v>
      </c>
      <c r="B62" s="7" t="s">
        <v>13</v>
      </c>
      <c r="C62" s="3">
        <f t="shared" si="7"/>
        <v>2</v>
      </c>
      <c r="D62" s="3">
        <f t="shared" si="8"/>
        <v>2</v>
      </c>
      <c r="E62" s="4">
        <f t="shared" si="9"/>
        <v>4.6051701859880918</v>
      </c>
      <c r="F62" s="5" t="s">
        <v>15</v>
      </c>
      <c r="G62" s="2"/>
      <c r="H62" s="2"/>
    </row>
    <row r="63" spans="1:8" x14ac:dyDescent="0.45">
      <c r="A63" s="7" t="s">
        <v>1</v>
      </c>
      <c r="B63" s="2">
        <v>10</v>
      </c>
      <c r="C63" s="3" t="e">
        <f t="shared" si="7"/>
        <v>#VALUE!</v>
      </c>
      <c r="D63" s="3" t="e">
        <f t="shared" si="8"/>
        <v>#VALUE!</v>
      </c>
      <c r="E63" s="4" t="e">
        <f t="shared" si="9"/>
        <v>#VALUE!</v>
      </c>
      <c r="F63" s="5" t="s">
        <v>74</v>
      </c>
      <c r="G63" s="2"/>
      <c r="H63" s="2"/>
    </row>
    <row r="64" spans="1:8" x14ac:dyDescent="0.45">
      <c r="A64" s="7" t="s">
        <v>2</v>
      </c>
      <c r="B64" s="2">
        <v>10</v>
      </c>
      <c r="C64" s="3" t="e">
        <f t="shared" si="7"/>
        <v>#VALUE!</v>
      </c>
      <c r="D64" s="3" t="e">
        <f t="shared" si="8"/>
        <v>#VALUE!</v>
      </c>
      <c r="E64" s="4" t="e">
        <f t="shared" si="9"/>
        <v>#VALUE!</v>
      </c>
      <c r="F64" s="5" t="s">
        <v>75</v>
      </c>
      <c r="G64" s="2"/>
      <c r="H64" s="2"/>
    </row>
    <row r="65" spans="1:8" x14ac:dyDescent="0.45">
      <c r="A65" s="2" t="str">
        <f>""</f>
        <v/>
      </c>
      <c r="B65" s="2">
        <v>10</v>
      </c>
      <c r="C65" s="3" t="e">
        <f t="shared" si="7"/>
        <v>#VALUE!</v>
      </c>
      <c r="D65" s="3" t="e">
        <f t="shared" si="8"/>
        <v>#VALUE!</v>
      </c>
      <c r="E65" s="4" t="e">
        <f t="shared" si="9"/>
        <v>#VALUE!</v>
      </c>
      <c r="F65" s="5" t="s">
        <v>76</v>
      </c>
      <c r="G65" s="2"/>
      <c r="H65" s="2"/>
    </row>
    <row r="66" spans="1:8" x14ac:dyDescent="0.45">
      <c r="A66" s="7" t="s">
        <v>16</v>
      </c>
      <c r="B66" s="2">
        <v>10</v>
      </c>
      <c r="C66" s="3">
        <f t="shared" si="7"/>
        <v>2</v>
      </c>
      <c r="D66" s="3">
        <f t="shared" si="8"/>
        <v>2</v>
      </c>
      <c r="E66" s="4">
        <f t="shared" si="9"/>
        <v>4.6051701859880918</v>
      </c>
      <c r="F66" s="5" t="s">
        <v>17</v>
      </c>
      <c r="G66" s="2"/>
      <c r="H66" s="2"/>
    </row>
    <row r="67" spans="1:8" x14ac:dyDescent="0.45">
      <c r="A67" s="7" t="s">
        <v>18</v>
      </c>
      <c r="B67" s="2">
        <v>10</v>
      </c>
      <c r="C67" s="3">
        <f t="shared" si="7"/>
        <v>2.9999999999999996</v>
      </c>
      <c r="D67" s="3">
        <f t="shared" si="8"/>
        <v>3</v>
      </c>
      <c r="E67" s="4">
        <f t="shared" si="9"/>
        <v>6.9077552789821368</v>
      </c>
      <c r="F67" s="5" t="s">
        <v>77</v>
      </c>
      <c r="G67" s="2"/>
      <c r="H67" s="2"/>
    </row>
    <row r="68" spans="1:8" x14ac:dyDescent="0.45">
      <c r="A68" s="7" t="s">
        <v>19</v>
      </c>
      <c r="B68" s="2">
        <v>2</v>
      </c>
      <c r="C68" s="3">
        <f t="shared" si="7"/>
        <v>-1</v>
      </c>
      <c r="D68" s="3">
        <f t="shared" si="8"/>
        <v>-0.3010299956639812</v>
      </c>
      <c r="E68" s="4">
        <f t="shared" si="9"/>
        <v>-0.69314718055994529</v>
      </c>
      <c r="F68" s="5" t="s">
        <v>78</v>
      </c>
      <c r="G68" s="2"/>
      <c r="H68" s="2"/>
    </row>
    <row r="69" spans="1:8" x14ac:dyDescent="0.45">
      <c r="A69" s="2"/>
      <c r="B69" s="2"/>
      <c r="C69" s="3">
        <f>LOG("100","10")</f>
        <v>2</v>
      </c>
      <c r="D69" s="3">
        <f>LOG10("100")</f>
        <v>2</v>
      </c>
      <c r="E69" s="4">
        <f>LN("100")</f>
        <v>4.6051701859880918</v>
      </c>
      <c r="F69" s="5" t="s">
        <v>79</v>
      </c>
      <c r="G69" s="2"/>
      <c r="H69" s="2"/>
    </row>
    <row r="70" spans="1:8" x14ac:dyDescent="0.45">
      <c r="A70" s="2"/>
      <c r="B70" s="2"/>
      <c r="C70" s="3" t="e">
        <f>LOG("abc")</f>
        <v>#VALUE!</v>
      </c>
      <c r="D70" s="3" t="e">
        <f>LOG10("abc")</f>
        <v>#VALUE!</v>
      </c>
      <c r="E70" s="4" t="e">
        <f>LN("abc")</f>
        <v>#VALUE!</v>
      </c>
      <c r="F70" s="5" t="s">
        <v>80</v>
      </c>
      <c r="G70" s="2"/>
      <c r="H70" s="2"/>
    </row>
    <row r="71" spans="1:8" x14ac:dyDescent="0.45">
      <c r="A71" s="2"/>
      <c r="B71" s="2"/>
      <c r="C71" s="3" t="e">
        <f>LOG("")</f>
        <v>#VALUE!</v>
      </c>
      <c r="D71" s="3" t="e">
        <f>LOG10("")</f>
        <v>#VALUE!</v>
      </c>
      <c r="E71" s="4" t="e">
        <f>LN("")</f>
        <v>#VALUE!</v>
      </c>
      <c r="F71" s="5" t="s">
        <v>81</v>
      </c>
      <c r="G71" s="2"/>
      <c r="H71" s="2"/>
    </row>
    <row r="72" spans="1:8" x14ac:dyDescent="0.45">
      <c r="A72" s="8">
        <v>46040</v>
      </c>
      <c r="B72" s="2">
        <v>10</v>
      </c>
      <c r="C72" s="3">
        <f>LOG(A72,B72)</f>
        <v>4.6631353149577537</v>
      </c>
      <c r="D72" s="3">
        <f>LOG10(A72)</f>
        <v>4.6631353149577546</v>
      </c>
      <c r="E72" s="4">
        <f>LN(A72)</f>
        <v>10.73726586283582</v>
      </c>
      <c r="F72" s="5" t="s">
        <v>82</v>
      </c>
      <c r="G72" s="2"/>
      <c r="H72" s="2"/>
    </row>
    <row r="73" spans="1:8" x14ac:dyDescent="0.45">
      <c r="A73" s="8">
        <v>46040</v>
      </c>
      <c r="B73" s="8">
        <v>46071</v>
      </c>
      <c r="C73" s="3">
        <f>LOG(A73,B73)</f>
        <v>0.99993731562823629</v>
      </c>
      <c r="D73" s="3">
        <f>LOG10(A73)</f>
        <v>4.6631353149577546</v>
      </c>
      <c r="E73" s="4">
        <f>LN(A73)</f>
        <v>10.73726586283582</v>
      </c>
      <c r="F73" s="5" t="s">
        <v>20</v>
      </c>
      <c r="G73" s="2"/>
      <c r="H73" s="2"/>
    </row>
    <row r="74" spans="1:8" x14ac:dyDescent="0.45">
      <c r="A74" s="9">
        <v>0.5</v>
      </c>
      <c r="B74" s="2">
        <v>2</v>
      </c>
      <c r="C74" s="3">
        <f>LOG(A74,B74)</f>
        <v>-1</v>
      </c>
      <c r="D74" s="3">
        <f>LOG10(A74)</f>
        <v>-0.3010299956639812</v>
      </c>
      <c r="E74" s="4">
        <f>LN(A74)</f>
        <v>-0.69314718055994529</v>
      </c>
      <c r="F74" s="5" t="s">
        <v>83</v>
      </c>
      <c r="G74" s="2"/>
      <c r="H74" s="2"/>
    </row>
    <row r="75" spans="1:8" x14ac:dyDescent="0.45">
      <c r="A75" s="2"/>
      <c r="B75" s="2">
        <v>10</v>
      </c>
      <c r="C75" s="3">
        <f>LOG(G:G,B75)</f>
        <v>2</v>
      </c>
      <c r="D75" s="3">
        <f>LOG10(G:G)</f>
        <v>2</v>
      </c>
      <c r="E75" s="4">
        <f>LN(G:G)</f>
        <v>4.6051701859880918</v>
      </c>
      <c r="F75" s="5" t="s">
        <v>22</v>
      </c>
      <c r="G75" s="2">
        <v>100</v>
      </c>
      <c r="H75" s="2"/>
    </row>
    <row r="76" spans="1:8" x14ac:dyDescent="0.45">
      <c r="A76" s="2">
        <v>100</v>
      </c>
      <c r="B76" s="2"/>
      <c r="C76" s="3">
        <f>LOG(A76,G:G)</f>
        <v>2</v>
      </c>
      <c r="D76" s="3"/>
      <c r="E76" s="4"/>
      <c r="F76" s="5" t="s">
        <v>23</v>
      </c>
      <c r="G76" s="2">
        <v>10</v>
      </c>
      <c r="H76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LOG_LOG10_LN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Elsa Minsut</cp:lastModifiedBy>
  <dcterms:created xsi:type="dcterms:W3CDTF">2026-05-19T13:08:35Z</dcterms:created>
  <dcterms:modified xsi:type="dcterms:W3CDTF">2026-10-13T20:26:27Z</dcterms:modified>
</cp:coreProperties>
</file>