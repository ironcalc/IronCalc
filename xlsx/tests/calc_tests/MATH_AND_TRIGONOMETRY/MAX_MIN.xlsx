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MATH_AND_TRIGONOMETRY/"/>
    </mc:Choice>
  </mc:AlternateContent>
  <xr:revisionPtr revIDLastSave="0" documentId="13_ncr:1_{42826908-069E-234A-8748-EB5225A6693A}" xr6:coauthVersionLast="47" xr6:coauthVersionMax="47" xr10:uidLastSave="{00000000-0000-0000-0000-000000000000}"/>
  <bookViews>
    <workbookView xWindow="-4940" yWindow="-20980" windowWidth="38400" windowHeight="20980" xr2:uid="{9CDB9E32-EF02-0140-A578-7CDC0A9314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" i="1" l="1"/>
  <c r="H58" i="1"/>
  <c r="H13" i="1"/>
  <c r="H59" i="1"/>
  <c r="H56" i="1" a="1"/>
  <c r="H56" i="1" s="1"/>
  <c r="H55" i="1" a="1"/>
  <c r="H55" i="1" s="1"/>
  <c r="H54" i="1" a="1"/>
  <c r="H54" i="1" s="1"/>
  <c r="H53" i="1" a="1"/>
  <c r="H53" i="1" s="1"/>
  <c r="H52" i="1"/>
  <c r="H49" i="1"/>
  <c r="H48" i="1"/>
  <c r="H47" i="1"/>
  <c r="H46" i="1"/>
  <c r="H45" i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6" i="1" a="1"/>
  <c r="H36" i="1" s="1"/>
  <c r="H35" i="1" a="1"/>
  <c r="H35" i="1" s="1"/>
  <c r="H34" i="1" a="1"/>
  <c r="H34" i="1" s="1"/>
  <c r="H33" i="1"/>
  <c r="H32" i="1"/>
  <c r="H3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1" i="1"/>
  <c r="H10" i="1"/>
  <c r="H9" i="1"/>
  <c r="H8" i="1"/>
  <c r="H7" i="1"/>
  <c r="H6" i="1"/>
  <c r="H5" i="1"/>
  <c r="H4" i="1"/>
  <c r="H3" i="1"/>
  <c r="H2" i="1"/>
  <c r="H1" i="1"/>
  <c r="C1" i="1"/>
  <c r="A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<sst xmlns="http://schemas.openxmlformats.org/spreadsheetml/2006/main" count="57" uniqueCount="57">
  <si>
    <t>text</t>
  </si>
  <si>
    <t>100</t>
  </si>
  <si>
    <t>h</t>
  </si>
  <si>
    <t>e</t>
  </si>
  <si>
    <t>ref max</t>
  </si>
  <si>
    <t>ref max range</t>
  </si>
  <si>
    <t>ref min range</t>
  </si>
  <si>
    <t>ref text cell</t>
  </si>
  <si>
    <t>ref text cell with number</t>
  </si>
  <si>
    <t>ref boolean cell</t>
  </si>
  <si>
    <t>ref numeric text cell</t>
  </si>
  <si>
    <t>ref empty text cell</t>
  </si>
  <si>
    <t>ref empty cell</t>
  </si>
  <si>
    <t>ref empty range</t>
  </si>
  <si>
    <t>ref whole column</t>
  </si>
  <si>
    <t>direct empty text</t>
  </si>
  <si>
    <t>direct text</t>
  </si>
  <si>
    <t>direct text min</t>
  </si>
  <si>
    <t>direct numeric text</t>
  </si>
  <si>
    <t>direct negative numeric text</t>
  </si>
  <si>
    <t>direct scientific text</t>
  </si>
  <si>
    <t>direct percent text</t>
  </si>
  <si>
    <t>direct time text</t>
  </si>
  <si>
    <t>direct inf text</t>
  </si>
  <si>
    <t>direct true</t>
  </si>
  <si>
    <t>direct false min</t>
  </si>
  <si>
    <t>direct false max</t>
  </si>
  <si>
    <t>text from function</t>
  </si>
  <si>
    <t>empty text from function</t>
  </si>
  <si>
    <t>numeric text from function</t>
  </si>
  <si>
    <t>numeric text from cell</t>
  </si>
  <si>
    <t>negative numeric text from cell</t>
  </si>
  <si>
    <t>array with text and boolean</t>
  </si>
  <si>
    <t>array min with text and boolean</t>
  </si>
  <si>
    <t>array with numeric text</t>
  </si>
  <si>
    <t>computed array</t>
  </si>
  <si>
    <t>boolean array</t>
  </si>
  <si>
    <t>masked array</t>
  </si>
  <si>
    <t>filter found</t>
  </si>
  <si>
    <t>filter not found, empty text</t>
  </si>
  <si>
    <t>filter not found, iferror</t>
  </si>
  <si>
    <t>filter not found, zero</t>
  </si>
  <si>
    <t>filter not found, no if_empty</t>
  </si>
  <si>
    <t>pair score</t>
  </si>
  <si>
    <t>error cell</t>
  </si>
  <si>
    <t>error in range</t>
  </si>
  <si>
    <t>error in array</t>
  </si>
  <si>
    <t>error then text</t>
  </si>
  <si>
    <t>text then error</t>
  </si>
  <si>
    <t>empty first argument</t>
  </si>
  <si>
    <t>empty last argument</t>
  </si>
  <si>
    <t>lambda range</t>
  </si>
  <si>
    <t>lambda single cell</t>
  </si>
  <si>
    <t>lambda text</t>
  </si>
  <si>
    <t>lambda array</t>
  </si>
  <si>
    <t>maxa range</t>
  </si>
  <si>
    <t>mina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</si>
</sst>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D74220-1BFE-B64C-9F63-8E773EA5B23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49b5efa-f42a-4650-a0c2-f089f8ee964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16D8-2825-584C-94F7-773F4E7BCE46}">
  <dimension ref="A1:H59"/>
  <sheetViews>
    <sheetView tabSelected="1" topLeftCell="A6" workbookViewId="0">
      <selection activeCell="H54" sqref="H54"/>
    </sheetView>
  </sheetViews>
  <sheetFormatPr baseColWidth="10" defaultRowHeight="16" x14ac:dyDescent="0.2"/>
  <cols>
    <col min="7" max="7" width="26.6640625" bestFit="1" customWidth="1"/>
  </cols>
  <sheetData>
    <row r="1" spans="1:8" x14ac:dyDescent="0.2">
      <c r="A1">
        <v>-2</v>
      </c>
      <c r="B1">
        <v>5</v>
      </c>
      <c r="C1" t="e">
        <f>1/0</f>
        <v>#DIV/0!</v>
      </c>
      <c r="D1" t="s">
        <v>2</v>
      </c>
      <c r="E1">
        <v>10</v>
      </c>
      <c r="G1" t="s">
        <v>4</v>
      </c>
      <c r="H1">
        <f>MAX(_xlfn.SINGLE(A1:A6))</f>
        <v>-2</v>
      </c>
    </row>
    <row r="2" spans="1:8" x14ac:dyDescent="0.2">
      <c r="A2" t="s">
        <v>0</v>
      </c>
      <c r="B2">
        <v>30</v>
      </c>
      <c r="D2" t="s">
        <v>3</v>
      </c>
      <c r="E2">
        <v>4</v>
      </c>
      <c r="G2" t="s">
        <v>5</v>
      </c>
      <c r="H2">
        <f>MAX(A1:A6)</f>
        <v>-2</v>
      </c>
    </row>
    <row r="3" spans="1:8" x14ac:dyDescent="0.2">
      <c r="A3" t="b">
        <v>1</v>
      </c>
      <c r="B3">
        <v>20</v>
      </c>
      <c r="G3" t="s">
        <v>6</v>
      </c>
      <c r="H3">
        <f>MIN(A1:A6)</f>
        <v>-10</v>
      </c>
    </row>
    <row r="4" spans="1:8" x14ac:dyDescent="0.2">
      <c r="A4">
        <v>-10</v>
      </c>
      <c r="G4" t="s">
        <v>7</v>
      </c>
      <c r="H4">
        <f>MAX(A2)</f>
        <v>0</v>
      </c>
    </row>
    <row r="5" spans="1:8" x14ac:dyDescent="0.2">
      <c r="A5" s="1" t="s">
        <v>1</v>
      </c>
      <c r="G5" t="s">
        <v>8</v>
      </c>
      <c r="H5">
        <f>MAX(A2, -3)</f>
        <v>-3</v>
      </c>
    </row>
    <row r="6" spans="1:8" x14ac:dyDescent="0.2">
      <c r="A6" t="str">
        <f>""</f>
        <v/>
      </c>
      <c r="G6" t="s">
        <v>9</v>
      </c>
      <c r="H6">
        <f>MIN(A3, 3)</f>
        <v>3</v>
      </c>
    </row>
    <row r="7" spans="1:8" x14ac:dyDescent="0.2">
      <c r="G7" t="s">
        <v>10</v>
      </c>
      <c r="H7">
        <f>MAX(A5, 3)</f>
        <v>3</v>
      </c>
    </row>
    <row r="8" spans="1:8" x14ac:dyDescent="0.2">
      <c r="G8" t="s">
        <v>11</v>
      </c>
      <c r="H8">
        <f>MAX(A6, -3)</f>
        <v>-3</v>
      </c>
    </row>
    <row r="9" spans="1:8" x14ac:dyDescent="0.2">
      <c r="G9" t="s">
        <v>12</v>
      </c>
      <c r="H9">
        <f>MAX(A7, -3)</f>
        <v>-3</v>
      </c>
    </row>
    <row r="10" spans="1:8" x14ac:dyDescent="0.2">
      <c r="G10" t="s">
        <v>13</v>
      </c>
      <c r="H10">
        <f>MAX(G1:G5)</f>
        <v>0</v>
      </c>
    </row>
    <row r="11" spans="1:8" x14ac:dyDescent="0.2">
      <c r="G11" t="s">
        <v>14</v>
      </c>
      <c r="H11">
        <f>MAX(B:B)</f>
        <v>30</v>
      </c>
    </row>
    <row r="13" spans="1:8" x14ac:dyDescent="0.2">
      <c r="G13" t="s">
        <v>15</v>
      </c>
      <c r="H13" t="e">
        <f>MAX("")</f>
        <v>#VALUE!</v>
      </c>
    </row>
    <row r="14" spans="1:8" x14ac:dyDescent="0.2">
      <c r="G14" t="s">
        <v>16</v>
      </c>
      <c r="H14" t="e">
        <f>MAX("abc", 1)</f>
        <v>#VALUE!</v>
      </c>
    </row>
    <row r="15" spans="1:8" x14ac:dyDescent="0.2">
      <c r="G15" t="s">
        <v>17</v>
      </c>
      <c r="H15" t="e">
        <f>MIN(1, "abc")</f>
        <v>#VALUE!</v>
      </c>
    </row>
    <row r="16" spans="1:8" x14ac:dyDescent="0.2">
      <c r="G16" t="s">
        <v>18</v>
      </c>
      <c r="H16">
        <f>MAX("3", 2)</f>
        <v>3</v>
      </c>
    </row>
    <row r="17" spans="7:8" x14ac:dyDescent="0.2">
      <c r="G17" t="s">
        <v>19</v>
      </c>
      <c r="H17">
        <f>MIN("-3", 2)</f>
        <v>-3</v>
      </c>
    </row>
    <row r="18" spans="7:8" x14ac:dyDescent="0.2">
      <c r="G18" t="s">
        <v>20</v>
      </c>
      <c r="H18">
        <f>MAX("1e3", 2)</f>
        <v>1000</v>
      </c>
    </row>
    <row r="19" spans="7:8" x14ac:dyDescent="0.2">
      <c r="G19" t="s">
        <v>21</v>
      </c>
      <c r="H19">
        <f>MAX("50%", 0.4)</f>
        <v>0.5</v>
      </c>
    </row>
    <row r="20" spans="7:8" x14ac:dyDescent="0.2">
      <c r="G20" t="s">
        <v>22</v>
      </c>
      <c r="H20">
        <f>MAX("12:00", 0.4)</f>
        <v>0.5</v>
      </c>
    </row>
    <row r="21" spans="7:8" x14ac:dyDescent="0.2">
      <c r="G21" t="s">
        <v>23</v>
      </c>
      <c r="H21" t="e">
        <f>MAX("inf", 1)</f>
        <v>#VALUE!</v>
      </c>
    </row>
    <row r="22" spans="7:8" x14ac:dyDescent="0.2">
      <c r="G22" t="s">
        <v>24</v>
      </c>
      <c r="H22">
        <f>MAX(TRUE, 0.5)</f>
        <v>1</v>
      </c>
    </row>
    <row r="23" spans="7:8" x14ac:dyDescent="0.2">
      <c r="G23" t="s">
        <v>25</v>
      </c>
      <c r="H23">
        <f>MIN(FALSE, 3)</f>
        <v>0</v>
      </c>
    </row>
    <row r="24" spans="7:8" x14ac:dyDescent="0.2">
      <c r="G24" t="s">
        <v>26</v>
      </c>
      <c r="H24">
        <f>MAX(-1, FALSE)</f>
        <v>0</v>
      </c>
    </row>
    <row r="25" spans="7:8" x14ac:dyDescent="0.2">
      <c r="G25" t="s">
        <v>27</v>
      </c>
      <c r="H25" t="e">
        <f>MAX(LEFT("abc", 1))</f>
        <v>#VALUE!</v>
      </c>
    </row>
    <row r="26" spans="7:8" x14ac:dyDescent="0.2">
      <c r="G26" t="s">
        <v>28</v>
      </c>
      <c r="H26" t="e">
        <f>MIN(IF(TRUE, "", 1))</f>
        <v>#VALUE!</v>
      </c>
    </row>
    <row r="27" spans="7:8" x14ac:dyDescent="0.2">
      <c r="G27" t="s">
        <v>29</v>
      </c>
      <c r="H27">
        <f>MAX(LEFT("34", 1), 2)</f>
        <v>3</v>
      </c>
    </row>
    <row r="28" spans="7:8" x14ac:dyDescent="0.2">
      <c r="G28" t="s">
        <v>30</v>
      </c>
      <c r="H28">
        <f>MAX(A5&amp;"", 0)</f>
        <v>100</v>
      </c>
    </row>
    <row r="29" spans="7:8" x14ac:dyDescent="0.2">
      <c r="G29" t="s">
        <v>31</v>
      </c>
      <c r="H29">
        <f>MAX(A1&amp;"", 0)</f>
        <v>0</v>
      </c>
    </row>
    <row r="31" spans="7:8" x14ac:dyDescent="0.2">
      <c r="G31" t="s">
        <v>32</v>
      </c>
      <c r="H31">
        <f>MAX({-1,"a",TRUE,-7})</f>
        <v>-1</v>
      </c>
    </row>
    <row r="32" spans="7:8" x14ac:dyDescent="0.2">
      <c r="G32" t="s">
        <v>33</v>
      </c>
      <c r="H32">
        <f>MIN({3,"a",FALSE,7})</f>
        <v>3</v>
      </c>
    </row>
    <row r="33" spans="7:8" x14ac:dyDescent="0.2">
      <c r="G33" t="s">
        <v>34</v>
      </c>
      <c r="H33">
        <f>MAX({"100",1})</f>
        <v>1</v>
      </c>
    </row>
    <row r="34" spans="7:8" x14ac:dyDescent="0.2">
      <c r="G34" t="s">
        <v>35</v>
      </c>
      <c r="H34" cm="1">
        <f t="array" ref="H34">MAX(B1:B3*2)</f>
        <v>60</v>
      </c>
    </row>
    <row r="35" spans="7:8" x14ac:dyDescent="0.2">
      <c r="G35" t="s">
        <v>36</v>
      </c>
      <c r="H35" cm="1">
        <f t="array" ref="H35">MAX(B1:B3&gt;10)</f>
        <v>0</v>
      </c>
    </row>
    <row r="36" spans="7:8" x14ac:dyDescent="0.2">
      <c r="G36" t="s">
        <v>37</v>
      </c>
      <c r="H36" cm="1">
        <f t="array" ref="H36">MAX((B1:B3&gt;10)*B1:B3)</f>
        <v>30</v>
      </c>
    </row>
    <row r="38" spans="7:8" x14ac:dyDescent="0.2">
      <c r="G38" t="s">
        <v>38</v>
      </c>
      <c r="H38" cm="1">
        <f t="array" ref="H38">MAX(_xlfn._xlws.FILTER(B1:B3, B1:B3&gt;15, ""))</f>
        <v>30</v>
      </c>
    </row>
    <row r="39" spans="7:8" x14ac:dyDescent="0.2">
      <c r="G39" t="s">
        <v>39</v>
      </c>
      <c r="H39" t="e" cm="1">
        <f t="array" ref="H39">MAX(_xlfn._xlws.FILTER(B1:B3, B1:B3&gt;100, ""))</f>
        <v>#VALUE!</v>
      </c>
    </row>
    <row r="40" spans="7:8" x14ac:dyDescent="0.2">
      <c r="G40" t="s">
        <v>40</v>
      </c>
      <c r="H40" t="str" cm="1">
        <f t="array" ref="H40">IFERROR(MAX(_xlfn._xlws.FILTER(B1:B3, B1:B3&gt;100, "")), "none")</f>
        <v>none</v>
      </c>
    </row>
    <row r="41" spans="7:8" x14ac:dyDescent="0.2">
      <c r="G41" t="s">
        <v>41</v>
      </c>
      <c r="H41" cm="1">
        <f t="array" ref="H41">MAX(_xlfn._xlws.FILTER(B1:B3, B1:B3&gt;100, 0))</f>
        <v>0</v>
      </c>
    </row>
    <row r="42" spans="7:8" x14ac:dyDescent="0.2">
      <c r="G42" t="s">
        <v>42</v>
      </c>
      <c r="H42" t="e" cm="1" vm="1">
        <f t="array" ref="H42">MAX(_xlfn._xlws.FILTER(B1:B3, B1:B3&gt;100))</f>
        <v>#VALUE!</v>
      </c>
    </row>
    <row r="43" spans="7:8" x14ac:dyDescent="0.2">
      <c r="G43" t="s">
        <v>43</v>
      </c>
      <c r="H43" t="str" cm="1">
        <f t="array" ref="H43">IFERROR(MAX(_xlfn._xlws.FILTER(E1:E2, ("h"=D1:D2)*("e"=D1:D2), "")), "")</f>
        <v/>
      </c>
    </row>
    <row r="45" spans="7:8" x14ac:dyDescent="0.2">
      <c r="G45" t="s">
        <v>44</v>
      </c>
      <c r="H45" t="e">
        <f>MAX(C1)</f>
        <v>#DIV/0!</v>
      </c>
    </row>
    <row r="46" spans="7:8" x14ac:dyDescent="0.2">
      <c r="G46" t="s">
        <v>45</v>
      </c>
      <c r="H46" t="e">
        <f>MAX(B1:C1)</f>
        <v>#DIV/0!</v>
      </c>
    </row>
    <row r="47" spans="7:8" x14ac:dyDescent="0.2">
      <c r="G47" t="s">
        <v>46</v>
      </c>
      <c r="H47" t="e">
        <f>MIN({1,#N/A})</f>
        <v>#N/A</v>
      </c>
    </row>
    <row r="48" spans="7:8" x14ac:dyDescent="0.2">
      <c r="G48" t="s">
        <v>47</v>
      </c>
      <c r="H48" t="e">
        <f>MAX(NA(), "abc")</f>
        <v>#N/A</v>
      </c>
    </row>
    <row r="49" spans="7:8" x14ac:dyDescent="0.2">
      <c r="G49" t="s">
        <v>48</v>
      </c>
      <c r="H49" t="e">
        <f>MAX("abc", NA())</f>
        <v>#VALUE!</v>
      </c>
    </row>
    <row r="51" spans="7:8" x14ac:dyDescent="0.2">
      <c r="G51" t="s">
        <v>49</v>
      </c>
      <c r="H51">
        <f>MAX(,-1)</f>
        <v>0</v>
      </c>
    </row>
    <row r="52" spans="7:8" x14ac:dyDescent="0.2">
      <c r="G52" t="s">
        <v>50</v>
      </c>
      <c r="H52">
        <f>MIN(5,)</f>
        <v>0</v>
      </c>
    </row>
    <row r="53" spans="7:8" x14ac:dyDescent="0.2">
      <c r="G53" t="s">
        <v>51</v>
      </c>
      <c r="H53" cm="1">
        <f t="array" ref="H53">_xlfn.LAMBDA(_xlpm.x, MAX(_xlpm.x))(A1:A6)</f>
        <v>-2</v>
      </c>
    </row>
    <row r="54" spans="7:8" x14ac:dyDescent="0.2">
      <c r="G54" t="s">
        <v>52</v>
      </c>
      <c r="H54" cm="1">
        <f t="array" ref="H54">_xlfn.LAMBDA(_xlpm.x, MAX(_xlpm.x))(A2)</f>
        <v>0</v>
      </c>
    </row>
    <row r="55" spans="7:8" x14ac:dyDescent="0.2">
      <c r="G55" t="s">
        <v>53</v>
      </c>
      <c r="H55" t="e" cm="1">
        <f t="array" ref="H55">_xlfn.LAMBDA(_xlpm.x, MAX(_xlpm.x))("h")</f>
        <v>#VALUE!</v>
      </c>
    </row>
    <row r="56" spans="7:8" x14ac:dyDescent="0.2">
      <c r="G56" t="s">
        <v>54</v>
      </c>
      <c r="H56" cm="1">
        <f t="array" ref="H56">_xlfn.LAMBDA(_xlpm.x, MAX(_xlpm.x))(B1:B3*1)</f>
        <v>30</v>
      </c>
    </row>
    <row r="58" spans="7:8" x14ac:dyDescent="0.2">
      <c r="G58" t="s">
        <v>55</v>
      </c>
      <c r="H58">
        <f>MAXA(A1:A6)</f>
        <v>1</v>
      </c>
    </row>
    <row r="59" spans="7:8" x14ac:dyDescent="0.2">
      <c r="G59" t="s">
        <v>56</v>
      </c>
      <c r="H59">
        <f>MINA(A1:A6)</f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2026-10-03T09:52:33Z</dcterms:created>
  <dcterms:modified xsi:type="dcterms:W3CDTF">2026-10-03T10:16:11Z</dcterms:modified>
</cp:coreProperties>
</file>