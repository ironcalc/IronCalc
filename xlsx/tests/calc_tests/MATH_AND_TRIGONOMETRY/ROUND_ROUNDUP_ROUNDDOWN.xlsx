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CC5297CF-EC5F-4152-99CE-A303A6A2C9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D101" i="1"/>
  <c r="E101" i="1"/>
  <c r="C100" i="1"/>
  <c r="D100" i="1"/>
  <c r="E100" i="1"/>
  <c r="C99" i="1"/>
  <c r="D99" i="1"/>
  <c r="E99" i="1"/>
  <c r="B98" i="1"/>
  <c r="A98" i="1"/>
  <c r="B97" i="1"/>
  <c r="A96" i="1"/>
  <c r="A95" i="1"/>
  <c r="A94" i="1"/>
  <c r="C93" i="1"/>
  <c r="D93" i="1"/>
  <c r="E93" i="1"/>
  <c r="C92" i="1"/>
  <c r="D92" i="1"/>
  <c r="E92" i="1"/>
  <c r="C91" i="1"/>
  <c r="D91" i="1"/>
  <c r="E91" i="1"/>
  <c r="C90" i="1"/>
  <c r="D90" i="1"/>
  <c r="E90" i="1"/>
  <c r="C89" i="1"/>
  <c r="D89" i="1"/>
  <c r="E89" i="1"/>
  <c r="C88" i="1"/>
  <c r="D88" i="1"/>
  <c r="E88" i="1"/>
  <c r="C87" i="1"/>
  <c r="D87" i="1"/>
  <c r="E87" i="1"/>
  <c r="A86" i="1"/>
  <c r="B85" i="1"/>
  <c r="C84" i="1"/>
  <c r="D84" i="1"/>
  <c r="E84" i="1"/>
  <c r="C83" i="1"/>
  <c r="D83" i="1"/>
  <c r="E83" i="1"/>
  <c r="C82" i="1"/>
  <c r="D82" i="1"/>
  <c r="E82" i="1"/>
  <c r="C81" i="1"/>
  <c r="D81" i="1"/>
  <c r="E81" i="1"/>
  <c r="C80" i="1"/>
  <c r="D80" i="1"/>
  <c r="E80" i="1"/>
  <c r="C79" i="1"/>
  <c r="D79" i="1"/>
  <c r="E79" i="1"/>
  <c r="C78" i="1"/>
  <c r="D78" i="1"/>
  <c r="E78" i="1"/>
  <c r="C77" i="1"/>
  <c r="D77" i="1"/>
  <c r="E77" i="1"/>
  <c r="C76" i="1"/>
  <c r="D76" i="1"/>
  <c r="E76" i="1"/>
  <c r="C75" i="1"/>
  <c r="D75" i="1"/>
  <c r="E75" i="1"/>
  <c r="C74" i="1"/>
  <c r="D74" i="1"/>
  <c r="E74" i="1"/>
  <c r="C73" i="1"/>
  <c r="D73" i="1"/>
  <c r="E73" i="1"/>
  <c r="C72" i="1"/>
  <c r="D72" i="1"/>
  <c r="E72" i="1"/>
  <c r="C71" i="1"/>
  <c r="D71" i="1"/>
  <c r="E71" i="1"/>
  <c r="C70" i="1"/>
  <c r="D70" i="1"/>
  <c r="E70" i="1"/>
  <c r="C69" i="1"/>
  <c r="D69" i="1"/>
  <c r="E69" i="1"/>
  <c r="A68" i="1"/>
  <c r="A67" i="1"/>
  <c r="A66" i="1"/>
  <c r="A65" i="1"/>
  <c r="A64" i="1"/>
  <c r="C63" i="1"/>
  <c r="D63" i="1"/>
  <c r="E63" i="1"/>
  <c r="C62" i="1"/>
  <c r="D62" i="1"/>
  <c r="E62" i="1"/>
  <c r="C61" i="1"/>
  <c r="D61" i="1"/>
  <c r="E61" i="1"/>
  <c r="C60" i="1"/>
  <c r="D60" i="1"/>
  <c r="E60" i="1"/>
  <c r="C59" i="1"/>
  <c r="D59" i="1"/>
  <c r="E59" i="1"/>
  <c r="C58" i="1"/>
  <c r="D58" i="1"/>
  <c r="E58" i="1"/>
  <c r="C57" i="1"/>
  <c r="D57" i="1"/>
  <c r="E57" i="1"/>
  <c r="C56" i="1"/>
  <c r="D56" i="1"/>
  <c r="E56" i="1"/>
  <c r="C16" i="1"/>
  <c r="D16" i="1"/>
  <c r="E16" i="1"/>
  <c r="E19" i="1"/>
  <c r="D19" i="1"/>
  <c r="C19" i="1"/>
  <c r="E18" i="1"/>
  <c r="D18" i="1"/>
  <c r="C18" i="1"/>
  <c r="E17" i="1"/>
  <c r="D17" i="1"/>
  <c r="C17" i="1"/>
  <c r="C15" i="1"/>
  <c r="D15" i="1"/>
  <c r="E15" i="1"/>
  <c r="C53" i="1"/>
  <c r="D53" i="1"/>
  <c r="E53" i="1"/>
  <c r="C54" i="1"/>
  <c r="D54" i="1"/>
  <c r="E54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A46" i="1"/>
  <c r="V4" i="1"/>
  <c r="U4" i="1"/>
  <c r="T4" i="1"/>
  <c r="V5" i="1"/>
  <c r="U5" i="1"/>
  <c r="T5" i="1"/>
  <c r="M5" i="1"/>
  <c r="N5" i="1"/>
  <c r="L5" i="1"/>
  <c r="N4" i="1"/>
  <c r="M4" i="1"/>
  <c r="L4" i="1"/>
  <c r="A45" i="1"/>
  <c r="C42" i="1"/>
  <c r="D42" i="1"/>
  <c r="E42" i="1"/>
  <c r="C43" i="1"/>
  <c r="D43" i="1"/>
  <c r="E43" i="1"/>
  <c r="C44" i="1"/>
  <c r="D44" i="1"/>
  <c r="E44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36" i="1"/>
  <c r="D36" i="1"/>
  <c r="E36" i="1"/>
  <c r="C35" i="1"/>
  <c r="D35" i="1"/>
  <c r="E35" i="1"/>
  <c r="C34" i="1"/>
  <c r="D34" i="1"/>
  <c r="E34" i="1"/>
  <c r="C33" i="1"/>
  <c r="D33" i="1"/>
  <c r="E33" i="1"/>
  <c r="C32" i="1"/>
  <c r="D32" i="1"/>
  <c r="E32" i="1"/>
  <c r="C31" i="1"/>
  <c r="D31" i="1"/>
  <c r="E31" i="1"/>
  <c r="C30" i="1"/>
  <c r="D30" i="1"/>
  <c r="E30" i="1"/>
  <c r="C29" i="1"/>
  <c r="D29" i="1"/>
  <c r="E29" i="1"/>
  <c r="C25" i="1"/>
  <c r="D25" i="1"/>
  <c r="E25" i="1"/>
  <c r="C26" i="1"/>
  <c r="D26" i="1"/>
  <c r="E26" i="1"/>
  <c r="C27" i="1"/>
  <c r="D27" i="1"/>
  <c r="E27" i="1"/>
  <c r="C28" i="1"/>
  <c r="D28" i="1"/>
  <c r="E28" i="1"/>
  <c r="B24" i="1"/>
  <c r="C24" i="1" s="1"/>
  <c r="A23" i="1"/>
  <c r="E23" i="1" s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20" i="1"/>
  <c r="D20" i="1"/>
  <c r="E20" i="1"/>
  <c r="C21" i="1"/>
  <c r="D21" i="1"/>
  <c r="E21" i="1"/>
  <c r="C22" i="1"/>
  <c r="D22" i="1"/>
  <c r="E22" i="1"/>
  <c r="E2" i="1"/>
  <c r="D2" i="1"/>
  <c r="C2" i="1"/>
  <c r="C94" i="1" l="1"/>
  <c r="D94" i="1"/>
  <c r="E94" i="1"/>
  <c r="D98" i="1"/>
  <c r="E98" i="1"/>
  <c r="C98" i="1"/>
  <c r="D97" i="1"/>
  <c r="E97" i="1"/>
  <c r="C97" i="1"/>
  <c r="D96" i="1"/>
  <c r="E96" i="1"/>
  <c r="C96" i="1"/>
  <c r="D95" i="1"/>
  <c r="E95" i="1"/>
  <c r="C95" i="1"/>
  <c r="C86" i="1"/>
  <c r="D86" i="1"/>
  <c r="E86" i="1"/>
  <c r="C85" i="1"/>
  <c r="D85" i="1"/>
  <c r="E85" i="1"/>
  <c r="C68" i="1"/>
  <c r="D68" i="1"/>
  <c r="E68" i="1"/>
  <c r="C67" i="1"/>
  <c r="E67" i="1"/>
  <c r="D67" i="1"/>
  <c r="C66" i="1"/>
  <c r="D66" i="1"/>
  <c r="E66" i="1"/>
  <c r="C65" i="1"/>
  <c r="D65" i="1"/>
  <c r="E65" i="1"/>
  <c r="C64" i="1"/>
  <c r="D64" i="1"/>
  <c r="E64" i="1"/>
  <c r="C23" i="1"/>
  <c r="E24" i="1"/>
  <c r="D24" i="1"/>
  <c r="C45" i="1"/>
  <c r="D45" i="1"/>
  <c r="E45" i="1"/>
  <c r="C46" i="1"/>
  <c r="D46" i="1"/>
  <c r="E46" i="1"/>
  <c r="D23" i="1"/>
</calcChain>
</file>

<file path=xl/sharedStrings.xml><?xml version="1.0" encoding="utf-8"?>
<sst xmlns="http://schemas.openxmlformats.org/spreadsheetml/2006/main" count="51" uniqueCount="50">
  <si>
    <t>Number of Digits</t>
  </si>
  <si>
    <t>ROUND</t>
  </si>
  <si>
    <t>ROUNDUP</t>
  </si>
  <si>
    <t>ROUNDDOWN</t>
  </si>
  <si>
    <t>Number</t>
  </si>
  <si>
    <t>1.745</t>
  </si>
  <si>
    <t>1</t>
  </si>
  <si>
    <t>Zero</t>
  </si>
  <si>
    <t>uno</t>
  </si>
  <si>
    <t>Empty cells are treated as zero</t>
  </si>
  <si>
    <t>Correct Error propagation</t>
  </si>
  <si>
    <t>NOTES</t>
  </si>
  <si>
    <t>Strings and bools are cast into numbers</t>
  </si>
  <si>
    <t>Number of digits is large negative</t>
  </si>
  <si>
    <t>We always take the floor of number of digits</t>
  </si>
  <si>
    <t>Implict Intersection on first argument</t>
  </si>
  <si>
    <t>Implicit intersection on second argument</t>
  </si>
  <si>
    <t>Empty cell reference</t>
  </si>
  <si>
    <t>Ties: exact half, round half away from zero</t>
  </si>
  <si>
    <t>Tie not exact in binary (2.67499999...)</t>
  </si>
  <si>
    <t>Digits beyond 15 significant</t>
  </si>
  <si>
    <t>Carry adds a digit</t>
  </si>
  <si>
    <t>Digits larger than magnitude</t>
  </si>
  <si>
    <t xml:space="preserve"> 1.745 </t>
  </si>
  <si>
    <t>Text with spaces</t>
  </si>
  <si>
    <t>1.745E0</t>
  </si>
  <si>
    <t>Text scientific</t>
  </si>
  <si>
    <t>50%</t>
  </si>
  <si>
    <t>Text percent</t>
  </si>
  <si>
    <t>12:30</t>
  </si>
  <si>
    <t>Text parsed as time</t>
  </si>
  <si>
    <t>TRUE</t>
  </si>
  <si>
    <t>Literal boolean</t>
  </si>
  <si>
    <t>Literal numeric string</t>
  </si>
  <si>
    <t>Time value</t>
  </si>
  <si>
    <t>Date with time</t>
  </si>
  <si>
    <t>#N/A in number</t>
  </si>
  <si>
    <t>#N/A in digits</t>
  </si>
  <si>
    <t>Errors in both args: first should win</t>
  </si>
  <si>
    <t>Implicit intersection on 2nd arg, no intersect</t>
  </si>
  <si>
    <t>Implicit intersection, horizontal range not covering column</t>
  </si>
  <si>
    <t>Implicit intersection, 2D range</t>
  </si>
  <si>
    <t>0.1+0.2</t>
  </si>
  <si>
    <t>1-0.9</t>
  </si>
  <si>
    <t>Float noise</t>
  </si>
  <si>
    <t>Already rounded</t>
  </si>
  <si>
    <t>Fractional digits near zero</t>
  </si>
  <si>
    <t>Digits is empty string</t>
  </si>
  <si>
    <t>Number is empty string</t>
  </si>
  <si>
    <t>Text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</si>
</sst>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11" fontId="0" fillId="0" borderId="0" xfId="0" applyNumberFormat="1"/>
    <xf numFmtId="0" fontId="1" fillId="2" borderId="1" xfId="1"/>
    <xf numFmtId="0" fontId="0" fillId="0" borderId="0" xfId="0" quotePrefix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167" fontId="0" fillId="0" borderId="0" xfId="0" applyNumberFormat="1"/>
    <xf numFmtId="0" fontId="1" fillId="3" borderId="2" xfId="0" applyNumberFormat="1" applyFont="1" applyFill="1" applyBorder="1"/>
    <xf numFmtId="0" fontId="1" fillId="3" borderId="1" xfId="0" applyNumberFormat="1" applyFont="1" applyFill="1" applyBorder="1"/>
    <xf numFmtId="0" fontId="1" fillId="3" borderId="3" xfId="0" applyNumberFormat="1" applyFont="1" applyFill="1" applyBorder="1"/>
    <xf numFmtId="0" fontId="1" fillId="3" borderId="3" xfId="1" applyNumberFormat="1" applyFont="1" applyFill="1" applyBorder="1"/>
    <xf numFmtId="0" fontId="1" fillId="3" borderId="4" xfId="0" applyNumberFormat="1" applyFont="1" applyFill="1" applyBorder="1"/>
    <xf numFmtId="0" fontId="1" fillId="3" borderId="4" xfId="1" applyNumberFormat="1" applyFont="1" applyFill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selection activeCell="B88" sqref="B88"/>
    </sheetView>
  </sheetViews>
  <sheetFormatPr defaultColWidth="8.796875" defaultRowHeight="14.25" x14ac:dyDescent="0.45"/>
  <cols>
    <col min="1" max="1" width="15.53125" customWidth="1"/>
    <col min="2" max="2" width="17.46484375" customWidth="1"/>
    <col min="3" max="3" width="12" customWidth="1"/>
    <col min="4" max="4" width="11.796875" bestFit="1" customWidth="1"/>
    <col min="5" max="5" width="14.1328125" bestFit="1" customWidth="1"/>
    <col min="6" max="6" width="38.33203125" bestFit="1" customWidth="1"/>
  </cols>
  <sheetData>
    <row r="1" spans="1:22" ht="18" x14ac:dyDescent="0.55000000000000004">
      <c r="A1" s="4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L1" s="5" t="s">
        <v>15</v>
      </c>
      <c r="S1" s="5" t="s">
        <v>16</v>
      </c>
    </row>
    <row r="2" spans="1:22" x14ac:dyDescent="0.45">
      <c r="A2">
        <v>1.7</v>
      </c>
      <c r="B2">
        <v>3</v>
      </c>
      <c r="C2" s="2">
        <f>ROUND(A2,B2)</f>
        <v>1.7</v>
      </c>
      <c r="D2" s="2">
        <f>ROUNDUP(A2,B2)</f>
        <v>1.7</v>
      </c>
      <c r="E2" s="2">
        <f>ROUNDDOWN(A2,B2)</f>
        <v>1.7</v>
      </c>
    </row>
    <row r="3" spans="1:22" x14ac:dyDescent="0.45">
      <c r="A3">
        <v>1.7450000000000001</v>
      </c>
      <c r="B3">
        <v>2</v>
      </c>
      <c r="C3" s="2">
        <f t="shared" ref="C3:C24" si="0">ROUND(A3,B3)</f>
        <v>1.75</v>
      </c>
      <c r="D3" s="2">
        <f t="shared" ref="D3:D24" si="1">ROUNDUP(A3,B3)</f>
        <v>1.75</v>
      </c>
      <c r="E3" s="2">
        <f t="shared" ref="E3:E24" si="2">ROUNDDOWN(A3,B3)</f>
        <v>1.74</v>
      </c>
      <c r="J3">
        <v>1</v>
      </c>
      <c r="R3">
        <v>2</v>
      </c>
    </row>
    <row r="4" spans="1:22" x14ac:dyDescent="0.45">
      <c r="A4">
        <v>1.7456</v>
      </c>
      <c r="B4">
        <v>2</v>
      </c>
      <c r="C4" s="2">
        <f t="shared" si="0"/>
        <v>1.75</v>
      </c>
      <c r="D4" s="2">
        <f t="shared" si="1"/>
        <v>1.75</v>
      </c>
      <c r="E4" s="2">
        <f t="shared" si="2"/>
        <v>1.74</v>
      </c>
      <c r="J4">
        <v>1.7450000000000001</v>
      </c>
      <c r="L4" s="2">
        <f>ROUND(J2:J7, 2)</f>
        <v>1.75</v>
      </c>
      <c r="M4" s="2">
        <f>ROUNDUP(J2:J7, 2)</f>
        <v>1.75</v>
      </c>
      <c r="N4" s="2">
        <f>ROUNDDOWN(J2:J7, 2)</f>
        <v>1.74</v>
      </c>
      <c r="R4">
        <v>2</v>
      </c>
      <c r="T4" s="2">
        <f>ROUND(1.745, R2:R7)</f>
        <v>1.75</v>
      </c>
      <c r="U4" s="2">
        <f>ROUNDUP(1.745, R2:R7)</f>
        <v>1.75</v>
      </c>
      <c r="V4" s="2">
        <f>ROUNDDOWN(1.745, R2:R7)</f>
        <v>1.74</v>
      </c>
    </row>
    <row r="5" spans="1:22" x14ac:dyDescent="0.45">
      <c r="A5" s="1">
        <v>1.1234E-7</v>
      </c>
      <c r="B5">
        <v>3</v>
      </c>
      <c r="C5" s="2">
        <f t="shared" si="0"/>
        <v>0</v>
      </c>
      <c r="D5" s="2">
        <f t="shared" si="1"/>
        <v>1E-3</v>
      </c>
      <c r="E5" s="2">
        <f t="shared" si="2"/>
        <v>0</v>
      </c>
      <c r="J5">
        <v>1</v>
      </c>
      <c r="L5" s="2" t="e">
        <f>ROUND(J7:J10, 2)</f>
        <v>#VALUE!</v>
      </c>
      <c r="M5" s="2" t="e">
        <f>ROUNDUP(J7:J10, 2)</f>
        <v>#VALUE!</v>
      </c>
      <c r="N5" s="2" t="e">
        <f>ROUNDDOWN(J7:J10, 2)</f>
        <v>#VALUE!</v>
      </c>
      <c r="R5">
        <v>2</v>
      </c>
      <c r="T5" s="2" t="e">
        <f>ROUND(R7:R10, 2)</f>
        <v>#VALUE!</v>
      </c>
      <c r="U5" s="2" t="e">
        <f>ROUNDUP(R7:R10, 2)</f>
        <v>#VALUE!</v>
      </c>
      <c r="V5" s="2" t="e">
        <f>ROUNDDOWN(R7:R10, 2)</f>
        <v>#VALUE!</v>
      </c>
    </row>
    <row r="6" spans="1:22" x14ac:dyDescent="0.45">
      <c r="A6">
        <v>7.1230000000000002</v>
      </c>
      <c r="B6">
        <v>1</v>
      </c>
      <c r="C6" s="2">
        <f t="shared" si="0"/>
        <v>7.1</v>
      </c>
      <c r="D6" s="2">
        <f t="shared" si="1"/>
        <v>7.1999999999999993</v>
      </c>
      <c r="E6" s="2">
        <f t="shared" si="2"/>
        <v>7.1</v>
      </c>
      <c r="J6">
        <v>1</v>
      </c>
      <c r="R6">
        <v>1</v>
      </c>
    </row>
    <row r="7" spans="1:22" x14ac:dyDescent="0.45">
      <c r="A7">
        <v>7.1230000000000002</v>
      </c>
      <c r="B7">
        <v>0</v>
      </c>
      <c r="C7" s="2">
        <f t="shared" si="0"/>
        <v>7</v>
      </c>
      <c r="D7" s="2">
        <f t="shared" si="1"/>
        <v>8</v>
      </c>
      <c r="E7" s="2">
        <f t="shared" si="2"/>
        <v>7</v>
      </c>
    </row>
    <row r="8" spans="1:22" x14ac:dyDescent="0.45">
      <c r="A8">
        <v>7.1230000000000002</v>
      </c>
      <c r="B8">
        <v>-1</v>
      </c>
      <c r="C8" s="2">
        <f t="shared" si="0"/>
        <v>10</v>
      </c>
      <c r="D8" s="2">
        <f t="shared" si="1"/>
        <v>10</v>
      </c>
      <c r="E8" s="2">
        <f t="shared" si="2"/>
        <v>0</v>
      </c>
    </row>
    <row r="9" spans="1:22" x14ac:dyDescent="0.45">
      <c r="A9">
        <v>7.1230000000000002</v>
      </c>
      <c r="B9">
        <v>0.5</v>
      </c>
      <c r="C9" s="2">
        <f t="shared" si="0"/>
        <v>7</v>
      </c>
      <c r="D9" s="2">
        <f t="shared" si="1"/>
        <v>8</v>
      </c>
      <c r="E9" s="2">
        <f t="shared" si="2"/>
        <v>7</v>
      </c>
    </row>
    <row r="10" spans="1:22" x14ac:dyDescent="0.45">
      <c r="A10">
        <v>1234567</v>
      </c>
      <c r="B10">
        <v>2</v>
      </c>
      <c r="C10" s="2">
        <f t="shared" si="0"/>
        <v>1234567</v>
      </c>
      <c r="D10" s="2">
        <f t="shared" si="1"/>
        <v>1234567</v>
      </c>
      <c r="E10" s="2">
        <f t="shared" si="2"/>
        <v>1234567</v>
      </c>
    </row>
    <row r="11" spans="1:22" x14ac:dyDescent="0.45">
      <c r="A11">
        <v>1234567</v>
      </c>
      <c r="B11">
        <v>-3</v>
      </c>
      <c r="C11" s="2">
        <f t="shared" si="0"/>
        <v>1235000</v>
      </c>
      <c r="D11" s="2">
        <f t="shared" si="1"/>
        <v>1235000</v>
      </c>
      <c r="E11" s="2">
        <f t="shared" si="2"/>
        <v>1234000</v>
      </c>
    </row>
    <row r="12" spans="1:22" x14ac:dyDescent="0.45">
      <c r="A12">
        <v>7.1230000000000002</v>
      </c>
      <c r="C12" s="2">
        <f t="shared" si="0"/>
        <v>7</v>
      </c>
      <c r="D12" s="2">
        <f t="shared" si="1"/>
        <v>8</v>
      </c>
      <c r="E12" s="2">
        <f t="shared" si="2"/>
        <v>7</v>
      </c>
    </row>
    <row r="13" spans="1:22" x14ac:dyDescent="0.45">
      <c r="A13">
        <v>7.1230000000000002</v>
      </c>
      <c r="B13">
        <v>0</v>
      </c>
      <c r="C13" s="2">
        <f t="shared" si="0"/>
        <v>7</v>
      </c>
      <c r="D13" s="2">
        <f t="shared" si="1"/>
        <v>8</v>
      </c>
      <c r="E13" s="2">
        <f t="shared" si="2"/>
        <v>7</v>
      </c>
    </row>
    <row r="14" spans="1:22" x14ac:dyDescent="0.45">
      <c r="B14">
        <v>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t="s">
        <v>9</v>
      </c>
    </row>
    <row r="15" spans="1:22" x14ac:dyDescent="0.45">
      <c r="A15">
        <v>1.7450000000000001</v>
      </c>
      <c r="C15" s="2">
        <f t="shared" ref="C15" si="3">ROUND(A15,B15)</f>
        <v>2</v>
      </c>
      <c r="D15" s="2">
        <f t="shared" ref="D15" si="4">ROUNDUP(A15,B15)</f>
        <v>2</v>
      </c>
      <c r="E15" s="2">
        <f t="shared" ref="E15" si="5">ROUNDDOWN(A15,B15)</f>
        <v>1</v>
      </c>
    </row>
    <row r="16" spans="1:22" x14ac:dyDescent="0.45">
      <c r="C16" s="2">
        <f t="shared" ref="C16" si="6">ROUND(A16,B16)</f>
        <v>0</v>
      </c>
      <c r="D16" s="2">
        <f t="shared" ref="D16" si="7">ROUNDUP(A16,B16)</f>
        <v>0</v>
      </c>
      <c r="E16" s="2">
        <f t="shared" ref="E16" si="8">ROUNDDOWN(A16,B16)</f>
        <v>0</v>
      </c>
    </row>
    <row r="17" spans="1:6" x14ac:dyDescent="0.45">
      <c r="C17" s="2">
        <f>ROUND(,B17)</f>
        <v>0</v>
      </c>
      <c r="D17" s="2">
        <f>ROUNDUP(,B17)</f>
        <v>0</v>
      </c>
      <c r="E17" s="2">
        <f>ROUNDDOWN(,B17)</f>
        <v>0</v>
      </c>
      <c r="F17" t="s">
        <v>17</v>
      </c>
    </row>
    <row r="18" spans="1:6" x14ac:dyDescent="0.45">
      <c r="C18" s="2">
        <f>ROUND(A18,)</f>
        <v>0</v>
      </c>
      <c r="D18" s="2">
        <f>ROUNDUP(A18,)</f>
        <v>0</v>
      </c>
      <c r="E18" s="2">
        <f>ROUNDDOWN(A18,)</f>
        <v>0</v>
      </c>
      <c r="F18" t="s">
        <v>17</v>
      </c>
    </row>
    <row r="19" spans="1:6" x14ac:dyDescent="0.45">
      <c r="C19" s="2">
        <f>ROUND(,)</f>
        <v>0</v>
      </c>
      <c r="D19" s="2">
        <f>ROUNDUP(,)</f>
        <v>0</v>
      </c>
      <c r="E19" s="2">
        <f>ROUNDDOWN(,)</f>
        <v>0</v>
      </c>
    </row>
    <row r="20" spans="1:6" x14ac:dyDescent="0.45">
      <c r="A20">
        <v>-2.3450000000000002</v>
      </c>
      <c r="B20">
        <v>1</v>
      </c>
      <c r="C20" s="2">
        <f t="shared" si="0"/>
        <v>-2.2999999999999998</v>
      </c>
      <c r="D20" s="2">
        <f t="shared" si="1"/>
        <v>-2.4</v>
      </c>
      <c r="E20" s="2">
        <f t="shared" si="2"/>
        <v>-2.2999999999999998</v>
      </c>
    </row>
    <row r="21" spans="1:6" x14ac:dyDescent="0.45">
      <c r="A21">
        <v>-2.3450000000000002</v>
      </c>
      <c r="B21">
        <v>0</v>
      </c>
      <c r="C21" s="2">
        <f t="shared" si="0"/>
        <v>-2</v>
      </c>
      <c r="D21" s="2">
        <f t="shared" si="1"/>
        <v>-3</v>
      </c>
      <c r="E21" s="2">
        <f t="shared" si="2"/>
        <v>-2</v>
      </c>
    </row>
    <row r="22" spans="1:6" x14ac:dyDescent="0.45">
      <c r="A22">
        <v>-123456</v>
      </c>
      <c r="B22">
        <v>-3</v>
      </c>
      <c r="C22" s="2">
        <f t="shared" si="0"/>
        <v>-123000</v>
      </c>
      <c r="D22" s="2">
        <f t="shared" si="1"/>
        <v>-124000</v>
      </c>
      <c r="E22" s="2">
        <f t="shared" si="2"/>
        <v>-123000</v>
      </c>
    </row>
    <row r="23" spans="1:6" x14ac:dyDescent="0.45">
      <c r="A23" t="e">
        <f>1/0</f>
        <v>#DIV/0!</v>
      </c>
      <c r="B23">
        <v>2</v>
      </c>
      <c r="C23" s="2" t="e">
        <f t="shared" si="0"/>
        <v>#DIV/0!</v>
      </c>
      <c r="D23" s="2" t="e">
        <f t="shared" si="1"/>
        <v>#DIV/0!</v>
      </c>
      <c r="E23" s="2" t="e">
        <f t="shared" si="2"/>
        <v>#DIV/0!</v>
      </c>
      <c r="F23" t="s">
        <v>10</v>
      </c>
    </row>
    <row r="24" spans="1:6" x14ac:dyDescent="0.45">
      <c r="A24">
        <v>123.456</v>
      </c>
      <c r="B24" t="e">
        <f>1/0</f>
        <v>#DIV/0!</v>
      </c>
      <c r="C24" s="2" t="e">
        <f t="shared" si="0"/>
        <v>#DIV/0!</v>
      </c>
      <c r="D24" s="2" t="e">
        <f t="shared" si="1"/>
        <v>#DIV/0!</v>
      </c>
      <c r="E24" s="2" t="e">
        <f t="shared" si="2"/>
        <v>#DIV/0!</v>
      </c>
    </row>
    <row r="25" spans="1:6" x14ac:dyDescent="0.45">
      <c r="A25">
        <v>1.74499</v>
      </c>
      <c r="B25">
        <v>2</v>
      </c>
      <c r="C25" s="2">
        <f t="shared" ref="C25:C36" si="9">ROUND(A25,B25)</f>
        <v>1.74</v>
      </c>
      <c r="D25" s="2">
        <f t="shared" ref="D25:D36" si="10">ROUNDUP(A25,B25)</f>
        <v>1.75</v>
      </c>
      <c r="E25" s="2">
        <f t="shared" ref="E25:E36" si="11">ROUNDDOWN(A25,B25)</f>
        <v>1.74</v>
      </c>
    </row>
    <row r="26" spans="1:6" x14ac:dyDescent="0.45">
      <c r="A26">
        <v>1.745001</v>
      </c>
      <c r="B26">
        <v>2</v>
      </c>
      <c r="C26" s="2">
        <f t="shared" si="9"/>
        <v>1.75</v>
      </c>
      <c r="D26" s="2">
        <f t="shared" si="10"/>
        <v>1.75</v>
      </c>
      <c r="E26" s="2">
        <f t="shared" si="11"/>
        <v>1.74</v>
      </c>
    </row>
    <row r="27" spans="1:6" x14ac:dyDescent="0.45">
      <c r="C27" s="2">
        <f>ROUND(A15,B15)</f>
        <v>2</v>
      </c>
      <c r="D27" s="2">
        <f>ROUNDUP(A15,B15)</f>
        <v>2</v>
      </c>
      <c r="E27" s="2">
        <f>ROUNDDOWN(A15,B15)</f>
        <v>1</v>
      </c>
    </row>
    <row r="28" spans="1:6" x14ac:dyDescent="0.45">
      <c r="A28">
        <v>1.7450000000000001</v>
      </c>
      <c r="B28">
        <v>-10</v>
      </c>
      <c r="C28" s="2">
        <f t="shared" si="9"/>
        <v>0</v>
      </c>
      <c r="D28" s="2">
        <f t="shared" si="10"/>
        <v>10000000000</v>
      </c>
      <c r="E28" s="2">
        <f t="shared" si="11"/>
        <v>0</v>
      </c>
      <c r="F28" t="s">
        <v>13</v>
      </c>
    </row>
    <row r="29" spans="1:6" x14ac:dyDescent="0.45">
      <c r="A29">
        <v>1.7450000000000001</v>
      </c>
      <c r="B29">
        <v>2.2999999999999998</v>
      </c>
      <c r="C29" s="2">
        <f t="shared" si="9"/>
        <v>1.75</v>
      </c>
      <c r="D29" s="2">
        <f t="shared" si="10"/>
        <v>1.75</v>
      </c>
      <c r="E29" s="2">
        <f t="shared" si="11"/>
        <v>1.74</v>
      </c>
      <c r="F29" t="s">
        <v>14</v>
      </c>
    </row>
    <row r="30" spans="1:6" x14ac:dyDescent="0.45">
      <c r="A30">
        <v>1.7450000000000001</v>
      </c>
      <c r="B30">
        <v>2.7</v>
      </c>
      <c r="C30" s="2">
        <f t="shared" si="9"/>
        <v>1.75</v>
      </c>
      <c r="D30" s="2">
        <f t="shared" si="10"/>
        <v>1.75</v>
      </c>
      <c r="E30" s="2">
        <f t="shared" si="11"/>
        <v>1.74</v>
      </c>
    </row>
    <row r="31" spans="1:6" x14ac:dyDescent="0.45">
      <c r="A31">
        <v>123456</v>
      </c>
      <c r="B31">
        <v>-3.2</v>
      </c>
      <c r="C31" s="2">
        <f t="shared" si="9"/>
        <v>123000</v>
      </c>
      <c r="D31" s="2">
        <f t="shared" si="10"/>
        <v>124000</v>
      </c>
      <c r="E31" s="2">
        <f t="shared" si="11"/>
        <v>123000</v>
      </c>
    </row>
    <row r="32" spans="1:6" x14ac:dyDescent="0.45">
      <c r="A32">
        <v>123456</v>
      </c>
      <c r="B32">
        <v>-3.9</v>
      </c>
      <c r="C32" s="2">
        <f t="shared" si="9"/>
        <v>123000</v>
      </c>
      <c r="D32" s="2">
        <f t="shared" si="10"/>
        <v>124000</v>
      </c>
      <c r="E32" s="2">
        <f t="shared" si="11"/>
        <v>123000</v>
      </c>
    </row>
    <row r="33" spans="1:6" x14ac:dyDescent="0.45">
      <c r="A33">
        <v>123456</v>
      </c>
      <c r="B33">
        <v>-2.9</v>
      </c>
      <c r="C33" s="2">
        <f t="shared" si="9"/>
        <v>123500</v>
      </c>
      <c r="D33" s="2">
        <f t="shared" si="10"/>
        <v>123500</v>
      </c>
      <c r="E33" s="2">
        <f t="shared" si="11"/>
        <v>123400</v>
      </c>
    </row>
    <row r="34" spans="1:6" x14ac:dyDescent="0.45">
      <c r="A34">
        <v>123456</v>
      </c>
      <c r="B34">
        <v>-4.0999999999999996</v>
      </c>
      <c r="C34" s="2">
        <f t="shared" si="9"/>
        <v>120000</v>
      </c>
      <c r="D34" s="2">
        <f t="shared" si="10"/>
        <v>130000</v>
      </c>
      <c r="E34" s="2">
        <f t="shared" si="11"/>
        <v>120000</v>
      </c>
    </row>
    <row r="35" spans="1:6" x14ac:dyDescent="0.45">
      <c r="A35">
        <v>123456</v>
      </c>
      <c r="B35">
        <v>-3</v>
      </c>
      <c r="C35" s="2">
        <f t="shared" si="9"/>
        <v>123000</v>
      </c>
      <c r="D35" s="2">
        <f t="shared" si="10"/>
        <v>124000</v>
      </c>
      <c r="E35" s="2">
        <f t="shared" si="11"/>
        <v>123000</v>
      </c>
    </row>
    <row r="36" spans="1:6" x14ac:dyDescent="0.45">
      <c r="A36">
        <v>123456</v>
      </c>
      <c r="B36">
        <v>-4</v>
      </c>
      <c r="C36" s="2">
        <f t="shared" si="9"/>
        <v>120000</v>
      </c>
      <c r="D36" s="2">
        <f t="shared" si="10"/>
        <v>130000</v>
      </c>
      <c r="E36" s="2">
        <f t="shared" si="11"/>
        <v>120000</v>
      </c>
    </row>
    <row r="37" spans="1:6" x14ac:dyDescent="0.45">
      <c r="A37" s="3" t="s">
        <v>5</v>
      </c>
      <c r="B37">
        <v>1</v>
      </c>
      <c r="C37" s="2">
        <f t="shared" ref="C37:C41" si="12">ROUND(A37,B37)</f>
        <v>1.7</v>
      </c>
      <c r="D37" s="2">
        <f t="shared" ref="D37:D41" si="13">ROUNDUP(A37,B37)</f>
        <v>1.8</v>
      </c>
      <c r="E37" s="2">
        <f t="shared" ref="E37:E41" si="14">ROUNDDOWN(A37,B37)</f>
        <v>1.7</v>
      </c>
      <c r="F37" t="s">
        <v>12</v>
      </c>
    </row>
    <row r="38" spans="1:6" x14ac:dyDescent="0.45">
      <c r="A38">
        <v>1.7450000000000001</v>
      </c>
      <c r="B38" s="3" t="s">
        <v>6</v>
      </c>
      <c r="C38" s="2">
        <f t="shared" si="12"/>
        <v>1.7</v>
      </c>
      <c r="D38" s="2">
        <f t="shared" si="13"/>
        <v>1.8</v>
      </c>
      <c r="E38" s="2">
        <f t="shared" si="14"/>
        <v>1.7</v>
      </c>
    </row>
    <row r="39" spans="1:6" x14ac:dyDescent="0.45">
      <c r="A39">
        <v>1.7450000000000001</v>
      </c>
      <c r="B39" t="b">
        <v>1</v>
      </c>
      <c r="C39" s="2">
        <f t="shared" si="12"/>
        <v>1.7</v>
      </c>
      <c r="D39" s="2">
        <f t="shared" si="13"/>
        <v>1.8</v>
      </c>
      <c r="E39" s="2">
        <f t="shared" si="14"/>
        <v>1.7</v>
      </c>
    </row>
    <row r="40" spans="1:6" x14ac:dyDescent="0.45">
      <c r="A40">
        <v>1.7450000000000001</v>
      </c>
      <c r="B40" t="b">
        <v>0</v>
      </c>
      <c r="C40" s="2">
        <f t="shared" si="12"/>
        <v>2</v>
      </c>
      <c r="D40" s="2">
        <f t="shared" si="13"/>
        <v>2</v>
      </c>
      <c r="E40" s="2">
        <f t="shared" si="14"/>
        <v>1</v>
      </c>
    </row>
    <row r="41" spans="1:6" x14ac:dyDescent="0.45">
      <c r="A41">
        <v>1.7450000000000001</v>
      </c>
      <c r="B41" t="s">
        <v>7</v>
      </c>
      <c r="C41" s="2" t="e">
        <f t="shared" si="12"/>
        <v>#VALUE!</v>
      </c>
      <c r="D41" s="2" t="e">
        <f t="shared" si="13"/>
        <v>#VALUE!</v>
      </c>
      <c r="E41" s="2" t="e">
        <f t="shared" si="14"/>
        <v>#VALUE!</v>
      </c>
    </row>
    <row r="42" spans="1:6" x14ac:dyDescent="0.45">
      <c r="A42" t="s">
        <v>8</v>
      </c>
      <c r="B42">
        <v>0</v>
      </c>
      <c r="C42" s="2" t="e">
        <f t="shared" ref="C42:C46" si="15">ROUND(A42,B42)</f>
        <v>#VALUE!</v>
      </c>
      <c r="D42" s="2" t="e">
        <f t="shared" ref="D42:D46" si="16">ROUNDUP(A42,B42)</f>
        <v>#VALUE!</v>
      </c>
      <c r="E42" s="2" t="e">
        <f t="shared" ref="E42:E46" si="17">ROUNDDOWN(A42,B42)</f>
        <v>#VALUE!</v>
      </c>
    </row>
    <row r="43" spans="1:6" x14ac:dyDescent="0.45">
      <c r="A43" t="b">
        <v>1</v>
      </c>
      <c r="B43">
        <v>1</v>
      </c>
      <c r="C43" s="2">
        <f t="shared" si="15"/>
        <v>1</v>
      </c>
      <c r="D43" s="2">
        <f t="shared" si="16"/>
        <v>1</v>
      </c>
      <c r="E43" s="2">
        <f t="shared" si="17"/>
        <v>1</v>
      </c>
    </row>
    <row r="44" spans="1:6" x14ac:dyDescent="0.45">
      <c r="A44" t="b">
        <v>0</v>
      </c>
      <c r="B44">
        <v>3</v>
      </c>
      <c r="C44" s="2">
        <f t="shared" si="15"/>
        <v>0</v>
      </c>
      <c r="D44" s="2">
        <f t="shared" si="16"/>
        <v>0</v>
      </c>
      <c r="E44" s="2">
        <f t="shared" si="17"/>
        <v>0</v>
      </c>
    </row>
    <row r="45" spans="1:6" x14ac:dyDescent="0.45">
      <c r="A45">
        <f>I42:I47</f>
        <v>0</v>
      </c>
      <c r="B45">
        <v>1</v>
      </c>
      <c r="C45" s="2">
        <f t="shared" si="15"/>
        <v>0</v>
      </c>
      <c r="D45" s="2">
        <f t="shared" si="16"/>
        <v>0</v>
      </c>
      <c r="E45" s="2">
        <f t="shared" si="17"/>
        <v>0</v>
      </c>
    </row>
    <row r="46" spans="1:6" x14ac:dyDescent="0.45">
      <c r="A46">
        <f>1.05*(0.0284+0.0046)-0.0284</f>
        <v>6.2499999999999986E-3</v>
      </c>
      <c r="B46">
        <v>4</v>
      </c>
      <c r="C46" s="2">
        <f t="shared" si="15"/>
        <v>6.3E-3</v>
      </c>
      <c r="D46" s="2">
        <f t="shared" si="16"/>
        <v>6.3E-3</v>
      </c>
      <c r="E46" s="2">
        <f t="shared" si="17"/>
        <v>6.1999999999999998E-3</v>
      </c>
    </row>
    <row r="47" spans="1:6" x14ac:dyDescent="0.45">
      <c r="A47">
        <v>7.1230000000000002</v>
      </c>
      <c r="B47" s="1">
        <v>10000000</v>
      </c>
      <c r="C47" s="2">
        <f t="shared" ref="C47:C52" si="18">ROUND(A47,B47)</f>
        <v>7.1230000000000002</v>
      </c>
      <c r="D47" s="2">
        <f t="shared" ref="D47:D52" si="19">ROUNDUP(A47,B47)</f>
        <v>7.1230000000000002</v>
      </c>
      <c r="E47" s="2">
        <f t="shared" ref="E47:E52" si="20">ROUNDDOWN(A47,B47)</f>
        <v>7.1230000000000002</v>
      </c>
    </row>
    <row r="48" spans="1:6" x14ac:dyDescent="0.45">
      <c r="A48">
        <v>7.1230000000000002</v>
      </c>
      <c r="B48" s="1">
        <v>9.9999999999999995E-8</v>
      </c>
      <c r="C48" s="2">
        <f t="shared" si="18"/>
        <v>7</v>
      </c>
      <c r="D48" s="2">
        <f t="shared" si="19"/>
        <v>8</v>
      </c>
      <c r="E48" s="2">
        <f t="shared" si="20"/>
        <v>7</v>
      </c>
    </row>
    <row r="49" spans="1:6" x14ac:dyDescent="0.45">
      <c r="A49">
        <v>7.1230000000000002</v>
      </c>
      <c r="B49" s="1">
        <v>-10000000</v>
      </c>
      <c r="C49" s="2">
        <f t="shared" si="18"/>
        <v>0</v>
      </c>
      <c r="D49" s="2" t="e">
        <f t="shared" si="19"/>
        <v>#NUM!</v>
      </c>
      <c r="E49" s="2">
        <f t="shared" si="20"/>
        <v>0</v>
      </c>
    </row>
    <row r="50" spans="1:6" x14ac:dyDescent="0.45">
      <c r="A50">
        <v>7.1230000000000002</v>
      </c>
      <c r="B50" s="1">
        <v>-9.9999999999999995E-8</v>
      </c>
      <c r="C50" s="2">
        <f t="shared" si="18"/>
        <v>7</v>
      </c>
      <c r="D50" s="2">
        <f t="shared" si="19"/>
        <v>8</v>
      </c>
      <c r="E50" s="2">
        <f t="shared" si="20"/>
        <v>7</v>
      </c>
    </row>
    <row r="51" spans="1:6" x14ac:dyDescent="0.45">
      <c r="A51" s="1">
        <v>10000000</v>
      </c>
      <c r="B51">
        <v>3</v>
      </c>
      <c r="C51" s="2">
        <f t="shared" si="18"/>
        <v>10000000</v>
      </c>
      <c r="D51" s="2">
        <f t="shared" si="19"/>
        <v>10000000</v>
      </c>
      <c r="E51" s="2">
        <f t="shared" si="20"/>
        <v>10000000</v>
      </c>
    </row>
    <row r="52" spans="1:6" x14ac:dyDescent="0.45">
      <c r="A52" s="1">
        <v>9.9999999999999995E-8</v>
      </c>
      <c r="B52">
        <v>3</v>
      </c>
      <c r="C52" s="2">
        <f t="shared" si="18"/>
        <v>0</v>
      </c>
      <c r="D52" s="2">
        <f t="shared" si="19"/>
        <v>1E-3</v>
      </c>
      <c r="E52" s="2">
        <f t="shared" si="20"/>
        <v>0</v>
      </c>
    </row>
    <row r="53" spans="1:6" x14ac:dyDescent="0.45">
      <c r="A53" s="1">
        <v>-10000000</v>
      </c>
      <c r="B53">
        <v>3</v>
      </c>
      <c r="C53" s="2">
        <f t="shared" ref="C53:C54" si="21">ROUND(A53,B53)</f>
        <v>-10000000</v>
      </c>
      <c r="D53" s="2">
        <f t="shared" ref="D53:D54" si="22">ROUNDUP(A53,B53)</f>
        <v>-10000000</v>
      </c>
      <c r="E53" s="2">
        <f t="shared" ref="E53:E54" si="23">ROUNDDOWN(A53,B53)</f>
        <v>-10000000</v>
      </c>
    </row>
    <row r="54" spans="1:6" x14ac:dyDescent="0.45">
      <c r="A54" s="1">
        <v>-9.9999999999999995E-8</v>
      </c>
      <c r="B54">
        <v>3</v>
      </c>
      <c r="C54" s="2">
        <f t="shared" si="21"/>
        <v>0</v>
      </c>
      <c r="D54" s="2">
        <f t="shared" si="22"/>
        <v>-1E-3</v>
      </c>
      <c r="E54" s="2">
        <f t="shared" si="23"/>
        <v>0</v>
      </c>
    </row>
    <row r="56" spans="1:6" x14ac:dyDescent="0.45">
      <c r="A56" s="7">
        <v>2.5</v>
      </c>
      <c r="B56" s="7">
        <v>0</v>
      </c>
      <c r="C56" s="12">
        <f>ROUND(A56,B56)</f>
        <v>3</v>
      </c>
      <c r="D56" s="12">
        <f>ROUNDUP(A56,B56)</f>
        <v>3</v>
      </c>
      <c r="E56" s="14">
        <f>ROUNDDOWN(A56,B56)</f>
        <v>2</v>
      </c>
      <c r="F56" t="s">
        <v>18</v>
      </c>
    </row>
    <row r="57" spans="1:6" x14ac:dyDescent="0.45">
      <c r="A57" s="7">
        <v>-2.5</v>
      </c>
      <c r="B57" s="7">
        <v>0</v>
      </c>
      <c r="C57" s="13">
        <f>ROUND(A57,B57)</f>
        <v>-3</v>
      </c>
      <c r="D57" s="13">
        <f>ROUNDUP(A57,B57)</f>
        <v>-3</v>
      </c>
      <c r="E57" s="15">
        <f>ROUNDDOWN(A57,B57)</f>
        <v>-2</v>
      </c>
    </row>
    <row r="58" spans="1:6" x14ac:dyDescent="0.45">
      <c r="A58" s="7">
        <v>0.5</v>
      </c>
      <c r="B58" s="7">
        <v>0</v>
      </c>
      <c r="C58" s="12">
        <f>ROUND(A58,B58)</f>
        <v>1</v>
      </c>
      <c r="D58" s="12">
        <f>ROUNDUP(A58,B58)</f>
        <v>1</v>
      </c>
      <c r="E58" s="14">
        <f>ROUNDDOWN(A58,B58)</f>
        <v>0</v>
      </c>
    </row>
    <row r="59" spans="1:6" x14ac:dyDescent="0.45">
      <c r="A59" s="7">
        <v>-0.5</v>
      </c>
      <c r="B59" s="7">
        <v>0</v>
      </c>
      <c r="C59" s="12">
        <f>ROUND(A59,B59)</f>
        <v>-1</v>
      </c>
      <c r="D59" s="12">
        <f>ROUNDUP(A59,B59)</f>
        <v>-1</v>
      </c>
      <c r="E59" s="14">
        <f>ROUNDDOWN(A59,B59)</f>
        <v>0</v>
      </c>
    </row>
    <row r="60" spans="1:6" x14ac:dyDescent="0.45">
      <c r="A60" s="7">
        <v>2.6749999999999998</v>
      </c>
      <c r="B60" s="7">
        <v>2</v>
      </c>
      <c r="C60" s="12">
        <f>ROUND(A60,B60)</f>
        <v>2.68</v>
      </c>
      <c r="D60" s="12">
        <f>ROUNDUP(A60,B60)</f>
        <v>2.6799999999999997</v>
      </c>
      <c r="E60" s="14">
        <f>ROUNDDOWN(A60,B60)</f>
        <v>2.67</v>
      </c>
      <c r="F60" t="s">
        <v>19</v>
      </c>
    </row>
    <row r="61" spans="1:6" x14ac:dyDescent="0.45">
      <c r="A61" s="7">
        <v>1.0049999999999999</v>
      </c>
      <c r="B61" s="7">
        <v>2</v>
      </c>
      <c r="C61" s="12">
        <f>ROUND(A61,B61)</f>
        <v>1.01</v>
      </c>
      <c r="D61" s="12">
        <f>ROUNDUP(A61,B61)</f>
        <v>1.01</v>
      </c>
      <c r="E61" s="14">
        <f>ROUNDDOWN(A61,B61)</f>
        <v>1</v>
      </c>
    </row>
    <row r="62" spans="1:6" x14ac:dyDescent="0.45">
      <c r="A62" s="7">
        <v>-1.0049999999999999</v>
      </c>
      <c r="B62" s="7">
        <v>2</v>
      </c>
      <c r="C62" s="12">
        <f>ROUND(A62,B62)</f>
        <v>-1.01</v>
      </c>
      <c r="D62" s="12">
        <f>ROUNDUP(A62,B62)</f>
        <v>-1.01</v>
      </c>
      <c r="E62" s="14">
        <f>ROUNDDOWN(A62,B62)</f>
        <v>-1</v>
      </c>
    </row>
    <row r="63" spans="1:6" x14ac:dyDescent="0.45">
      <c r="A63" s="7">
        <v>1.1000000000000001</v>
      </c>
      <c r="B63" s="7">
        <v>1</v>
      </c>
      <c r="C63" s="12">
        <f>ROUND(A63,B63)</f>
        <v>1.1000000000000001</v>
      </c>
      <c r="D63" s="12">
        <f>ROUNDUP(A63,B63)</f>
        <v>1.1000000000000001</v>
      </c>
      <c r="E63" s="14">
        <f>ROUNDDOWN(A63,B63)</f>
        <v>1.1000000000000001</v>
      </c>
      <c r="F63" t="s">
        <v>44</v>
      </c>
    </row>
    <row r="64" spans="1:6" x14ac:dyDescent="0.45">
      <c r="A64" s="7">
        <f>0.1+0.2</f>
        <v>0.30000000000000004</v>
      </c>
      <c r="B64" s="7">
        <v>1</v>
      </c>
      <c r="C64" s="12">
        <f>ROUND(A64,B64)</f>
        <v>0.3</v>
      </c>
      <c r="D64" s="12">
        <f>ROUNDUP(A64,B64)</f>
        <v>0.3</v>
      </c>
      <c r="E64" s="14">
        <f>ROUNDDOWN(A64,B64)</f>
        <v>0.3</v>
      </c>
      <c r="F64" s="6" t="s">
        <v>42</v>
      </c>
    </row>
    <row r="65" spans="1:6" x14ac:dyDescent="0.45">
      <c r="A65" s="7">
        <f>1-0.9</f>
        <v>9.9999999999999978E-2</v>
      </c>
      <c r="B65" s="7">
        <v>1</v>
      </c>
      <c r="C65" s="12">
        <f>ROUND(A65,B65)</f>
        <v>0.1</v>
      </c>
      <c r="D65" s="12">
        <f>ROUNDUP(A65,B65)</f>
        <v>0.1</v>
      </c>
      <c r="E65" s="14">
        <f>ROUNDDOWN(A65,B65)</f>
        <v>0.1</v>
      </c>
      <c r="F65" s="6" t="s">
        <v>43</v>
      </c>
    </row>
    <row r="66" spans="1:6" x14ac:dyDescent="0.45">
      <c r="A66" s="7">
        <f>1/3</f>
        <v>0.33333333333333331</v>
      </c>
      <c r="B66" s="7">
        <v>15</v>
      </c>
      <c r="C66" s="12">
        <f>ROUND(A66,B66)</f>
        <v>0.33333333333333298</v>
      </c>
      <c r="D66" s="12">
        <f>ROUNDUP(A66,B66)</f>
        <v>0.33333333333333298</v>
      </c>
      <c r="E66" s="14">
        <f>ROUNDDOWN(A66,B66)</f>
        <v>0.33333333333333298</v>
      </c>
      <c r="F66" s="7" t="s">
        <v>20</v>
      </c>
    </row>
    <row r="67" spans="1:6" x14ac:dyDescent="0.45">
      <c r="A67" s="7">
        <f>1/3</f>
        <v>0.33333333333333331</v>
      </c>
      <c r="B67" s="7">
        <v>16</v>
      </c>
      <c r="C67" s="12">
        <f>ROUND(A67,B67)</f>
        <v>0.33333333333333298</v>
      </c>
      <c r="D67" s="12">
        <f>ROUNDUP(A67,B67)</f>
        <v>0.33333333333333298</v>
      </c>
      <c r="E67" s="14">
        <f>ROUNDDOWN(A67,B67)</f>
        <v>0.33333333333333298</v>
      </c>
      <c r="F67" s="7"/>
    </row>
    <row r="68" spans="1:6" x14ac:dyDescent="0.45">
      <c r="A68" s="7">
        <f>1/3</f>
        <v>0.33333333333333331</v>
      </c>
      <c r="B68" s="7">
        <v>20</v>
      </c>
      <c r="C68" s="12">
        <f>ROUND(A68,B68)</f>
        <v>0.33333333333333298</v>
      </c>
      <c r="D68" s="12">
        <f>ROUNDUP(A68,B68)</f>
        <v>0.33333333333333298</v>
      </c>
      <c r="E68" s="14">
        <f>ROUNDDOWN(A68,B68)</f>
        <v>0.33333333333333298</v>
      </c>
      <c r="F68" s="7"/>
    </row>
    <row r="69" spans="1:6" x14ac:dyDescent="0.45">
      <c r="A69" s="7">
        <v>9.9949999999999992</v>
      </c>
      <c r="B69" s="7">
        <v>2</v>
      </c>
      <c r="C69" s="12">
        <f>ROUND(A69,B69)</f>
        <v>10</v>
      </c>
      <c r="D69" s="12">
        <f>ROUNDUP(A69,B69)</f>
        <v>10</v>
      </c>
      <c r="E69" s="14">
        <f>ROUNDDOWN(A69,B69)</f>
        <v>9.99</v>
      </c>
      <c r="F69" s="7" t="s">
        <v>21</v>
      </c>
    </row>
    <row r="70" spans="1:6" x14ac:dyDescent="0.45">
      <c r="A70" s="7">
        <v>999.5</v>
      </c>
      <c r="B70" s="7">
        <v>0</v>
      </c>
      <c r="C70" s="12">
        <f>ROUND(A70,B70)</f>
        <v>1000</v>
      </c>
      <c r="D70" s="12">
        <f>ROUNDUP(A70,B70)</f>
        <v>1000</v>
      </c>
      <c r="E70" s="14">
        <f>ROUNDDOWN(A70,B70)</f>
        <v>999</v>
      </c>
      <c r="F70" s="7"/>
    </row>
    <row r="71" spans="1:6" x14ac:dyDescent="0.45">
      <c r="A71" s="7">
        <v>-9.9949999999999992</v>
      </c>
      <c r="B71" s="7">
        <v>2</v>
      </c>
      <c r="C71" s="12">
        <f>ROUND(A71,B71)</f>
        <v>-10</v>
      </c>
      <c r="D71" s="12">
        <f>ROUNDUP(A71,B71)</f>
        <v>-10</v>
      </c>
      <c r="E71" s="14">
        <f>ROUNDDOWN(A71,B71)</f>
        <v>-9.99</v>
      </c>
      <c r="F71" s="7"/>
    </row>
    <row r="72" spans="1:6" x14ac:dyDescent="0.45">
      <c r="A72" s="7">
        <v>9.9909999999999997</v>
      </c>
      <c r="B72" s="7">
        <v>2</v>
      </c>
      <c r="C72" s="12">
        <f>ROUND(A72,B72)</f>
        <v>9.99</v>
      </c>
      <c r="D72" s="12">
        <f>ROUNDUP(A72,B72)</f>
        <v>10</v>
      </c>
      <c r="E72" s="14">
        <f>ROUNDDOWN(A72,B72)</f>
        <v>9.99</v>
      </c>
      <c r="F72" s="7"/>
    </row>
    <row r="73" spans="1:6" x14ac:dyDescent="0.45">
      <c r="A73" s="7">
        <v>500</v>
      </c>
      <c r="B73" s="7">
        <v>-3</v>
      </c>
      <c r="C73" s="12">
        <f>ROUND(A73,B73)</f>
        <v>1000</v>
      </c>
      <c r="D73" s="12">
        <f>ROUNDUP(A73,B73)</f>
        <v>1000</v>
      </c>
      <c r="E73" s="14">
        <f>ROUNDDOWN(A73,B73)</f>
        <v>0</v>
      </c>
      <c r="F73" s="7" t="s">
        <v>22</v>
      </c>
    </row>
    <row r="74" spans="1:6" x14ac:dyDescent="0.45">
      <c r="A74" s="7">
        <v>499</v>
      </c>
      <c r="B74" s="7">
        <v>-3</v>
      </c>
      <c r="C74" s="12">
        <f>ROUND(A74,B74)</f>
        <v>0</v>
      </c>
      <c r="D74" s="12">
        <f>ROUNDUP(A74,B74)</f>
        <v>1000</v>
      </c>
      <c r="E74" s="14">
        <f>ROUNDDOWN(A74,B74)</f>
        <v>0</v>
      </c>
      <c r="F74" s="7"/>
    </row>
    <row r="75" spans="1:6" x14ac:dyDescent="0.45">
      <c r="A75" s="7">
        <v>-500</v>
      </c>
      <c r="B75" s="7">
        <v>-3</v>
      </c>
      <c r="C75" s="12">
        <f>ROUND(A75,B75)</f>
        <v>-1000</v>
      </c>
      <c r="D75" s="12">
        <f>ROUNDUP(A75,B75)</f>
        <v>-1000</v>
      </c>
      <c r="E75" s="14">
        <f>ROUNDDOWN(A75,B75)</f>
        <v>0</v>
      </c>
      <c r="F75" s="7"/>
    </row>
    <row r="76" spans="1:6" x14ac:dyDescent="0.45">
      <c r="A76" s="7">
        <v>1</v>
      </c>
      <c r="B76" s="7">
        <v>-1</v>
      </c>
      <c r="C76" s="12">
        <f>ROUND(A76,B76)</f>
        <v>0</v>
      </c>
      <c r="D76" s="12">
        <f>ROUNDUP(A76,B76)</f>
        <v>10</v>
      </c>
      <c r="E76" s="14">
        <f>ROUNDDOWN(A76,B76)</f>
        <v>0</v>
      </c>
      <c r="F76" s="7"/>
    </row>
    <row r="77" spans="1:6" x14ac:dyDescent="0.45">
      <c r="A77" s="7">
        <v>999</v>
      </c>
      <c r="B77" s="7">
        <v>-3</v>
      </c>
      <c r="C77" s="12">
        <f>ROUND(A77,B77)</f>
        <v>1000</v>
      </c>
      <c r="D77" s="12">
        <f>ROUNDUP(A77,B77)</f>
        <v>1000</v>
      </c>
      <c r="E77" s="14">
        <f>ROUNDDOWN(A77,B77)</f>
        <v>0</v>
      </c>
      <c r="F77" s="7"/>
    </row>
    <row r="78" spans="1:6" x14ac:dyDescent="0.45">
      <c r="A78" s="7">
        <v>5</v>
      </c>
      <c r="B78" s="7">
        <v>0</v>
      </c>
      <c r="C78" s="12">
        <f>ROUND(A78,B78)</f>
        <v>5</v>
      </c>
      <c r="D78" s="12">
        <f>ROUNDUP(A78,B78)</f>
        <v>5</v>
      </c>
      <c r="E78" s="14">
        <f>ROUNDDOWN(A78,B78)</f>
        <v>5</v>
      </c>
      <c r="F78" s="7" t="s">
        <v>45</v>
      </c>
    </row>
    <row r="79" spans="1:6" x14ac:dyDescent="0.45">
      <c r="A79" s="7">
        <v>1.75</v>
      </c>
      <c r="B79" s="7">
        <v>2</v>
      </c>
      <c r="C79" s="12">
        <f>ROUND(A79,B79)</f>
        <v>1.75</v>
      </c>
      <c r="D79" s="12">
        <f>ROUNDUP(A79,B79)</f>
        <v>1.75</v>
      </c>
      <c r="E79" s="14">
        <f>ROUNDDOWN(A79,B79)</f>
        <v>1.75</v>
      </c>
      <c r="F79" s="7"/>
    </row>
    <row r="80" spans="1:6" x14ac:dyDescent="0.45">
      <c r="A80" s="7">
        <v>-1.75</v>
      </c>
      <c r="B80" s="7">
        <v>2</v>
      </c>
      <c r="C80" s="12">
        <f>ROUND(A80,B80)</f>
        <v>-1.75</v>
      </c>
      <c r="D80" s="12">
        <f>ROUNDUP(A80,B80)</f>
        <v>-1.75</v>
      </c>
      <c r="E80" s="14">
        <f>ROUNDDOWN(A80,B80)</f>
        <v>-1.75</v>
      </c>
      <c r="F80" s="7"/>
    </row>
    <row r="81" spans="1:6" x14ac:dyDescent="0.45">
      <c r="A81" s="7">
        <v>-1E-3</v>
      </c>
      <c r="B81" s="7">
        <v>2</v>
      </c>
      <c r="C81" s="12">
        <f>ROUND(A81,B81)</f>
        <v>0</v>
      </c>
      <c r="D81" s="12">
        <f>ROUNDUP(A81,B81)</f>
        <v>-0.01</v>
      </c>
      <c r="E81" s="14">
        <f>ROUNDDOWN(A81,B81)</f>
        <v>0</v>
      </c>
      <c r="F81" s="7"/>
    </row>
    <row r="82" spans="1:6" x14ac:dyDescent="0.45">
      <c r="A82" s="7">
        <v>1234.567</v>
      </c>
      <c r="B82" s="7">
        <v>-0.5</v>
      </c>
      <c r="C82" s="12">
        <f>ROUND(A82,B82)</f>
        <v>1235</v>
      </c>
      <c r="D82" s="12">
        <f>ROUNDUP(A82,B82)</f>
        <v>1235</v>
      </c>
      <c r="E82" s="14">
        <f>ROUNDDOWN(A82,B82)</f>
        <v>1234</v>
      </c>
      <c r="F82" s="7" t="s">
        <v>46</v>
      </c>
    </row>
    <row r="83" spans="1:6" x14ac:dyDescent="0.45">
      <c r="A83" s="7">
        <v>1234.567</v>
      </c>
      <c r="B83" s="7">
        <v>-0.9</v>
      </c>
      <c r="C83" s="12">
        <f>ROUND(A83,B83)</f>
        <v>1235</v>
      </c>
      <c r="D83" s="12">
        <f>ROUNDUP(A83,B83)</f>
        <v>1235</v>
      </c>
      <c r="E83" s="14">
        <f>ROUNDDOWN(A83,B83)</f>
        <v>1234</v>
      </c>
      <c r="F83" s="7"/>
    </row>
    <row r="84" spans="1:6" x14ac:dyDescent="0.45">
      <c r="A84" s="7">
        <v>1.7450000000000001</v>
      </c>
      <c r="B84" s="7">
        <v>0.9</v>
      </c>
      <c r="C84" s="12">
        <f>ROUND(A84,B84)</f>
        <v>2</v>
      </c>
      <c r="D84" s="12">
        <f>ROUNDUP(A84,B84)</f>
        <v>2</v>
      </c>
      <c r="E84" s="14">
        <f>ROUNDDOWN(A84,B84)</f>
        <v>1</v>
      </c>
      <c r="F84" s="7"/>
    </row>
    <row r="85" spans="1:6" x14ac:dyDescent="0.45">
      <c r="A85" s="7">
        <v>1.7450000000000001</v>
      </c>
      <c r="B85" s="7" t="str">
        <f>""</f>
        <v/>
      </c>
      <c r="C85" s="12" t="e">
        <f>ROUND(A85,B85)</f>
        <v>#VALUE!</v>
      </c>
      <c r="D85" s="12" t="e">
        <f>ROUNDUP(A85,B85)</f>
        <v>#VALUE!</v>
      </c>
      <c r="E85" s="14" t="e">
        <f>ROUNDDOWN(A85,B85)</f>
        <v>#VALUE!</v>
      </c>
      <c r="F85" s="7" t="s">
        <v>47</v>
      </c>
    </row>
    <row r="86" spans="1:6" x14ac:dyDescent="0.45">
      <c r="A86" s="7" t="str">
        <f>""</f>
        <v/>
      </c>
      <c r="B86" s="7">
        <v>2</v>
      </c>
      <c r="C86" s="12" t="e">
        <f>ROUND(A86,B86)</f>
        <v>#VALUE!</v>
      </c>
      <c r="D86" s="12" t="e">
        <f>ROUNDUP(A86,B86)</f>
        <v>#VALUE!</v>
      </c>
      <c r="E86" s="14" t="e">
        <f>ROUNDDOWN(A86,B86)</f>
        <v>#VALUE!</v>
      </c>
      <c r="F86" s="7" t="s">
        <v>48</v>
      </c>
    </row>
    <row r="87" spans="1:6" x14ac:dyDescent="0.45">
      <c r="A87" s="6" t="s">
        <v>23</v>
      </c>
      <c r="B87">
        <v>2</v>
      </c>
      <c r="C87" s="12">
        <f>ROUND(A87,B87)</f>
        <v>1.75</v>
      </c>
      <c r="D87" s="12">
        <f>ROUNDUP(A87,B87)</f>
        <v>1.75</v>
      </c>
      <c r="E87" s="14">
        <f>ROUNDDOWN(A87,B87)</f>
        <v>1.74</v>
      </c>
      <c r="F87" s="7" t="s">
        <v>24</v>
      </c>
    </row>
    <row r="88" spans="1:6" x14ac:dyDescent="0.45">
      <c r="A88" s="6" t="s">
        <v>25</v>
      </c>
      <c r="B88">
        <v>2</v>
      </c>
      <c r="C88" s="12">
        <f>ROUND(A88,B88)</f>
        <v>1.75</v>
      </c>
      <c r="D88" s="12">
        <f>ROUNDUP(A88,B88)</f>
        <v>1.75</v>
      </c>
      <c r="E88" s="14">
        <f>ROUNDDOWN(A88,B88)</f>
        <v>1.74</v>
      </c>
      <c r="F88" s="7" t="s">
        <v>26</v>
      </c>
    </row>
    <row r="89" spans="1:6" x14ac:dyDescent="0.45">
      <c r="A89" s="6" t="s">
        <v>27</v>
      </c>
      <c r="B89">
        <v>1</v>
      </c>
      <c r="C89" s="12">
        <f>ROUND(A89,B89)</f>
        <v>0.5</v>
      </c>
      <c r="D89" s="12">
        <f>ROUNDUP(A89,B89)</f>
        <v>0.5</v>
      </c>
      <c r="E89" s="14">
        <f>ROUNDDOWN(A89,B89)</f>
        <v>0.5</v>
      </c>
      <c r="F89" s="7" t="s">
        <v>28</v>
      </c>
    </row>
    <row r="90" spans="1:6" x14ac:dyDescent="0.45">
      <c r="A90" s="6" t="s">
        <v>29</v>
      </c>
      <c r="B90">
        <v>2</v>
      </c>
      <c r="C90" s="12">
        <f>ROUND(A90,B90)</f>
        <v>0.52</v>
      </c>
      <c r="D90" s="12">
        <f>ROUNDUP(A90,B90)</f>
        <v>0.53</v>
      </c>
      <c r="E90" s="14">
        <f>ROUNDDOWN(A90,B90)</f>
        <v>0.52</v>
      </c>
      <c r="F90" s="7" t="s">
        <v>30</v>
      </c>
    </row>
    <row r="91" spans="1:6" x14ac:dyDescent="0.45">
      <c r="A91" s="6" t="s">
        <v>31</v>
      </c>
      <c r="B91">
        <v>0</v>
      </c>
      <c r="C91" s="12" t="e">
        <f>ROUND(A91,B91)</f>
        <v>#VALUE!</v>
      </c>
      <c r="D91" s="12" t="e">
        <f>ROUNDUP(A91,B91)</f>
        <v>#VALUE!</v>
      </c>
      <c r="E91" s="14" t="e">
        <f>ROUNDDOWN(A91,B91)</f>
        <v>#VALUE!</v>
      </c>
      <c r="F91" s="7" t="s">
        <v>49</v>
      </c>
    </row>
    <row r="92" spans="1:6" x14ac:dyDescent="0.45">
      <c r="A92" s="7"/>
      <c r="B92" s="7"/>
      <c r="C92" s="12">
        <f>ROUND(TRUE,1)</f>
        <v>1</v>
      </c>
      <c r="D92" s="12">
        <f>ROUNDUP(TRUE,1)</f>
        <v>1</v>
      </c>
      <c r="E92" s="14">
        <f>ROUNDDOWN(TRUE,1)</f>
        <v>1</v>
      </c>
      <c r="F92" s="7" t="s">
        <v>32</v>
      </c>
    </row>
    <row r="93" spans="1:6" x14ac:dyDescent="0.45">
      <c r="A93" s="7"/>
      <c r="B93" s="7"/>
      <c r="C93" s="12">
        <f>ROUND("1.745",2)</f>
        <v>1.75</v>
      </c>
      <c r="D93" s="12">
        <f>ROUNDUP("1.745",2)</f>
        <v>1.75</v>
      </c>
      <c r="E93" s="14">
        <f>ROUNDDOWN("1.745",2)</f>
        <v>1.74</v>
      </c>
      <c r="F93" s="7" t="s">
        <v>33</v>
      </c>
    </row>
    <row r="94" spans="1:6" x14ac:dyDescent="0.45">
      <c r="A94" s="9">
        <f>TIME(12,30,0)</f>
        <v>0.52083333333333337</v>
      </c>
      <c r="B94" s="7">
        <v>2</v>
      </c>
      <c r="C94" s="12">
        <f>ROUND(A94,B94)</f>
        <v>0.52</v>
      </c>
      <c r="D94" s="12">
        <f>ROUNDUP(A94,B94)</f>
        <v>0.53</v>
      </c>
      <c r="E94" s="14">
        <f>ROUNDDOWN(A94,B94)</f>
        <v>0.52</v>
      </c>
      <c r="F94" s="7" t="s">
        <v>34</v>
      </c>
    </row>
    <row r="95" spans="1:6" x14ac:dyDescent="0.45">
      <c r="A95" s="8">
        <f>DATE(2026,1,1)+0.6</f>
        <v>46023.6</v>
      </c>
      <c r="B95" s="7">
        <v>0</v>
      </c>
      <c r="C95" s="12">
        <f>ROUND(A95,B95)</f>
        <v>46024</v>
      </c>
      <c r="D95" s="12">
        <f>ROUNDUP(A95,B95)</f>
        <v>46024</v>
      </c>
      <c r="E95" s="14">
        <f>ROUNDDOWN(A95,B95)</f>
        <v>46023</v>
      </c>
      <c r="F95" s="7" t="s">
        <v>35</v>
      </c>
    </row>
    <row r="96" spans="1:6" x14ac:dyDescent="0.45">
      <c r="A96" s="7" t="e">
        <f>NA()</f>
        <v>#N/A</v>
      </c>
      <c r="B96" s="7">
        <v>2</v>
      </c>
      <c r="C96" s="12" t="e">
        <f>ROUND(A96,B96)</f>
        <v>#N/A</v>
      </c>
      <c r="D96" s="12" t="e">
        <f>ROUNDUP(A96,B96)</f>
        <v>#N/A</v>
      </c>
      <c r="E96" s="14" t="e">
        <f>ROUNDDOWN(A96,B96)</f>
        <v>#N/A</v>
      </c>
      <c r="F96" s="7" t="s">
        <v>36</v>
      </c>
    </row>
    <row r="97" spans="1:6" x14ac:dyDescent="0.45">
      <c r="A97" s="7">
        <v>2</v>
      </c>
      <c r="B97" s="7" t="e">
        <f>NA()</f>
        <v>#N/A</v>
      </c>
      <c r="C97" s="12" t="e">
        <f>ROUND(A97,B97)</f>
        <v>#N/A</v>
      </c>
      <c r="D97" s="12" t="e">
        <f>ROUNDUP(A97,B97)</f>
        <v>#N/A</v>
      </c>
      <c r="E97" s="14" t="e">
        <f>ROUNDDOWN(A97,B97)</f>
        <v>#N/A</v>
      </c>
      <c r="F97" s="7" t="s">
        <v>37</v>
      </c>
    </row>
    <row r="98" spans="1:6" x14ac:dyDescent="0.45">
      <c r="A98" s="7" t="e">
        <f>1/0</f>
        <v>#DIV/0!</v>
      </c>
      <c r="B98" s="7" t="e">
        <f>NA()</f>
        <v>#N/A</v>
      </c>
      <c r="C98" s="12" t="e">
        <f>ROUND(A98,B98)</f>
        <v>#DIV/0!</v>
      </c>
      <c r="D98" s="12" t="e">
        <f>ROUNDUP(A98,B98)</f>
        <v>#DIV/0!</v>
      </c>
      <c r="E98" s="14" t="e">
        <f>ROUNDDOWN(A98,B98)</f>
        <v>#DIV/0!</v>
      </c>
      <c r="F98" s="7" t="s">
        <v>38</v>
      </c>
    </row>
    <row r="99" spans="1:6" x14ac:dyDescent="0.45">
      <c r="A99" s="7"/>
      <c r="B99" s="7"/>
      <c r="C99" s="12" t="e">
        <f>ROUND(1.745,R7:R10)</f>
        <v>#VALUE!</v>
      </c>
      <c r="D99" s="12" t="e">
        <f>ROUNDUP(1.745,R7:R10)</f>
        <v>#VALUE!</v>
      </c>
      <c r="E99" s="14" t="e">
        <f>ROUNDDOWN(1.745,R7:R10)</f>
        <v>#VALUE!</v>
      </c>
      <c r="F99" s="7" t="s">
        <v>39</v>
      </c>
    </row>
    <row r="100" spans="1:6" x14ac:dyDescent="0.45">
      <c r="A100" s="7"/>
      <c r="B100" s="7"/>
      <c r="C100" s="12" t="e">
        <f>ROUND(J3:M3,2)</f>
        <v>#VALUE!</v>
      </c>
      <c r="D100" s="12" t="e">
        <f>ROUNDUP(J3:M3,2)</f>
        <v>#VALUE!</v>
      </c>
      <c r="E100" s="14" t="e">
        <f>ROUNDDOWN(J3:M3,2)</f>
        <v>#VALUE!</v>
      </c>
      <c r="F100" s="7" t="s">
        <v>40</v>
      </c>
    </row>
    <row r="101" spans="1:6" x14ac:dyDescent="0.45">
      <c r="A101" s="7"/>
      <c r="B101" s="7"/>
      <c r="C101" s="10" t="e">
        <f>ROUND(J2:K7,2)</f>
        <v>#VALUE!</v>
      </c>
      <c r="D101" s="10" t="e">
        <f>ROUNDUP(J2:K7,2)</f>
        <v>#VALUE!</v>
      </c>
      <c r="E101" s="11" t="e">
        <f>ROUNDDOWN(J2:K7,2)</f>
        <v>#VALUE!</v>
      </c>
      <c r="F101" s="7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2026-10-21T21:26:18Z</dcterms:modified>
</cp:coreProperties>
</file>