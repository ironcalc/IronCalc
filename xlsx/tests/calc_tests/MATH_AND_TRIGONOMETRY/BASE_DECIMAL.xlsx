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filterPrivacy="1"/>
  <xr:revisionPtr revIDLastSave="0" documentId="13_ncr:1_{BBE90D82-3731-FC43-BD4A-EF8AB6AA078D}" xr6:coauthVersionLast="47" xr6:coauthVersionMax="47" xr10:uidLastSave="{00000000-0000-0000-0000-000000000000}"/>
  <bookViews>
    <workbookView xWindow="-7240" yWindow="-26680" windowWidth="21800" windowHeight="12980" activeTab="2" xr2:uid="{00000000-000D-0000-FFFF-FFFF00000000}"/>
  </bookViews>
  <sheets>
    <sheet name="BASE" sheetId="2" r:id="rId1"/>
    <sheet name="DECIMAL" sheetId="3" r:id="rId2"/>
    <sheet name="issue_1618" sheetId="4" r:id="rId3"/>
    <sheet name="issue_1611" sheetId="5" r:id="rId4"/>
    <sheet name="issue_1613" sheetId="6" r:id="rId5"/>
    <sheet name="issue_1617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C8" i="4"/>
  <c r="B7" i="4"/>
  <c r="C7" i="4"/>
  <c r="C6" i="4"/>
  <c r="B6" i="4"/>
  <c r="C4" i="7"/>
  <c r="A4" i="7"/>
  <c r="C3" i="7"/>
  <c r="C2" i="7"/>
  <c r="A2" i="7"/>
  <c r="D3" i="6"/>
  <c r="C3" i="6"/>
  <c r="E3" i="6" s="1"/>
  <c r="E2" i="6"/>
  <c r="D2" i="6"/>
  <c r="C5" i="4"/>
  <c r="A5" i="4"/>
  <c r="A4" i="4"/>
  <c r="C4" i="4" s="1"/>
  <c r="C3" i="4"/>
  <c r="A3" i="4"/>
  <c r="E3" i="5"/>
  <c r="D3" i="5"/>
  <c r="E2" i="5"/>
  <c r="D2" i="5"/>
  <c r="C2" i="4"/>
  <c r="B69" i="3"/>
  <c r="C69" i="3" s="1"/>
  <c r="B82" i="2"/>
  <c r="A11" i="3"/>
  <c r="C11" i="3" s="1"/>
  <c r="A12" i="3"/>
  <c r="C12" i="3" s="1"/>
  <c r="A13" i="3"/>
  <c r="C13" i="3" s="1"/>
  <c r="A14" i="3"/>
  <c r="C14" i="3" s="1"/>
  <c r="A15" i="3"/>
  <c r="C15" i="3" s="1"/>
  <c r="A16" i="3"/>
  <c r="C16" i="3" s="1"/>
  <c r="A17" i="3"/>
  <c r="C17" i="3" s="1"/>
  <c r="A18" i="3"/>
  <c r="C18" i="3" s="1"/>
  <c r="A19" i="3"/>
  <c r="C19" i="3" s="1"/>
  <c r="A20" i="3"/>
  <c r="C20" i="3" s="1"/>
  <c r="A21" i="3"/>
  <c r="C21" i="3" s="1"/>
  <c r="A22" i="3"/>
  <c r="C22" i="3" s="1"/>
  <c r="A23" i="3"/>
  <c r="C23" i="3" s="1"/>
  <c r="A24" i="3"/>
  <c r="C24" i="3" s="1"/>
  <c r="A25" i="3"/>
  <c r="C25" i="3" s="1"/>
  <c r="A26" i="3"/>
  <c r="C26" i="3" s="1"/>
  <c r="A27" i="3"/>
  <c r="C27" i="3" s="1"/>
  <c r="A28" i="3"/>
  <c r="C28" i="3" s="1"/>
  <c r="A29" i="3"/>
  <c r="C29" i="3" s="1"/>
  <c r="A30" i="3"/>
  <c r="C30" i="3" s="1"/>
  <c r="D20" i="2"/>
  <c r="E20" i="2"/>
  <c r="D19" i="2"/>
  <c r="E19" i="2"/>
  <c r="D18" i="2"/>
  <c r="E18" i="2"/>
  <c r="D17" i="2"/>
  <c r="E17" i="2"/>
  <c r="D16" i="2"/>
  <c r="E16" i="2"/>
  <c r="D15" i="2"/>
  <c r="E15" i="2"/>
  <c r="D14" i="2"/>
  <c r="E14" i="2"/>
  <c r="D13" i="2"/>
  <c r="E13" i="2"/>
  <c r="D12" i="2"/>
  <c r="E12" i="2"/>
  <c r="D11" i="2"/>
  <c r="E11" i="2"/>
  <c r="D10" i="2"/>
  <c r="E10" i="2"/>
  <c r="D9" i="2"/>
  <c r="E9" i="2"/>
  <c r="D23" i="2"/>
  <c r="E23" i="2"/>
  <c r="D28" i="2"/>
  <c r="E28" i="2"/>
  <c r="D27" i="2"/>
  <c r="E27" i="2"/>
  <c r="D26" i="2"/>
  <c r="E26" i="2"/>
  <c r="D34" i="2"/>
  <c r="E34" i="2"/>
  <c r="D37" i="2"/>
  <c r="E37" i="2"/>
  <c r="D36" i="2"/>
  <c r="E36" i="2"/>
  <c r="D39" i="2"/>
  <c r="E39" i="2"/>
  <c r="C76" i="3"/>
  <c r="C75" i="3"/>
  <c r="C74" i="3"/>
  <c r="C73" i="3"/>
  <c r="B72" i="3"/>
  <c r="C72" i="3" s="1"/>
  <c r="B71" i="3"/>
  <c r="C71" i="3" s="1"/>
  <c r="C70" i="3"/>
  <c r="B68" i="3"/>
  <c r="C68" i="3" s="1"/>
  <c r="C67" i="3"/>
  <c r="C66" i="3"/>
  <c r="C65" i="3"/>
  <c r="C64" i="3"/>
  <c r="C63" i="3"/>
  <c r="C62" i="3"/>
  <c r="C61" i="3"/>
  <c r="C60" i="3"/>
  <c r="C59" i="3"/>
  <c r="C58" i="3"/>
  <c r="C57" i="3"/>
  <c r="C56" i="3"/>
  <c r="E103" i="2"/>
  <c r="D103" i="2"/>
  <c r="E102" i="2"/>
  <c r="D102" i="2"/>
  <c r="E101" i="2"/>
  <c r="D101" i="2"/>
  <c r="D100" i="2"/>
  <c r="C100" i="2"/>
  <c r="E100" i="2" s="1"/>
  <c r="D99" i="2"/>
  <c r="C99" i="2"/>
  <c r="E99" i="2" s="1"/>
  <c r="D98" i="2"/>
  <c r="C98" i="2"/>
  <c r="E98" i="2" s="1"/>
  <c r="E97" i="2"/>
  <c r="D97" i="2"/>
  <c r="E96" i="2"/>
  <c r="D96" i="2"/>
  <c r="E95" i="2"/>
  <c r="D95" i="2"/>
  <c r="E94" i="2"/>
  <c r="D94" i="2"/>
  <c r="E93" i="2"/>
  <c r="D93" i="2"/>
  <c r="E92" i="2"/>
  <c r="D92" i="2"/>
  <c r="E91" i="2"/>
  <c r="D91" i="2"/>
  <c r="E90" i="2"/>
  <c r="D90" i="2"/>
  <c r="E89" i="2"/>
  <c r="D89" i="2"/>
  <c r="E88" i="2"/>
  <c r="D88" i="2"/>
  <c r="E87" i="2"/>
  <c r="D87" i="2"/>
  <c r="E86" i="2"/>
  <c r="D86" i="2"/>
  <c r="E85" i="2"/>
  <c r="D85" i="2"/>
  <c r="B84" i="2"/>
  <c r="B83" i="2"/>
  <c r="B81" i="2"/>
  <c r="E80" i="2"/>
  <c r="D80" i="2"/>
  <c r="E79" i="2"/>
  <c r="D79" i="2"/>
  <c r="E78" i="2"/>
  <c r="D78" i="2"/>
  <c r="E77" i="2"/>
  <c r="D77" i="2"/>
  <c r="E76" i="2"/>
  <c r="D76" i="2"/>
  <c r="E75" i="2"/>
  <c r="D75" i="2"/>
  <c r="E74" i="2"/>
  <c r="D74" i="2"/>
  <c r="E73" i="2"/>
  <c r="D73" i="2"/>
  <c r="E72" i="2"/>
  <c r="D72" i="2"/>
  <c r="E71" i="2"/>
  <c r="D71" i="2"/>
  <c r="E70" i="2"/>
  <c r="D70" i="2"/>
  <c r="E69" i="2"/>
  <c r="D69" i="2"/>
  <c r="E68" i="2"/>
  <c r="D68" i="2"/>
  <c r="D41" i="2"/>
  <c r="E41" i="2"/>
  <c r="D40" i="2"/>
  <c r="E40" i="2"/>
  <c r="C83" i="3"/>
  <c r="C84" i="3"/>
  <c r="C85" i="3"/>
  <c r="C86" i="3"/>
  <c r="C87" i="3"/>
  <c r="C80" i="3"/>
  <c r="C81" i="3"/>
  <c r="C82" i="3"/>
  <c r="D109" i="2"/>
  <c r="E109" i="2"/>
  <c r="D110" i="2"/>
  <c r="E110" i="2"/>
  <c r="D111" i="2"/>
  <c r="E111" i="2"/>
  <c r="E112" i="2"/>
  <c r="D113" i="2"/>
  <c r="E113" i="2"/>
  <c r="E114" i="2"/>
  <c r="D106" i="2"/>
  <c r="E106" i="2"/>
  <c r="D107" i="2"/>
  <c r="E107" i="2"/>
  <c r="D108" i="2"/>
  <c r="E108" i="2"/>
  <c r="C79" i="3"/>
  <c r="C78" i="3"/>
  <c r="C77" i="3"/>
  <c r="B55" i="3"/>
  <c r="A55" i="3"/>
  <c r="B54" i="3"/>
  <c r="C54" i="3" s="1"/>
  <c r="A53" i="3"/>
  <c r="C53" i="3" s="1"/>
  <c r="C52" i="3"/>
  <c r="C51" i="3"/>
  <c r="C50" i="3"/>
  <c r="C49" i="3"/>
  <c r="C48" i="3"/>
  <c r="C47" i="3"/>
  <c r="A46" i="3"/>
  <c r="C46" i="3" s="1"/>
  <c r="C45" i="3"/>
  <c r="C44" i="3"/>
  <c r="A43" i="3"/>
  <c r="C43" i="3" s="1"/>
  <c r="A42" i="3"/>
  <c r="C42" i="3" s="1"/>
  <c r="C41" i="3"/>
  <c r="C40" i="3"/>
  <c r="C39" i="3"/>
  <c r="C38" i="3"/>
  <c r="C37" i="3"/>
  <c r="C36" i="3"/>
  <c r="C35" i="3"/>
  <c r="C34" i="3"/>
  <c r="C33" i="3"/>
  <c r="C32" i="3"/>
  <c r="C31" i="3"/>
  <c r="C10" i="3"/>
  <c r="C9" i="3"/>
  <c r="C8" i="3"/>
  <c r="C7" i="3"/>
  <c r="C6" i="3"/>
  <c r="C5" i="3"/>
  <c r="C4" i="3"/>
  <c r="C3" i="3"/>
  <c r="C2" i="3"/>
  <c r="E105" i="2"/>
  <c r="D105" i="2"/>
  <c r="E104" i="2"/>
  <c r="D104" i="2"/>
  <c r="C67" i="2"/>
  <c r="B67" i="2"/>
  <c r="B66" i="2"/>
  <c r="A66" i="2"/>
  <c r="D65" i="2"/>
  <c r="C65" i="2"/>
  <c r="E65" i="2" s="1"/>
  <c r="B64" i="2"/>
  <c r="A63" i="2"/>
  <c r="A62" i="2"/>
  <c r="E61" i="2"/>
  <c r="D61" i="2"/>
  <c r="E60" i="2"/>
  <c r="D60" i="2"/>
  <c r="E59" i="2"/>
  <c r="D59" i="2"/>
  <c r="E58" i="2"/>
  <c r="D58" i="2"/>
  <c r="E57" i="2"/>
  <c r="D57" i="2"/>
  <c r="E56" i="2"/>
  <c r="D56" i="2"/>
  <c r="E55" i="2"/>
  <c r="D55" i="2"/>
  <c r="E54" i="2"/>
  <c r="D54" i="2"/>
  <c r="E53" i="2"/>
  <c r="D53" i="2"/>
  <c r="E52" i="2"/>
  <c r="D52" i="2"/>
  <c r="E51" i="2"/>
  <c r="D51" i="2"/>
  <c r="E50" i="2"/>
  <c r="D50" i="2"/>
  <c r="E49" i="2"/>
  <c r="D49" i="2"/>
  <c r="E48" i="2"/>
  <c r="D48" i="2"/>
  <c r="E47" i="2"/>
  <c r="D47" i="2"/>
  <c r="E46" i="2"/>
  <c r="D46" i="2"/>
  <c r="E45" i="2"/>
  <c r="D45" i="2"/>
  <c r="E44" i="2"/>
  <c r="D44" i="2"/>
  <c r="A43" i="2"/>
  <c r="A42" i="2"/>
  <c r="E38" i="2"/>
  <c r="D38" i="2"/>
  <c r="E35" i="2"/>
  <c r="D35" i="2"/>
  <c r="E33" i="2"/>
  <c r="D33" i="2"/>
  <c r="E32" i="2"/>
  <c r="D32" i="2"/>
  <c r="E31" i="2"/>
  <c r="D31" i="2"/>
  <c r="E30" i="2"/>
  <c r="D30" i="2"/>
  <c r="E29" i="2"/>
  <c r="D29" i="2"/>
  <c r="E25" i="2"/>
  <c r="D25" i="2"/>
  <c r="E24" i="2"/>
  <c r="D24" i="2"/>
  <c r="E22" i="2"/>
  <c r="D22" i="2"/>
  <c r="E21" i="2"/>
  <c r="D21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55" i="3" l="1"/>
  <c r="E84" i="2"/>
  <c r="D84" i="2"/>
  <c r="E83" i="2"/>
  <c r="D83" i="2"/>
  <c r="E82" i="2"/>
  <c r="D82" i="2"/>
  <c r="E81" i="2"/>
  <c r="D81" i="2"/>
  <c r="E67" i="2"/>
  <c r="D67" i="2"/>
  <c r="E66" i="2"/>
  <c r="D66" i="2"/>
  <c r="E64" i="2"/>
  <c r="D64" i="2"/>
  <c r="E63" i="2"/>
  <c r="D63" i="2"/>
  <c r="E62" i="2"/>
  <c r="D62" i="2"/>
  <c r="E43" i="2"/>
  <c r="D43" i="2"/>
  <c r="E42" i="2"/>
  <c r="D42" i="2"/>
</calcChain>
</file>

<file path=xl/sharedStrings.xml><?xml version="1.0" encoding="utf-8"?>
<sst xmlns="http://schemas.openxmlformats.org/spreadsheetml/2006/main" count="257" uniqueCount="157">
  <si>
    <t>Number</t>
  </si>
  <si>
    <t>1</t>
  </si>
  <si>
    <t>Zero</t>
  </si>
  <si>
    <t>NOTES</t>
  </si>
  <si>
    <t>Strings and bools are cast into numbers</t>
  </si>
  <si>
    <t>Text with spaces</t>
  </si>
  <si>
    <t>Text scientific</t>
  </si>
  <si>
    <t>TRUE</t>
  </si>
  <si>
    <t>Literal boolean</t>
  </si>
  <si>
    <t>#N/A in number</t>
  </si>
  <si>
    <t>Errors in both args: first should win</t>
  </si>
  <si>
    <t>Implicit intersection on 2nd arg, no intersect</t>
  </si>
  <si>
    <t>Implicit intersection, horizontal range not covering column</t>
  </si>
  <si>
    <t>Implicit intersection, 2D range</t>
  </si>
  <si>
    <t>Text TRUE</t>
  </si>
  <si>
    <t>Radix</t>
  </si>
  <si>
    <t>Min Length</t>
  </si>
  <si>
    <t>BASE(Number, Radix)</t>
  </si>
  <si>
    <t>BASE(Number, Radix, Min Length)</t>
  </si>
  <si>
    <t>Basic conversion</t>
  </si>
  <si>
    <t>Radix below minimum (2)</t>
  </si>
  <si>
    <t>Radix at maximum (36)</t>
  </si>
  <si>
    <t>Radix above maximum</t>
  </si>
  <si>
    <t>Fractional radix is truncated</t>
  </si>
  <si>
    <t>Fractional number is truncated</t>
  </si>
  <si>
    <t>Negative number</t>
  </si>
  <si>
    <t>Largest allowed number (2^53-1)</t>
  </si>
  <si>
    <t>Min length at maximum (255)</t>
  </si>
  <si>
    <t>Negative min length</t>
  </si>
  <si>
    <t>Min length zero</t>
  </si>
  <si>
    <t>Fractional min length is truncated</t>
  </si>
  <si>
    <t>Min length shorter than result</t>
  </si>
  <si>
    <t>Empty radix cell treated as zero</t>
  </si>
  <si>
    <t>10</t>
  </si>
  <si>
    <t>16</t>
  </si>
  <si>
    <t>8</t>
  </si>
  <si>
    <t>Bool radix (1)</t>
  </si>
  <si>
    <t>ten</t>
  </si>
  <si>
    <t>Non-numeric text</t>
  </si>
  <si>
    <t>two</t>
  </si>
  <si>
    <t>x</t>
  </si>
  <si>
    <t xml:space="preserve"> 10 </t>
  </si>
  <si>
    <t>1E1</t>
  </si>
  <si>
    <t>Date serial</t>
  </si>
  <si>
    <t>#DIV/0! in radix</t>
  </si>
  <si>
    <t>#N/A in min length</t>
  </si>
  <si>
    <t>Errors in number and radix: first should win</t>
  </si>
  <si>
    <t>Errors in radix and min length: first should win</t>
  </si>
  <si>
    <t>Literal numeric strings</t>
  </si>
  <si>
    <t>Text</t>
  </si>
  <si>
    <t>DECIMAL</t>
  </si>
  <si>
    <t>1010</t>
  </si>
  <si>
    <t>FF</t>
  </si>
  <si>
    <t>777</t>
  </si>
  <si>
    <t>Z</t>
  </si>
  <si>
    <t>ZZ</t>
  </si>
  <si>
    <t>0</t>
  </si>
  <si>
    <t>00001010</t>
  </si>
  <si>
    <t>Leading zeros</t>
  </si>
  <si>
    <t>ff</t>
  </si>
  <si>
    <t>Case insensitive</t>
  </si>
  <si>
    <t>fF</t>
  </si>
  <si>
    <t>G</t>
  </si>
  <si>
    <t>Scientific-looking text (E is a hex digit)</t>
  </si>
  <si>
    <t>1FFFFFFFFFFFFF</t>
  </si>
  <si>
    <t>Largest allowed result (2^53-1)</t>
  </si>
  <si>
    <t>20000000000000</t>
  </si>
  <si>
    <t>53 binary ones</t>
  </si>
  <si>
    <t>Text length at maximum (255)</t>
  </si>
  <si>
    <t>Numbers are cast into text</t>
  </si>
  <si>
    <t>Bools are cast into text ("TRUE" in base 36)</t>
  </si>
  <si>
    <t>Text radix cast into number</t>
  </si>
  <si>
    <t>sixteen</t>
  </si>
  <si>
    <t>Non-numeric radix</t>
  </si>
  <si>
    <t xml:space="preserve"> 16 </t>
  </si>
  <si>
    <t>Radix text with spaces</t>
  </si>
  <si>
    <t>#N/A in text</t>
  </si>
  <si>
    <t>Literal number</t>
  </si>
  <si>
    <t>Literal strings</t>
  </si>
  <si>
    <t>Just past 2^53-1 (2^53)</t>
  </si>
  <si>
    <t>Implicit intersection on 1st argument</t>
  </si>
  <si>
    <t>Implicit intersection on 2nd argument</t>
  </si>
  <si>
    <t>Implicit intersection on all arguments</t>
  </si>
  <si>
    <t>Implicit intersection on 3rd argument</t>
  </si>
  <si>
    <t>Implicit intersection on 1st arg, no intersect</t>
  </si>
  <si>
    <t>Implicit intersection on 3rd arg, no intersect</t>
  </si>
  <si>
    <t>Implicit intersection on both arguments</t>
  </si>
  <si>
    <t>Radix near zero (positive and negative)</t>
  </si>
  <si>
    <t>Radix just below / above 2</t>
  </si>
  <si>
    <t>Radix just below / above 36</t>
  </si>
  <si>
    <t>Very large radix</t>
  </si>
  <si>
    <t>Bool FALSE radix (0)</t>
  </si>
  <si>
    <t>1.6E1</t>
  </si>
  <si>
    <t>Radix text scientific</t>
  </si>
  <si>
    <t>1600%</t>
  </si>
  <si>
    <t>Radix text percent</t>
  </si>
  <si>
    <t>12:00</t>
  </si>
  <si>
    <t>Radix text parsed as time (0.5)</t>
  </si>
  <si>
    <t>Radix text TRUE</t>
  </si>
  <si>
    <t>Radix empty string</t>
  </si>
  <si>
    <t>Radix as date serial (16)</t>
  </si>
  <si>
    <t>#N/A in radix</t>
  </si>
  <si>
    <t>#NUM! in radix (propagated, not generated)</t>
  </si>
  <si>
    <t>Min length near zero (positive and negative)</t>
  </si>
  <si>
    <t>Min length just below / above 255</t>
  </si>
  <si>
    <t>Min length equal to result length</t>
  </si>
  <si>
    <t>Min length with zero number</t>
  </si>
  <si>
    <t>Bool FALSE min length (0)</t>
  </si>
  <si>
    <t xml:space="preserve"> 8 </t>
  </si>
  <si>
    <t>Min length text with spaces</t>
  </si>
  <si>
    <t>8E0</t>
  </si>
  <si>
    <t>Min length text scientific</t>
  </si>
  <si>
    <t>800%</t>
  </si>
  <si>
    <t>Min length text percent</t>
  </si>
  <si>
    <t>Min length text parsed as time (0.5)</t>
  </si>
  <si>
    <t>Min length text TRUE</t>
  </si>
  <si>
    <t>Min length empty string</t>
  </si>
  <si>
    <t>#DIV/0! in min length</t>
  </si>
  <si>
    <t>Invalid radix text and error in min length</t>
  </si>
  <si>
    <t>Radix and min length both out of range</t>
  </si>
  <si>
    <t>Literal numeric string in radix / min length</t>
  </si>
  <si>
    <t>Literal boolean in radix / min length</t>
  </si>
  <si>
    <t>Y</t>
  </si>
  <si>
    <t>Highest digit for radix 35</t>
  </si>
  <si>
    <t>Invalid digit and invalid radix text</t>
  </si>
  <si>
    <t>Invalid digit and radix out of range</t>
  </si>
  <si>
    <t>Literal boolean radix</t>
  </si>
  <si>
    <t>Literal scientific string radix</t>
  </si>
  <si>
    <t>Radix 10</t>
  </si>
  <si>
    <t>Radix 8 with min length</t>
  </si>
  <si>
    <t>Radix 4</t>
  </si>
  <si>
    <t>Radix 7, long min length</t>
  </si>
  <si>
    <t>Result is text, not a number</t>
  </si>
  <si>
    <t>Hex with min length</t>
  </si>
  <si>
    <t>Large number, min length shorter than result</t>
  </si>
  <si>
    <t>Binary</t>
  </si>
  <si>
    <t>Radix 3</t>
  </si>
  <si>
    <t>Radix 11</t>
  </si>
  <si>
    <t>Radix 9</t>
  </si>
  <si>
    <t>Large number, radix 36</t>
  </si>
  <si>
    <t>Radix 1</t>
  </si>
  <si>
    <t>Radix above maximum, large number</t>
  </si>
  <si>
    <t>Radix above maximum, number &gt; radix</t>
  </si>
  <si>
    <t>Radix well above maximum</t>
  </si>
  <si>
    <t>Fractional radix (10.9 → 10)</t>
  </si>
  <si>
    <t>Fractional number with min length</t>
  </si>
  <si>
    <t>Fractional number, hex</t>
  </si>
  <si>
    <t>Larger negative number</t>
  </si>
  <si>
    <t>Round-trip of BASE output</t>
  </si>
  <si>
    <t>Leading space should be ignored</t>
  </si>
  <si>
    <t>Trailing spaces are not</t>
  </si>
  <si>
    <t>Many leading spaces are also ignored</t>
  </si>
  <si>
    <t>Min length above maximum</t>
  </si>
  <si>
    <t>Min length as date serial (above maximum)</t>
  </si>
  <si>
    <t>Empty string</t>
  </si>
  <si>
    <t>Empty text cell</t>
  </si>
  <si>
    <t>string with whitespaces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</si>
</sst>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3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9">
    <xf numFmtId="0" fontId="0" fillId="0" borderId="0" xfId="0"/>
    <xf numFmtId="11" fontId="0" fillId="0" borderId="0" xfId="0" applyNumberFormat="1"/>
    <xf numFmtId="0" fontId="1" fillId="2" borderId="1" xfId="1"/>
    <xf numFmtId="0" fontId="2" fillId="0" borderId="0" xfId="0" applyFont="1"/>
    <xf numFmtId="49" fontId="0" fillId="0" borderId="0" xfId="0" applyNumberFormat="1"/>
    <xf numFmtId="1" fontId="1" fillId="2" borderId="1" xfId="1" applyNumberFormat="1"/>
    <xf numFmtId="164" fontId="0" fillId="0" borderId="0" xfId="0" applyNumberFormat="1"/>
    <xf numFmtId="14" fontId="0" fillId="0" borderId="0" xfId="0" applyNumberFormat="1"/>
    <xf numFmtId="0" fontId="1" fillId="2" borderId="2" xfId="1" applyBorder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B550856-CAFC-4553-9C84-B8581BB6168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f3c7f6e-49cb-48a5-a90b-b60c0f06f6a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306B-F88D-4DF0-9932-54AE4A851237}">
  <dimension ref="A1:I114"/>
  <sheetViews>
    <sheetView workbookViewId="0"/>
  </sheetViews>
  <sheetFormatPr baseColWidth="10" defaultColWidth="8.83203125" defaultRowHeight="15" x14ac:dyDescent="0.2"/>
  <cols>
    <col min="1" max="1" width="11.33203125" customWidth="1"/>
    <col min="2" max="2" width="12.83203125" customWidth="1"/>
    <col min="3" max="3" width="11.5" customWidth="1"/>
    <col min="4" max="5" width="33.83203125" customWidth="1"/>
    <col min="6" max="6" width="53.33203125" customWidth="1"/>
    <col min="7" max="9" width="16.83203125" customWidth="1"/>
  </cols>
  <sheetData>
    <row r="1" spans="1:6" ht="16" x14ac:dyDescent="0.2">
      <c r="A1" s="3" t="s">
        <v>0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3</v>
      </c>
    </row>
    <row r="2" spans="1:6" x14ac:dyDescent="0.2">
      <c r="A2">
        <v>10</v>
      </c>
      <c r="B2">
        <v>2</v>
      </c>
      <c r="D2" s="2" t="str">
        <f t="shared" ref="D2:D12" si="0">_xlfn.BASE(A2,B2)</f>
        <v>1010</v>
      </c>
      <c r="E2" s="2" t="str">
        <f t="shared" ref="E2:E12" si="1">_xlfn.BASE(A2,B2,C2)</f>
        <v>1010</v>
      </c>
      <c r="F2" t="s">
        <v>19</v>
      </c>
    </row>
    <row r="3" spans="1:6" x14ac:dyDescent="0.2">
      <c r="A3">
        <v>10</v>
      </c>
      <c r="B3">
        <v>2</v>
      </c>
      <c r="C3">
        <v>8</v>
      </c>
      <c r="D3" s="2" t="str">
        <f t="shared" si="0"/>
        <v>1010</v>
      </c>
      <c r="E3" s="2" t="str">
        <f t="shared" si="1"/>
        <v>00001010</v>
      </c>
    </row>
    <row r="4" spans="1:6" x14ac:dyDescent="0.2">
      <c r="A4">
        <v>255</v>
      </c>
      <c r="B4">
        <v>16</v>
      </c>
      <c r="D4" s="2" t="str">
        <f t="shared" si="0"/>
        <v>FF</v>
      </c>
      <c r="E4" s="2" t="str">
        <f t="shared" si="1"/>
        <v>FF</v>
      </c>
    </row>
    <row r="5" spans="1:6" x14ac:dyDescent="0.2">
      <c r="A5">
        <v>255</v>
      </c>
      <c r="B5">
        <v>16</v>
      </c>
      <c r="C5">
        <v>4</v>
      </c>
      <c r="D5" s="2" t="str">
        <f t="shared" si="0"/>
        <v>FF</v>
      </c>
      <c r="E5" s="2" t="str">
        <f t="shared" si="1"/>
        <v>00FF</v>
      </c>
    </row>
    <row r="6" spans="1:6" x14ac:dyDescent="0.2">
      <c r="A6">
        <v>35</v>
      </c>
      <c r="B6">
        <v>36</v>
      </c>
      <c r="D6" s="2" t="str">
        <f t="shared" si="0"/>
        <v>Z</v>
      </c>
      <c r="E6" s="2" t="str">
        <f t="shared" si="1"/>
        <v>Z</v>
      </c>
    </row>
    <row r="7" spans="1:6" x14ac:dyDescent="0.2">
      <c r="A7">
        <v>36</v>
      </c>
      <c r="B7">
        <v>36</v>
      </c>
      <c r="D7" s="2" t="str">
        <f t="shared" si="0"/>
        <v>10</v>
      </c>
      <c r="E7" s="2" t="str">
        <f t="shared" si="1"/>
        <v>10</v>
      </c>
    </row>
    <row r="8" spans="1:6" x14ac:dyDescent="0.2">
      <c r="A8">
        <v>7</v>
      </c>
      <c r="B8">
        <v>8</v>
      </c>
      <c r="D8" s="2" t="str">
        <f t="shared" si="0"/>
        <v>7</v>
      </c>
      <c r="E8" s="2" t="str">
        <f t="shared" si="1"/>
        <v>7</v>
      </c>
    </row>
    <row r="9" spans="1:6" x14ac:dyDescent="0.2">
      <c r="A9">
        <v>16</v>
      </c>
      <c r="B9">
        <v>10</v>
      </c>
      <c r="C9">
        <v>4</v>
      </c>
      <c r="D9" s="2" t="str">
        <f t="shared" si="0"/>
        <v>16</v>
      </c>
      <c r="E9" s="2" t="str">
        <f t="shared" si="1"/>
        <v>0016</v>
      </c>
      <c r="F9" t="s">
        <v>128</v>
      </c>
    </row>
    <row r="10" spans="1:6" x14ac:dyDescent="0.2">
      <c r="A10">
        <v>16</v>
      </c>
      <c r="B10">
        <v>8</v>
      </c>
      <c r="C10">
        <v>4</v>
      </c>
      <c r="D10" s="2" t="str">
        <f t="shared" si="0"/>
        <v>20</v>
      </c>
      <c r="E10" s="2" t="str">
        <f t="shared" si="1"/>
        <v>0020</v>
      </c>
      <c r="F10" t="s">
        <v>129</v>
      </c>
    </row>
    <row r="11" spans="1:6" x14ac:dyDescent="0.2">
      <c r="A11">
        <v>16</v>
      </c>
      <c r="B11">
        <v>4</v>
      </c>
      <c r="C11">
        <v>8</v>
      </c>
      <c r="D11" s="2" t="str">
        <f t="shared" si="0"/>
        <v>100</v>
      </c>
      <c r="E11" s="2" t="str">
        <f t="shared" si="1"/>
        <v>00000100</v>
      </c>
      <c r="F11" t="s">
        <v>130</v>
      </c>
    </row>
    <row r="12" spans="1:6" x14ac:dyDescent="0.2">
      <c r="A12">
        <v>16</v>
      </c>
      <c r="B12">
        <v>7</v>
      </c>
      <c r="C12">
        <v>20</v>
      </c>
      <c r="D12" s="2" t="str">
        <f t="shared" si="0"/>
        <v>22</v>
      </c>
      <c r="E12" s="2" t="str">
        <f t="shared" si="1"/>
        <v>00000000000000000022</v>
      </c>
      <c r="F12" t="s">
        <v>131</v>
      </c>
    </row>
    <row r="13" spans="1:6" x14ac:dyDescent="0.2">
      <c r="D13" s="2" t="b">
        <f>ISNUMBER(_xlfn.BASE(16,7))</f>
        <v>0</v>
      </c>
      <c r="E13" s="2" t="b">
        <f>ISNUMBER(_xlfn.BASE(16,7,20))</f>
        <v>0</v>
      </c>
      <c r="F13" t="s">
        <v>132</v>
      </c>
    </row>
    <row r="14" spans="1:6" x14ac:dyDescent="0.2">
      <c r="A14">
        <v>10</v>
      </c>
      <c r="B14">
        <v>16</v>
      </c>
      <c r="C14">
        <v>8</v>
      </c>
      <c r="D14" s="2" t="str">
        <f t="shared" ref="D14:D40" si="2">_xlfn.BASE(A14,B14)</f>
        <v>A</v>
      </c>
      <c r="E14" s="2" t="str">
        <f t="shared" ref="E14:E40" si="3">_xlfn.BASE(A14,B14,C14)</f>
        <v>0000000A</v>
      </c>
      <c r="F14" t="s">
        <v>133</v>
      </c>
    </row>
    <row r="15" spans="1:6" x14ac:dyDescent="0.2">
      <c r="A15">
        <v>12345678</v>
      </c>
      <c r="B15">
        <v>16</v>
      </c>
      <c r="C15">
        <v>2</v>
      </c>
      <c r="D15" s="2" t="str">
        <f t="shared" si="2"/>
        <v>BC614E</v>
      </c>
      <c r="E15" s="2" t="str">
        <f t="shared" si="3"/>
        <v>BC614E</v>
      </c>
      <c r="F15" t="s">
        <v>134</v>
      </c>
    </row>
    <row r="16" spans="1:6" x14ac:dyDescent="0.2">
      <c r="A16">
        <v>1234</v>
      </c>
      <c r="B16">
        <v>2</v>
      </c>
      <c r="D16" s="2" t="str">
        <f t="shared" si="2"/>
        <v>10011010010</v>
      </c>
      <c r="E16" s="2" t="str">
        <f t="shared" si="3"/>
        <v>10011010010</v>
      </c>
      <c r="F16" t="s">
        <v>135</v>
      </c>
    </row>
    <row r="17" spans="1:6" x14ac:dyDescent="0.2">
      <c r="A17">
        <v>23</v>
      </c>
      <c r="B17">
        <v>3</v>
      </c>
      <c r="D17" s="2" t="str">
        <f t="shared" si="2"/>
        <v>212</v>
      </c>
      <c r="E17" s="2" t="str">
        <f t="shared" si="3"/>
        <v>212</v>
      </c>
      <c r="F17" t="s">
        <v>136</v>
      </c>
    </row>
    <row r="18" spans="1:6" x14ac:dyDescent="0.2">
      <c r="A18">
        <v>20</v>
      </c>
      <c r="B18">
        <v>11</v>
      </c>
      <c r="D18" s="2" t="str">
        <f t="shared" si="2"/>
        <v>19</v>
      </c>
      <c r="E18" s="2" t="str">
        <f t="shared" si="3"/>
        <v>19</v>
      </c>
      <c r="F18" t="s">
        <v>137</v>
      </c>
    </row>
    <row r="19" spans="1:6" x14ac:dyDescent="0.2">
      <c r="A19">
        <v>123456789</v>
      </c>
      <c r="B19">
        <v>9</v>
      </c>
      <c r="D19" s="2" t="str">
        <f t="shared" si="2"/>
        <v>277266780</v>
      </c>
      <c r="E19" s="2" t="str">
        <f t="shared" si="3"/>
        <v>277266780</v>
      </c>
      <c r="F19" t="s">
        <v>138</v>
      </c>
    </row>
    <row r="20" spans="1:6" x14ac:dyDescent="0.2">
      <c r="A20">
        <v>123456789</v>
      </c>
      <c r="B20">
        <v>36</v>
      </c>
      <c r="D20" s="2" t="str">
        <f t="shared" si="2"/>
        <v>21I3V9</v>
      </c>
      <c r="E20" s="2" t="str">
        <f t="shared" si="3"/>
        <v>21I3V9</v>
      </c>
      <c r="F20" t="s">
        <v>139</v>
      </c>
    </row>
    <row r="21" spans="1:6" x14ac:dyDescent="0.2">
      <c r="A21">
        <v>0</v>
      </c>
      <c r="B21">
        <v>2</v>
      </c>
      <c r="C21">
        <v>5</v>
      </c>
      <c r="D21" s="2" t="str">
        <f t="shared" si="2"/>
        <v>0</v>
      </c>
      <c r="E21" s="2" t="str">
        <f t="shared" si="3"/>
        <v>00000</v>
      </c>
    </row>
    <row r="22" spans="1:6" x14ac:dyDescent="0.2">
      <c r="A22">
        <v>10</v>
      </c>
      <c r="B22">
        <v>1</v>
      </c>
      <c r="D22" s="2" t="e">
        <f t="shared" si="2"/>
        <v>#NUM!</v>
      </c>
      <c r="E22" s="2" t="e">
        <f t="shared" si="3"/>
        <v>#NUM!</v>
      </c>
      <c r="F22" t="s">
        <v>20</v>
      </c>
    </row>
    <row r="23" spans="1:6" x14ac:dyDescent="0.2">
      <c r="A23">
        <v>123</v>
      </c>
      <c r="B23">
        <v>1</v>
      </c>
      <c r="D23" s="2" t="e">
        <f t="shared" si="2"/>
        <v>#NUM!</v>
      </c>
      <c r="E23" s="2" t="e">
        <f t="shared" si="3"/>
        <v>#NUM!</v>
      </c>
      <c r="F23" t="s">
        <v>140</v>
      </c>
    </row>
    <row r="24" spans="1:6" x14ac:dyDescent="0.2">
      <c r="A24">
        <v>10</v>
      </c>
      <c r="B24">
        <v>36</v>
      </c>
      <c r="D24" s="2" t="str">
        <f t="shared" si="2"/>
        <v>A</v>
      </c>
      <c r="E24" s="2" t="str">
        <f t="shared" si="3"/>
        <v>A</v>
      </c>
      <c r="F24" t="s">
        <v>21</v>
      </c>
    </row>
    <row r="25" spans="1:6" x14ac:dyDescent="0.2">
      <c r="A25">
        <v>10</v>
      </c>
      <c r="B25">
        <v>37</v>
      </c>
      <c r="D25" s="2" t="e">
        <f t="shared" si="2"/>
        <v>#NUM!</v>
      </c>
      <c r="E25" s="2" t="e">
        <f t="shared" si="3"/>
        <v>#NUM!</v>
      </c>
      <c r="F25" t="s">
        <v>22</v>
      </c>
    </row>
    <row r="26" spans="1:6" x14ac:dyDescent="0.2">
      <c r="A26">
        <v>123456789</v>
      </c>
      <c r="B26">
        <v>37</v>
      </c>
      <c r="D26" s="2" t="e">
        <f t="shared" si="2"/>
        <v>#NUM!</v>
      </c>
      <c r="E26" s="2" t="e">
        <f t="shared" si="3"/>
        <v>#NUM!</v>
      </c>
      <c r="F26" t="s">
        <v>141</v>
      </c>
    </row>
    <row r="27" spans="1:6" x14ac:dyDescent="0.2">
      <c r="A27">
        <v>40</v>
      </c>
      <c r="B27">
        <v>37</v>
      </c>
      <c r="D27" s="2" t="e">
        <f t="shared" si="2"/>
        <v>#NUM!</v>
      </c>
      <c r="E27" s="2" t="e">
        <f t="shared" si="3"/>
        <v>#NUM!</v>
      </c>
      <c r="F27" t="s">
        <v>142</v>
      </c>
    </row>
    <row r="28" spans="1:6" x14ac:dyDescent="0.2">
      <c r="A28">
        <v>123456789</v>
      </c>
      <c r="B28">
        <v>45</v>
      </c>
      <c r="D28" s="2" t="e">
        <f t="shared" si="2"/>
        <v>#NUM!</v>
      </c>
      <c r="E28" s="2" t="e">
        <f t="shared" si="3"/>
        <v>#NUM!</v>
      </c>
      <c r="F28" t="s">
        <v>143</v>
      </c>
    </row>
    <row r="29" spans="1:6" x14ac:dyDescent="0.2">
      <c r="A29">
        <v>10</v>
      </c>
      <c r="B29">
        <v>0</v>
      </c>
      <c r="D29" s="2" t="e">
        <f t="shared" si="2"/>
        <v>#NUM!</v>
      </c>
      <c r="E29" s="2" t="e">
        <f t="shared" si="3"/>
        <v>#NUM!</v>
      </c>
    </row>
    <row r="30" spans="1:6" x14ac:dyDescent="0.2">
      <c r="A30">
        <v>10</v>
      </c>
      <c r="B30">
        <v>-2</v>
      </c>
      <c r="D30" s="2" t="e">
        <f t="shared" si="2"/>
        <v>#NUM!</v>
      </c>
      <c r="E30" s="2" t="e">
        <f t="shared" si="3"/>
        <v>#NUM!</v>
      </c>
    </row>
    <row r="31" spans="1:6" x14ac:dyDescent="0.2">
      <c r="A31">
        <v>10</v>
      </c>
      <c r="B31">
        <v>2.9</v>
      </c>
      <c r="D31" s="2" t="str">
        <f t="shared" si="2"/>
        <v>1010</v>
      </c>
      <c r="E31" s="2" t="str">
        <f t="shared" si="3"/>
        <v>1010</v>
      </c>
      <c r="F31" t="s">
        <v>23</v>
      </c>
    </row>
    <row r="32" spans="1:6" x14ac:dyDescent="0.2">
      <c r="A32">
        <v>10</v>
      </c>
      <c r="B32">
        <v>36.9</v>
      </c>
      <c r="D32" s="2" t="str">
        <f t="shared" si="2"/>
        <v>A</v>
      </c>
      <c r="E32" s="2" t="str">
        <f t="shared" si="3"/>
        <v>A</v>
      </c>
    </row>
    <row r="33" spans="1:6" x14ac:dyDescent="0.2">
      <c r="A33">
        <v>10</v>
      </c>
      <c r="B33">
        <v>1.9</v>
      </c>
      <c r="D33" s="2" t="e">
        <f t="shared" si="2"/>
        <v>#NUM!</v>
      </c>
      <c r="E33" s="2" t="e">
        <f t="shared" si="3"/>
        <v>#NUM!</v>
      </c>
    </row>
    <row r="34" spans="1:6" x14ac:dyDescent="0.2">
      <c r="A34">
        <v>20</v>
      </c>
      <c r="B34">
        <v>10.9</v>
      </c>
      <c r="D34" s="2" t="str">
        <f t="shared" si="2"/>
        <v>20</v>
      </c>
      <c r="E34" s="2" t="str">
        <f t="shared" si="3"/>
        <v>20</v>
      </c>
      <c r="F34" t="s">
        <v>144</v>
      </c>
    </row>
    <row r="35" spans="1:6" x14ac:dyDescent="0.2">
      <c r="A35">
        <v>10.9</v>
      </c>
      <c r="B35">
        <v>2</v>
      </c>
      <c r="D35" s="2" t="str">
        <f t="shared" si="2"/>
        <v>1010</v>
      </c>
      <c r="E35" s="2" t="str">
        <f t="shared" si="3"/>
        <v>1010</v>
      </c>
      <c r="F35" t="s">
        <v>24</v>
      </c>
    </row>
    <row r="36" spans="1:6" x14ac:dyDescent="0.2">
      <c r="A36">
        <v>12.567</v>
      </c>
      <c r="B36">
        <v>2</v>
      </c>
      <c r="C36">
        <v>7</v>
      </c>
      <c r="D36" s="2" t="str">
        <f t="shared" si="2"/>
        <v>1100</v>
      </c>
      <c r="E36" s="2" t="str">
        <f t="shared" si="3"/>
        <v>0001100</v>
      </c>
      <c r="F36" t="s">
        <v>145</v>
      </c>
    </row>
    <row r="37" spans="1:6" x14ac:dyDescent="0.2">
      <c r="A37">
        <v>123.45677999999999</v>
      </c>
      <c r="B37">
        <v>16</v>
      </c>
      <c r="D37" s="2" t="str">
        <f t="shared" si="2"/>
        <v>7B</v>
      </c>
      <c r="E37" s="2" t="str">
        <f t="shared" si="3"/>
        <v>7B</v>
      </c>
      <c r="F37" t="s">
        <v>146</v>
      </c>
    </row>
    <row r="38" spans="1:6" x14ac:dyDescent="0.2">
      <c r="A38">
        <v>-1</v>
      </c>
      <c r="B38">
        <v>2</v>
      </c>
      <c r="D38" s="2" t="e">
        <f t="shared" si="2"/>
        <v>#NUM!</v>
      </c>
      <c r="E38" s="2" t="e">
        <f t="shared" si="3"/>
        <v>#NUM!</v>
      </c>
      <c r="F38" t="s">
        <v>25</v>
      </c>
    </row>
    <row r="39" spans="1:6" x14ac:dyDescent="0.2">
      <c r="A39">
        <v>-123456</v>
      </c>
      <c r="B39">
        <v>16</v>
      </c>
      <c r="D39" s="2" t="e">
        <f t="shared" si="2"/>
        <v>#NUM!</v>
      </c>
      <c r="E39" s="2" t="e">
        <f t="shared" si="3"/>
        <v>#NUM!</v>
      </c>
      <c r="F39" t="s">
        <v>147</v>
      </c>
    </row>
    <row r="40" spans="1:6" x14ac:dyDescent="0.2">
      <c r="A40" s="1">
        <v>1000000000000000</v>
      </c>
      <c r="B40">
        <v>2</v>
      </c>
      <c r="D40" s="2" t="str">
        <f t="shared" si="2"/>
        <v>11100011010111111010100100110001101000000000000000</v>
      </c>
      <c r="E40" s="2" t="str">
        <f t="shared" si="3"/>
        <v>11100011010111111010100100110001101000000000000000</v>
      </c>
    </row>
    <row r="41" spans="1:6" x14ac:dyDescent="0.2">
      <c r="A41">
        <v>10</v>
      </c>
      <c r="B41" s="1">
        <v>1000000000000000</v>
      </c>
      <c r="D41" s="2" t="e">
        <f t="shared" ref="D41:D65" si="4">_xlfn.BASE(A41,B41)</f>
        <v>#NUM!</v>
      </c>
      <c r="E41" s="2" t="e">
        <f t="shared" ref="E41:E65" si="5">_xlfn.BASE(A41,B41,C41)</f>
        <v>#NUM!</v>
      </c>
    </row>
    <row r="42" spans="1:6" x14ac:dyDescent="0.2">
      <c r="A42" s="1">
        <f>2^53-1</f>
        <v>9007199254740991</v>
      </c>
      <c r="B42">
        <v>2</v>
      </c>
      <c r="D42" s="2" t="str">
        <f t="shared" si="4"/>
        <v>11111111111111111111111111111111111111111111111111111</v>
      </c>
      <c r="E42" s="2" t="str">
        <f t="shared" si="5"/>
        <v>11111111111111111111111111111111111111111111111111111</v>
      </c>
      <c r="F42" t="s">
        <v>26</v>
      </c>
    </row>
    <row r="43" spans="1:6" x14ac:dyDescent="0.2">
      <c r="A43" s="1">
        <f>2^53-1</f>
        <v>9007199254740991</v>
      </c>
      <c r="B43">
        <v>36</v>
      </c>
      <c r="D43" s="2" t="str">
        <f t="shared" si="4"/>
        <v>2GOSA7PA2GV</v>
      </c>
      <c r="E43" s="2" t="str">
        <f t="shared" si="5"/>
        <v>2GOSA7PA2GV</v>
      </c>
    </row>
    <row r="44" spans="1:6" x14ac:dyDescent="0.2">
      <c r="A44">
        <v>5</v>
      </c>
      <c r="B44">
        <v>2</v>
      </c>
      <c r="C44">
        <v>255</v>
      </c>
      <c r="D44" s="2" t="str">
        <f t="shared" si="4"/>
        <v>101</v>
      </c>
      <c r="E44" s="2" t="str">
        <f t="shared" si="5"/>
        <v>000000000000000000000000000000000000000000000000000000000000000000000000000000000000000000000000000000000000000000000000000000000000000000000000000000000000000000000000000000000000000000000000000000000000000000000000000000000000000000000000000000000000101</v>
      </c>
      <c r="F44" t="s">
        <v>27</v>
      </c>
    </row>
    <row r="45" spans="1:6" x14ac:dyDescent="0.2">
      <c r="A45">
        <v>5</v>
      </c>
      <c r="B45">
        <v>2</v>
      </c>
      <c r="C45">
        <v>-1</v>
      </c>
      <c r="D45" s="2" t="str">
        <f t="shared" si="4"/>
        <v>101</v>
      </c>
      <c r="E45" s="2" t="e">
        <f t="shared" si="5"/>
        <v>#NUM!</v>
      </c>
      <c r="F45" t="s">
        <v>28</v>
      </c>
    </row>
    <row r="46" spans="1:6" x14ac:dyDescent="0.2">
      <c r="A46">
        <v>5</v>
      </c>
      <c r="B46">
        <v>2</v>
      </c>
      <c r="C46">
        <v>0</v>
      </c>
      <c r="D46" s="2" t="str">
        <f t="shared" si="4"/>
        <v>101</v>
      </c>
      <c r="E46" s="2" t="str">
        <f t="shared" si="5"/>
        <v>101</v>
      </c>
      <c r="F46" t="s">
        <v>29</v>
      </c>
    </row>
    <row r="47" spans="1:6" x14ac:dyDescent="0.2">
      <c r="A47">
        <v>5</v>
      </c>
      <c r="B47">
        <v>2</v>
      </c>
      <c r="C47">
        <v>2.7</v>
      </c>
      <c r="D47" s="2" t="str">
        <f t="shared" si="4"/>
        <v>101</v>
      </c>
      <c r="E47" s="2" t="str">
        <f t="shared" si="5"/>
        <v>101</v>
      </c>
      <c r="F47" t="s">
        <v>30</v>
      </c>
    </row>
    <row r="48" spans="1:6" x14ac:dyDescent="0.2">
      <c r="A48">
        <v>255</v>
      </c>
      <c r="B48">
        <v>2</v>
      </c>
      <c r="C48">
        <v>3</v>
      </c>
      <c r="D48" s="2" t="str">
        <f t="shared" si="4"/>
        <v>11111111</v>
      </c>
      <c r="E48" s="2" t="str">
        <f t="shared" si="5"/>
        <v>11111111</v>
      </c>
      <c r="F48" t="s">
        <v>31</v>
      </c>
    </row>
    <row r="49" spans="1:6" x14ac:dyDescent="0.2">
      <c r="A49">
        <v>10</v>
      </c>
      <c r="D49" s="2" t="e">
        <f t="shared" si="4"/>
        <v>#NUM!</v>
      </c>
      <c r="E49" s="2" t="e">
        <f t="shared" si="5"/>
        <v>#NUM!</v>
      </c>
      <c r="F49" t="s">
        <v>32</v>
      </c>
    </row>
    <row r="50" spans="1:6" x14ac:dyDescent="0.2">
      <c r="A50" s="4" t="s">
        <v>33</v>
      </c>
      <c r="B50">
        <v>2</v>
      </c>
      <c r="D50" s="2" t="str">
        <f t="shared" si="4"/>
        <v>1010</v>
      </c>
      <c r="E50" s="2" t="str">
        <f t="shared" si="5"/>
        <v>1010</v>
      </c>
      <c r="F50" t="s">
        <v>4</v>
      </c>
    </row>
    <row r="51" spans="1:6" x14ac:dyDescent="0.2">
      <c r="A51">
        <v>10</v>
      </c>
      <c r="B51" s="4" t="s">
        <v>34</v>
      </c>
      <c r="D51" s="2" t="str">
        <f t="shared" si="4"/>
        <v>A</v>
      </c>
      <c r="E51" s="2" t="str">
        <f t="shared" si="5"/>
        <v>A</v>
      </c>
    </row>
    <row r="52" spans="1:6" x14ac:dyDescent="0.2">
      <c r="A52">
        <v>10</v>
      </c>
      <c r="B52">
        <v>2</v>
      </c>
      <c r="C52" s="4" t="s">
        <v>35</v>
      </c>
      <c r="D52" s="2" t="str">
        <f t="shared" si="4"/>
        <v>1010</v>
      </c>
      <c r="E52" s="2" t="str">
        <f t="shared" si="5"/>
        <v>00001010</v>
      </c>
    </row>
    <row r="53" spans="1:6" x14ac:dyDescent="0.2">
      <c r="A53" t="b">
        <v>1</v>
      </c>
      <c r="B53">
        <v>2</v>
      </c>
      <c r="D53" s="2" t="str">
        <f t="shared" si="4"/>
        <v>1</v>
      </c>
      <c r="E53" s="2" t="str">
        <f t="shared" si="5"/>
        <v>1</v>
      </c>
    </row>
    <row r="54" spans="1:6" x14ac:dyDescent="0.2">
      <c r="A54">
        <v>10</v>
      </c>
      <c r="B54" t="b">
        <v>1</v>
      </c>
      <c r="D54" s="2" t="e">
        <f t="shared" si="4"/>
        <v>#NUM!</v>
      </c>
      <c r="E54" s="2" t="e">
        <f t="shared" si="5"/>
        <v>#NUM!</v>
      </c>
      <c r="F54" t="s">
        <v>36</v>
      </c>
    </row>
    <row r="55" spans="1:6" x14ac:dyDescent="0.2">
      <c r="A55">
        <v>5</v>
      </c>
      <c r="B55">
        <v>2</v>
      </c>
      <c r="C55" t="b">
        <v>1</v>
      </c>
      <c r="D55" s="2" t="str">
        <f t="shared" si="4"/>
        <v>101</v>
      </c>
      <c r="E55" s="2" t="str">
        <f t="shared" si="5"/>
        <v>101</v>
      </c>
    </row>
    <row r="56" spans="1:6" x14ac:dyDescent="0.2">
      <c r="A56" s="4" t="s">
        <v>37</v>
      </c>
      <c r="B56">
        <v>2</v>
      </c>
      <c r="D56" s="2" t="e">
        <f t="shared" si="4"/>
        <v>#VALUE!</v>
      </c>
      <c r="E56" s="2" t="e">
        <f t="shared" si="5"/>
        <v>#VALUE!</v>
      </c>
      <c r="F56" t="s">
        <v>38</v>
      </c>
    </row>
    <row r="57" spans="1:6" x14ac:dyDescent="0.2">
      <c r="A57">
        <v>10</v>
      </c>
      <c r="B57" s="4" t="s">
        <v>39</v>
      </c>
      <c r="D57" s="2" t="e">
        <f t="shared" si="4"/>
        <v>#VALUE!</v>
      </c>
      <c r="E57" s="2" t="e">
        <f t="shared" si="5"/>
        <v>#VALUE!</v>
      </c>
    </row>
    <row r="58" spans="1:6" x14ac:dyDescent="0.2">
      <c r="A58">
        <v>5</v>
      </c>
      <c r="B58">
        <v>2</v>
      </c>
      <c r="C58" s="4" t="s">
        <v>40</v>
      </c>
      <c r="D58" s="2" t="str">
        <f t="shared" si="4"/>
        <v>101</v>
      </c>
      <c r="E58" s="2" t="e">
        <f t="shared" si="5"/>
        <v>#VALUE!</v>
      </c>
    </row>
    <row r="59" spans="1:6" x14ac:dyDescent="0.2">
      <c r="A59" s="4" t="s">
        <v>41</v>
      </c>
      <c r="B59">
        <v>2</v>
      </c>
      <c r="D59" s="2" t="str">
        <f t="shared" si="4"/>
        <v>1010</v>
      </c>
      <c r="E59" s="2" t="str">
        <f t="shared" si="5"/>
        <v>1010</v>
      </c>
      <c r="F59" t="s">
        <v>5</v>
      </c>
    </row>
    <row r="60" spans="1:6" x14ac:dyDescent="0.2">
      <c r="A60" s="4" t="s">
        <v>42</v>
      </c>
      <c r="B60">
        <v>2</v>
      </c>
      <c r="D60" s="2" t="str">
        <f t="shared" si="4"/>
        <v>1010</v>
      </c>
      <c r="E60" s="2" t="str">
        <f t="shared" si="5"/>
        <v>1010</v>
      </c>
      <c r="F60" t="s">
        <v>6</v>
      </c>
    </row>
    <row r="61" spans="1:6" x14ac:dyDescent="0.2">
      <c r="A61" s="4" t="s">
        <v>7</v>
      </c>
      <c r="B61">
        <v>2</v>
      </c>
      <c r="D61" s="2" t="e">
        <f t="shared" si="4"/>
        <v>#VALUE!</v>
      </c>
      <c r="E61" s="2" t="e">
        <f t="shared" si="5"/>
        <v>#VALUE!</v>
      </c>
      <c r="F61" t="s">
        <v>14</v>
      </c>
    </row>
    <row r="62" spans="1:6" x14ac:dyDescent="0.2">
      <c r="A62">
        <f>DATE(2026,1,1)</f>
        <v>46023</v>
      </c>
      <c r="B62">
        <v>16</v>
      </c>
      <c r="D62" s="2" t="str">
        <f t="shared" si="4"/>
        <v>B3C7</v>
      </c>
      <c r="E62" s="2" t="str">
        <f t="shared" si="5"/>
        <v>B3C7</v>
      </c>
      <c r="F62" t="s">
        <v>43</v>
      </c>
    </row>
    <row r="63" spans="1:6" x14ac:dyDescent="0.2">
      <c r="A63" t="e">
        <f>NA()</f>
        <v>#N/A</v>
      </c>
      <c r="B63">
        <v>2</v>
      </c>
      <c r="D63" s="2" t="e">
        <f t="shared" si="4"/>
        <v>#N/A</v>
      </c>
      <c r="E63" s="2" t="e">
        <f t="shared" si="5"/>
        <v>#N/A</v>
      </c>
      <c r="F63" t="s">
        <v>9</v>
      </c>
    </row>
    <row r="64" spans="1:6" x14ac:dyDescent="0.2">
      <c r="A64">
        <v>10</v>
      </c>
      <c r="B64" t="e">
        <f>1/0</f>
        <v>#DIV/0!</v>
      </c>
      <c r="D64" s="2" t="e">
        <f t="shared" si="4"/>
        <v>#DIV/0!</v>
      </c>
      <c r="E64" s="2" t="e">
        <f t="shared" si="5"/>
        <v>#DIV/0!</v>
      </c>
      <c r="F64" t="s">
        <v>44</v>
      </c>
    </row>
    <row r="65" spans="1:6" x14ac:dyDescent="0.2">
      <c r="A65">
        <v>10</v>
      </c>
      <c r="B65">
        <v>2</v>
      </c>
      <c r="C65" t="e">
        <f>NA()</f>
        <v>#N/A</v>
      </c>
      <c r="D65" s="2" t="str">
        <f t="shared" si="4"/>
        <v>1010</v>
      </c>
      <c r="E65" s="2" t="e">
        <f t="shared" si="5"/>
        <v>#N/A</v>
      </c>
      <c r="F65" t="s">
        <v>45</v>
      </c>
    </row>
    <row r="66" spans="1:6" x14ac:dyDescent="0.2">
      <c r="A66" t="e">
        <f>1/0</f>
        <v>#DIV/0!</v>
      </c>
      <c r="B66" t="e">
        <f>NA()</f>
        <v>#N/A</v>
      </c>
      <c r="D66" s="2" t="e">
        <f t="shared" ref="D66:D96" si="6">_xlfn.BASE(A66,B66)</f>
        <v>#DIV/0!</v>
      </c>
      <c r="E66" s="2" t="e">
        <f t="shared" ref="E66:E96" si="7">_xlfn.BASE(A66,B66,C66)</f>
        <v>#DIV/0!</v>
      </c>
      <c r="F66" t="s">
        <v>46</v>
      </c>
    </row>
    <row r="67" spans="1:6" x14ac:dyDescent="0.2">
      <c r="A67">
        <v>10</v>
      </c>
      <c r="B67" t="e">
        <f>NA()</f>
        <v>#N/A</v>
      </c>
      <c r="C67" t="e">
        <f>1/0</f>
        <v>#DIV/0!</v>
      </c>
      <c r="D67" s="2" t="e">
        <f t="shared" si="6"/>
        <v>#N/A</v>
      </c>
      <c r="E67" s="2" t="e">
        <f t="shared" si="7"/>
        <v>#N/A</v>
      </c>
      <c r="F67" t="s">
        <v>47</v>
      </c>
    </row>
    <row r="68" spans="1:6" x14ac:dyDescent="0.2">
      <c r="A68">
        <v>10</v>
      </c>
      <c r="B68">
        <v>9.9999999999999995E-8</v>
      </c>
      <c r="D68" s="2" t="e">
        <f t="shared" si="6"/>
        <v>#NUM!</v>
      </c>
      <c r="E68" s="2" t="e">
        <f t="shared" si="7"/>
        <v>#NUM!</v>
      </c>
      <c r="F68" t="s">
        <v>87</v>
      </c>
    </row>
    <row r="69" spans="1:6" x14ac:dyDescent="0.2">
      <c r="A69">
        <v>10</v>
      </c>
      <c r="B69">
        <v>-9.9999999999999995E-8</v>
      </c>
      <c r="D69" s="2" t="e">
        <f t="shared" si="6"/>
        <v>#NUM!</v>
      </c>
      <c r="E69" s="2" t="e">
        <f t="shared" si="7"/>
        <v>#NUM!</v>
      </c>
    </row>
    <row r="70" spans="1:6" x14ac:dyDescent="0.2">
      <c r="A70">
        <v>10</v>
      </c>
      <c r="B70" s="6">
        <v>1.9999999999</v>
      </c>
      <c r="D70" s="2" t="e">
        <f t="shared" si="6"/>
        <v>#NUM!</v>
      </c>
      <c r="E70" s="2" t="e">
        <f t="shared" si="7"/>
        <v>#NUM!</v>
      </c>
      <c r="F70" t="s">
        <v>88</v>
      </c>
    </row>
    <row r="71" spans="1:6" x14ac:dyDescent="0.2">
      <c r="A71">
        <v>10</v>
      </c>
      <c r="B71" s="6">
        <v>2.0000000001</v>
      </c>
      <c r="D71" s="2" t="str">
        <f t="shared" si="6"/>
        <v>1010</v>
      </c>
      <c r="E71" s="2" t="str">
        <f t="shared" si="7"/>
        <v>1010</v>
      </c>
    </row>
    <row r="72" spans="1:6" x14ac:dyDescent="0.2">
      <c r="A72">
        <v>10</v>
      </c>
      <c r="B72">
        <v>35.999999899999999</v>
      </c>
      <c r="D72" s="2" t="str">
        <f t="shared" si="6"/>
        <v>A</v>
      </c>
      <c r="E72" s="2" t="str">
        <f t="shared" si="7"/>
        <v>A</v>
      </c>
      <c r="F72" t="s">
        <v>89</v>
      </c>
    </row>
    <row r="73" spans="1:6" x14ac:dyDescent="0.2">
      <c r="A73">
        <v>10</v>
      </c>
      <c r="B73">
        <v>36.000000100000001</v>
      </c>
      <c r="D73" s="2" t="str">
        <f t="shared" si="6"/>
        <v>A</v>
      </c>
      <c r="E73" s="2" t="str">
        <f t="shared" si="7"/>
        <v>A</v>
      </c>
    </row>
    <row r="74" spans="1:6" x14ac:dyDescent="0.2">
      <c r="A74">
        <v>10</v>
      </c>
      <c r="B74">
        <v>1E+16</v>
      </c>
      <c r="D74" s="2" t="e">
        <f t="shared" si="6"/>
        <v>#NUM!</v>
      </c>
      <c r="E74" s="2" t="e">
        <f t="shared" si="7"/>
        <v>#NUM!</v>
      </c>
      <c r="F74" t="s">
        <v>90</v>
      </c>
    </row>
    <row r="75" spans="1:6" x14ac:dyDescent="0.2">
      <c r="A75">
        <v>10</v>
      </c>
      <c r="B75" t="b">
        <v>0</v>
      </c>
      <c r="D75" s="2" t="e">
        <f t="shared" si="6"/>
        <v>#NUM!</v>
      </c>
      <c r="E75" s="2" t="e">
        <f t="shared" si="7"/>
        <v>#NUM!</v>
      </c>
      <c r="F75" t="s">
        <v>91</v>
      </c>
    </row>
    <row r="76" spans="1:6" x14ac:dyDescent="0.2">
      <c r="A76">
        <v>10</v>
      </c>
      <c r="B76" s="4" t="s">
        <v>74</v>
      </c>
      <c r="D76" s="2" t="str">
        <f t="shared" si="6"/>
        <v>A</v>
      </c>
      <c r="E76" s="2" t="str">
        <f t="shared" si="7"/>
        <v>A</v>
      </c>
      <c r="F76" t="s">
        <v>75</v>
      </c>
    </row>
    <row r="77" spans="1:6" x14ac:dyDescent="0.2">
      <c r="A77">
        <v>10</v>
      </c>
      <c r="B77" s="4" t="s">
        <v>92</v>
      </c>
      <c r="D77" s="2" t="str">
        <f t="shared" si="6"/>
        <v>A</v>
      </c>
      <c r="E77" s="2" t="str">
        <f t="shared" si="7"/>
        <v>A</v>
      </c>
      <c r="F77" t="s">
        <v>93</v>
      </c>
    </row>
    <row r="78" spans="1:6" x14ac:dyDescent="0.2">
      <c r="A78">
        <v>10</v>
      </c>
      <c r="B78" s="4" t="s">
        <v>94</v>
      </c>
      <c r="D78" s="2" t="str">
        <f t="shared" si="6"/>
        <v>A</v>
      </c>
      <c r="E78" s="2" t="str">
        <f t="shared" si="7"/>
        <v>A</v>
      </c>
      <c r="F78" t="s">
        <v>95</v>
      </c>
    </row>
    <row r="79" spans="1:6" x14ac:dyDescent="0.2">
      <c r="A79">
        <v>10</v>
      </c>
      <c r="B79" s="4" t="s">
        <v>96</v>
      </c>
      <c r="D79" s="2" t="e">
        <f t="shared" si="6"/>
        <v>#NUM!</v>
      </c>
      <c r="E79" s="2" t="e">
        <f t="shared" si="7"/>
        <v>#NUM!</v>
      </c>
      <c r="F79" t="s">
        <v>97</v>
      </c>
    </row>
    <row r="80" spans="1:6" x14ac:dyDescent="0.2">
      <c r="A80">
        <v>10</v>
      </c>
      <c r="B80" s="4" t="s">
        <v>7</v>
      </c>
      <c r="D80" s="2" t="e">
        <f t="shared" si="6"/>
        <v>#VALUE!</v>
      </c>
      <c r="E80" s="2" t="e">
        <f t="shared" si="7"/>
        <v>#VALUE!</v>
      </c>
      <c r="F80" t="s">
        <v>98</v>
      </c>
    </row>
    <row r="81" spans="1:6" x14ac:dyDescent="0.2">
      <c r="A81">
        <v>10</v>
      </c>
      <c r="B81" t="str">
        <f>""</f>
        <v/>
      </c>
      <c r="D81" s="2" t="e">
        <f t="shared" si="6"/>
        <v>#VALUE!</v>
      </c>
      <c r="E81" s="2" t="e">
        <f t="shared" si="7"/>
        <v>#VALUE!</v>
      </c>
      <c r="F81" t="s">
        <v>99</v>
      </c>
    </row>
    <row r="82" spans="1:6" x14ac:dyDescent="0.2">
      <c r="A82">
        <v>10</v>
      </c>
      <c r="B82" s="7">
        <f>DATE(1910,1,16)</f>
        <v>3669</v>
      </c>
      <c r="D82" s="2" t="e">
        <f t="shared" si="6"/>
        <v>#NUM!</v>
      </c>
      <c r="E82" s="2" t="e">
        <f t="shared" si="7"/>
        <v>#NUM!</v>
      </c>
      <c r="F82" t="s">
        <v>100</v>
      </c>
    </row>
    <row r="83" spans="1:6" x14ac:dyDescent="0.2">
      <c r="A83">
        <v>10</v>
      </c>
      <c r="B83" t="e">
        <f>NA()</f>
        <v>#N/A</v>
      </c>
      <c r="D83" s="2" t="e">
        <f t="shared" si="6"/>
        <v>#N/A</v>
      </c>
      <c r="E83" s="2" t="e">
        <f t="shared" si="7"/>
        <v>#N/A</v>
      </c>
      <c r="F83" t="s">
        <v>101</v>
      </c>
    </row>
    <row r="84" spans="1:6" x14ac:dyDescent="0.2">
      <c r="A84">
        <v>10</v>
      </c>
      <c r="B84" t="e">
        <f>SQRT(-1)</f>
        <v>#NUM!</v>
      </c>
      <c r="D84" s="2" t="e">
        <f t="shared" si="6"/>
        <v>#NUM!</v>
      </c>
      <c r="E84" s="2" t="e">
        <f t="shared" si="7"/>
        <v>#NUM!</v>
      </c>
      <c r="F84" t="s">
        <v>102</v>
      </c>
    </row>
    <row r="85" spans="1:6" x14ac:dyDescent="0.2">
      <c r="A85">
        <v>5</v>
      </c>
      <c r="B85">
        <v>2</v>
      </c>
      <c r="C85">
        <v>9.9999999999999995E-8</v>
      </c>
      <c r="D85" s="2" t="str">
        <f t="shared" si="6"/>
        <v>101</v>
      </c>
      <c r="E85" s="2" t="str">
        <f t="shared" si="7"/>
        <v>101</v>
      </c>
      <c r="F85" t="s">
        <v>103</v>
      </c>
    </row>
    <row r="86" spans="1:6" x14ac:dyDescent="0.2">
      <c r="A86">
        <v>5</v>
      </c>
      <c r="B86">
        <v>2</v>
      </c>
      <c r="C86">
        <v>-9.9999999999999995E-8</v>
      </c>
      <c r="D86" s="2" t="str">
        <f t="shared" si="6"/>
        <v>101</v>
      </c>
      <c r="E86" s="2" t="e">
        <f t="shared" si="7"/>
        <v>#NUM!</v>
      </c>
    </row>
    <row r="87" spans="1:6" x14ac:dyDescent="0.2">
      <c r="A87">
        <v>5</v>
      </c>
      <c r="B87">
        <v>2</v>
      </c>
      <c r="C87">
        <v>-0.5</v>
      </c>
      <c r="D87" s="2" t="str">
        <f t="shared" si="6"/>
        <v>101</v>
      </c>
      <c r="E87" s="2" t="e">
        <f t="shared" si="7"/>
        <v>#NUM!</v>
      </c>
    </row>
    <row r="88" spans="1:6" x14ac:dyDescent="0.2">
      <c r="A88">
        <v>5</v>
      </c>
      <c r="B88">
        <v>2</v>
      </c>
      <c r="C88">
        <v>254.9</v>
      </c>
      <c r="D88" s="2" t="str">
        <f t="shared" si="6"/>
        <v>101</v>
      </c>
      <c r="E88" s="2" t="str">
        <f t="shared" si="7"/>
        <v>00000000000000000000000000000000000000000000000000000000000000000000000000000000000000000000000000000000000000000000000000000000000000000000000000000000000000000000000000000000000000000000000000000000000000000000000000000000000000000000000000000000000101</v>
      </c>
      <c r="F88" t="s">
        <v>104</v>
      </c>
    </row>
    <row r="89" spans="1:6" x14ac:dyDescent="0.2">
      <c r="A89">
        <v>5</v>
      </c>
      <c r="B89">
        <v>2</v>
      </c>
      <c r="C89">
        <v>255.9</v>
      </c>
      <c r="D89" s="2" t="str">
        <f t="shared" si="6"/>
        <v>101</v>
      </c>
      <c r="E89" s="2" t="str">
        <f t="shared" si="7"/>
        <v>000000000000000000000000000000000000000000000000000000000000000000000000000000000000000000000000000000000000000000000000000000000000000000000000000000000000000000000000000000000000000000000000000000000000000000000000000000000000000000000000000000000000101</v>
      </c>
    </row>
    <row r="90" spans="1:6" x14ac:dyDescent="0.2">
      <c r="A90">
        <v>5</v>
      </c>
      <c r="B90">
        <v>2</v>
      </c>
      <c r="C90">
        <v>3</v>
      </c>
      <c r="D90" s="2" t="str">
        <f t="shared" si="6"/>
        <v>101</v>
      </c>
      <c r="E90" s="2" t="str">
        <f t="shared" si="7"/>
        <v>101</v>
      </c>
      <c r="F90" t="s">
        <v>105</v>
      </c>
    </row>
    <row r="91" spans="1:6" x14ac:dyDescent="0.2">
      <c r="A91">
        <v>0</v>
      </c>
      <c r="B91">
        <v>2</v>
      </c>
      <c r="C91">
        <v>1</v>
      </c>
      <c r="D91" s="2" t="str">
        <f t="shared" si="6"/>
        <v>0</v>
      </c>
      <c r="E91" s="2" t="str">
        <f t="shared" si="7"/>
        <v>0</v>
      </c>
      <c r="F91" t="s">
        <v>106</v>
      </c>
    </row>
    <row r="92" spans="1:6" x14ac:dyDescent="0.2">
      <c r="A92">
        <v>5</v>
      </c>
      <c r="B92">
        <v>2</v>
      </c>
      <c r="C92" t="b">
        <v>0</v>
      </c>
      <c r="D92" s="2" t="str">
        <f t="shared" si="6"/>
        <v>101</v>
      </c>
      <c r="E92" s="2" t="str">
        <f t="shared" si="7"/>
        <v>101</v>
      </c>
      <c r="F92" t="s">
        <v>107</v>
      </c>
    </row>
    <row r="93" spans="1:6" x14ac:dyDescent="0.2">
      <c r="A93">
        <v>5</v>
      </c>
      <c r="B93">
        <v>2</v>
      </c>
      <c r="C93" s="4" t="s">
        <v>108</v>
      </c>
      <c r="D93" s="2" t="str">
        <f t="shared" si="6"/>
        <v>101</v>
      </c>
      <c r="E93" s="2" t="str">
        <f t="shared" si="7"/>
        <v>00000101</v>
      </c>
      <c r="F93" t="s">
        <v>109</v>
      </c>
    </row>
    <row r="94" spans="1:6" x14ac:dyDescent="0.2">
      <c r="A94">
        <v>5</v>
      </c>
      <c r="B94">
        <v>2</v>
      </c>
      <c r="C94" s="4" t="s">
        <v>110</v>
      </c>
      <c r="D94" s="2" t="str">
        <f t="shared" si="6"/>
        <v>101</v>
      </c>
      <c r="E94" s="2" t="str">
        <f t="shared" si="7"/>
        <v>00000101</v>
      </c>
      <c r="F94" t="s">
        <v>111</v>
      </c>
    </row>
    <row r="95" spans="1:6" x14ac:dyDescent="0.2">
      <c r="A95">
        <v>5</v>
      </c>
      <c r="B95">
        <v>2</v>
      </c>
      <c r="C95" s="4" t="s">
        <v>112</v>
      </c>
      <c r="D95" s="2" t="str">
        <f t="shared" si="6"/>
        <v>101</v>
      </c>
      <c r="E95" s="2" t="str">
        <f t="shared" si="7"/>
        <v>00000101</v>
      </c>
      <c r="F95" t="s">
        <v>113</v>
      </c>
    </row>
    <row r="96" spans="1:6" x14ac:dyDescent="0.2">
      <c r="A96">
        <v>5</v>
      </c>
      <c r="B96">
        <v>2</v>
      </c>
      <c r="C96" s="4" t="s">
        <v>96</v>
      </c>
      <c r="D96" s="2" t="str">
        <f t="shared" si="6"/>
        <v>101</v>
      </c>
      <c r="E96" s="2" t="str">
        <f t="shared" si="7"/>
        <v>101</v>
      </c>
      <c r="F96" t="s">
        <v>114</v>
      </c>
    </row>
    <row r="97" spans="1:9" x14ac:dyDescent="0.2">
      <c r="A97">
        <v>5</v>
      </c>
      <c r="B97">
        <v>2</v>
      </c>
      <c r="C97" s="4" t="s">
        <v>7</v>
      </c>
      <c r="D97" s="2" t="str">
        <f t="shared" ref="D97:D101" si="8">_xlfn.BASE(A97,B97)</f>
        <v>101</v>
      </c>
      <c r="E97" s="2" t="e">
        <f t="shared" ref="E97:E101" si="9">_xlfn.BASE(A97,B97,C97)</f>
        <v>#VALUE!</v>
      </c>
      <c r="F97" t="s">
        <v>115</v>
      </c>
    </row>
    <row r="98" spans="1:9" x14ac:dyDescent="0.2">
      <c r="A98">
        <v>5</v>
      </c>
      <c r="B98">
        <v>2</v>
      </c>
      <c r="C98" t="str">
        <f>""</f>
        <v/>
      </c>
      <c r="D98" s="2" t="str">
        <f t="shared" si="8"/>
        <v>101</v>
      </c>
      <c r="E98" s="2" t="e">
        <f t="shared" si="9"/>
        <v>#VALUE!</v>
      </c>
      <c r="F98" t="s">
        <v>116</v>
      </c>
    </row>
    <row r="99" spans="1:9" x14ac:dyDescent="0.2">
      <c r="A99">
        <v>5</v>
      </c>
      <c r="B99">
        <v>2</v>
      </c>
      <c r="C99" t="e">
        <f>1/0</f>
        <v>#DIV/0!</v>
      </c>
      <c r="D99" s="2" t="str">
        <f t="shared" si="8"/>
        <v>101</v>
      </c>
      <c r="E99" s="2" t="e">
        <f t="shared" si="9"/>
        <v>#DIV/0!</v>
      </c>
      <c r="F99" t="s">
        <v>117</v>
      </c>
    </row>
    <row r="100" spans="1:9" x14ac:dyDescent="0.2">
      <c r="A100">
        <v>10</v>
      </c>
      <c r="B100" s="4" t="s">
        <v>39</v>
      </c>
      <c r="C100" t="e">
        <f>NA()</f>
        <v>#N/A</v>
      </c>
      <c r="D100" s="2" t="e">
        <f t="shared" si="8"/>
        <v>#VALUE!</v>
      </c>
      <c r="E100" s="2" t="e">
        <f t="shared" si="9"/>
        <v>#VALUE!</v>
      </c>
      <c r="F100" t="s">
        <v>118</v>
      </c>
    </row>
    <row r="101" spans="1:9" x14ac:dyDescent="0.2">
      <c r="A101">
        <v>10</v>
      </c>
      <c r="B101">
        <v>37</v>
      </c>
      <c r="C101">
        <v>256</v>
      </c>
      <c r="D101" s="2" t="e">
        <f t="shared" si="8"/>
        <v>#NUM!</v>
      </c>
      <c r="E101" s="2" t="e">
        <f t="shared" si="9"/>
        <v>#NUM!</v>
      </c>
      <c r="F101" t="s">
        <v>119</v>
      </c>
    </row>
    <row r="102" spans="1:9" x14ac:dyDescent="0.2">
      <c r="D102" s="2" t="str">
        <f>_xlfn.BASE(10,"16")</f>
        <v>A</v>
      </c>
      <c r="E102" s="2" t="str">
        <f>_xlfn.BASE(5,2,"8")</f>
        <v>00000101</v>
      </c>
      <c r="F102" t="s">
        <v>120</v>
      </c>
    </row>
    <row r="103" spans="1:9" x14ac:dyDescent="0.2">
      <c r="D103" s="2" t="e">
        <f>_xlfn.BASE(10,TRUE)</f>
        <v>#NUM!</v>
      </c>
      <c r="E103" s="2" t="str">
        <f>_xlfn.BASE(5,2,TRUE)</f>
        <v>101</v>
      </c>
      <c r="F103" t="s">
        <v>121</v>
      </c>
    </row>
    <row r="104" spans="1:9" x14ac:dyDescent="0.2">
      <c r="D104" s="2" t="str">
        <f>_xlfn.BASE(TRUE,2)</f>
        <v>1</v>
      </c>
      <c r="E104" s="2" t="str">
        <f>_xlfn.BASE(TRUE,2,4)</f>
        <v>0001</v>
      </c>
      <c r="F104" t="s">
        <v>8</v>
      </c>
    </row>
    <row r="105" spans="1:9" x14ac:dyDescent="0.2">
      <c r="D105" s="2" t="str">
        <f>_xlfn.BASE("255","16")</f>
        <v>FF</v>
      </c>
      <c r="E105" s="2" t="str">
        <f>_xlfn.BASE("255","16","4")</f>
        <v>00FF</v>
      </c>
      <c r="F105" t="s">
        <v>48</v>
      </c>
    </row>
    <row r="106" spans="1:9" x14ac:dyDescent="0.2">
      <c r="D106" s="2" t="e">
        <f>_xlfn.BASE(255,H109:H112)</f>
        <v>#VALUE!</v>
      </c>
      <c r="E106" s="2" t="e">
        <f>_xlfn.BASE(255,H109:H112,4)</f>
        <v>#VALUE!</v>
      </c>
      <c r="F106" t="s">
        <v>11</v>
      </c>
    </row>
    <row r="107" spans="1:9" x14ac:dyDescent="0.2">
      <c r="D107" s="2" t="e">
        <f>_xlfn.BASE(G107:I107,2)</f>
        <v>#VALUE!</v>
      </c>
      <c r="E107" s="2" t="e">
        <f>_xlfn.BASE(G107:I107,2,4)</f>
        <v>#VALUE!</v>
      </c>
      <c r="F107" t="s">
        <v>12</v>
      </c>
      <c r="G107">
        <v>10</v>
      </c>
      <c r="H107">
        <v>2</v>
      </c>
      <c r="I107">
        <v>4</v>
      </c>
    </row>
    <row r="108" spans="1:9" x14ac:dyDescent="0.2">
      <c r="D108" s="2" t="e">
        <f>_xlfn.BASE(G109:H112,2)</f>
        <v>#VALUE!</v>
      </c>
      <c r="E108" s="2" t="e">
        <f>_xlfn.BASE(G109:H112,2,4)</f>
        <v>#VALUE!</v>
      </c>
      <c r="F108" t="s">
        <v>13</v>
      </c>
    </row>
    <row r="109" spans="1:9" x14ac:dyDescent="0.2">
      <c r="D109" s="2" t="str">
        <f>_xlfn.BASE(G109:G112,2)</f>
        <v>1010</v>
      </c>
      <c r="E109" s="2" t="str">
        <f>_xlfn.BASE(G109:G112,2,4)</f>
        <v>1010</v>
      </c>
      <c r="F109" t="s">
        <v>80</v>
      </c>
      <c r="G109">
        <v>10</v>
      </c>
      <c r="H109">
        <v>2</v>
      </c>
      <c r="I109">
        <v>4</v>
      </c>
    </row>
    <row r="110" spans="1:9" x14ac:dyDescent="0.2">
      <c r="D110" s="2" t="str">
        <f>_xlfn.BASE(255,H109:H112)</f>
        <v>FF</v>
      </c>
      <c r="E110" s="2" t="str">
        <f>_xlfn.BASE(255,H109:H112,4)</f>
        <v>00FF</v>
      </c>
      <c r="F110" t="s">
        <v>81</v>
      </c>
      <c r="G110">
        <v>255</v>
      </c>
      <c r="H110">
        <v>16</v>
      </c>
      <c r="I110">
        <v>8</v>
      </c>
    </row>
    <row r="111" spans="1:9" x14ac:dyDescent="0.2">
      <c r="D111" s="2" t="str">
        <f>_xlfn.BASE(G109:G112,H109:H112)</f>
        <v>7</v>
      </c>
      <c r="E111" s="2" t="str">
        <f>_xlfn.BASE(G109:G112,H109:H112,I109:I112)</f>
        <v>07</v>
      </c>
      <c r="F111" t="s">
        <v>82</v>
      </c>
      <c r="G111">
        <v>7</v>
      </c>
      <c r="H111">
        <v>8</v>
      </c>
      <c r="I111">
        <v>2</v>
      </c>
    </row>
    <row r="112" spans="1:9" x14ac:dyDescent="0.2">
      <c r="E112" s="2" t="str">
        <f>_xlfn.BASE(5,2,I109:I112)</f>
        <v>000101</v>
      </c>
      <c r="F112" t="s">
        <v>83</v>
      </c>
      <c r="G112">
        <v>5</v>
      </c>
      <c r="H112">
        <v>2</v>
      </c>
      <c r="I112">
        <v>6</v>
      </c>
    </row>
    <row r="113" spans="4:6" x14ac:dyDescent="0.2">
      <c r="D113" s="2" t="e">
        <f>_xlfn.BASE(G109:G112,2)</f>
        <v>#VALUE!</v>
      </c>
      <c r="E113" s="2" t="e">
        <f>_xlfn.BASE(G109:G112,2,4)</f>
        <v>#VALUE!</v>
      </c>
      <c r="F113" t="s">
        <v>84</v>
      </c>
    </row>
    <row r="114" spans="4:6" x14ac:dyDescent="0.2">
      <c r="E114" s="2" t="e">
        <f>_xlfn.BASE(5,2,I109:I112)</f>
        <v>#VALUE!</v>
      </c>
      <c r="F114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8C2D8-4264-4A7B-B498-1F42C76511D0}">
  <dimension ref="A1:I87"/>
  <sheetViews>
    <sheetView topLeftCell="A9" workbookViewId="0">
      <selection activeCell="B69" sqref="B69"/>
    </sheetView>
  </sheetViews>
  <sheetFormatPr baseColWidth="10" defaultColWidth="8.83203125" defaultRowHeight="15" x14ac:dyDescent="0.2"/>
  <cols>
    <col min="1" max="1" width="23.1640625" customWidth="1"/>
    <col min="2" max="2" width="13" customWidth="1"/>
    <col min="3" max="3" width="19.5" customWidth="1"/>
    <col min="4" max="4" width="53.33203125" customWidth="1"/>
    <col min="7" max="9" width="16.83203125" customWidth="1"/>
  </cols>
  <sheetData>
    <row r="1" spans="1:9" ht="16" x14ac:dyDescent="0.2">
      <c r="A1" s="3" t="s">
        <v>49</v>
      </c>
      <c r="B1" s="3" t="s">
        <v>15</v>
      </c>
      <c r="C1" s="3" t="s">
        <v>50</v>
      </c>
      <c r="D1" s="3" t="s">
        <v>3</v>
      </c>
      <c r="I1" s="3"/>
    </row>
    <row r="2" spans="1:9" x14ac:dyDescent="0.2">
      <c r="A2" s="4" t="s">
        <v>51</v>
      </c>
      <c r="B2">
        <v>2</v>
      </c>
      <c r="C2" s="2">
        <f t="shared" ref="C2:C33" si="0">_xlfn.DECIMAL(A2,B2)</f>
        <v>10</v>
      </c>
      <c r="D2" t="s">
        <v>19</v>
      </c>
    </row>
    <row r="3" spans="1:9" x14ac:dyDescent="0.2">
      <c r="A3" s="4" t="s">
        <v>52</v>
      </c>
      <c r="B3">
        <v>16</v>
      </c>
      <c r="C3" s="2">
        <f t="shared" si="0"/>
        <v>255</v>
      </c>
    </row>
    <row r="4" spans="1:9" x14ac:dyDescent="0.2">
      <c r="A4" s="4" t="s">
        <v>53</v>
      </c>
      <c r="B4">
        <v>8</v>
      </c>
      <c r="C4" s="2">
        <f t="shared" si="0"/>
        <v>511</v>
      </c>
    </row>
    <row r="5" spans="1:9" x14ac:dyDescent="0.2">
      <c r="A5" s="4" t="s">
        <v>54</v>
      </c>
      <c r="B5">
        <v>36</v>
      </c>
      <c r="C5" s="2">
        <f t="shared" si="0"/>
        <v>35</v>
      </c>
    </row>
    <row r="6" spans="1:9" x14ac:dyDescent="0.2">
      <c r="A6" s="4" t="s">
        <v>55</v>
      </c>
      <c r="B6">
        <v>36</v>
      </c>
      <c r="C6" s="2">
        <f t="shared" si="0"/>
        <v>1295</v>
      </c>
    </row>
    <row r="7" spans="1:9" x14ac:dyDescent="0.2">
      <c r="A7" s="4" t="s">
        <v>56</v>
      </c>
      <c r="B7">
        <v>2</v>
      </c>
      <c r="C7" s="2">
        <f t="shared" si="0"/>
        <v>0</v>
      </c>
      <c r="D7" t="s">
        <v>2</v>
      </c>
    </row>
    <row r="8" spans="1:9" x14ac:dyDescent="0.2">
      <c r="A8" s="4" t="s">
        <v>57</v>
      </c>
      <c r="B8">
        <v>2</v>
      </c>
      <c r="C8" s="2">
        <f t="shared" si="0"/>
        <v>10</v>
      </c>
      <c r="D8" t="s">
        <v>58</v>
      </c>
    </row>
    <row r="9" spans="1:9" x14ac:dyDescent="0.2">
      <c r="A9" s="4" t="s">
        <v>59</v>
      </c>
      <c r="B9">
        <v>16</v>
      </c>
      <c r="C9" s="2">
        <f t="shared" si="0"/>
        <v>255</v>
      </c>
      <c r="D9" t="s">
        <v>60</v>
      </c>
    </row>
    <row r="10" spans="1:9" x14ac:dyDescent="0.2">
      <c r="A10" s="4" t="s">
        <v>61</v>
      </c>
      <c r="B10">
        <v>16</v>
      </c>
      <c r="C10" s="2">
        <f t="shared" si="0"/>
        <v>255</v>
      </c>
    </row>
    <row r="11" spans="1:9" x14ac:dyDescent="0.2">
      <c r="A11" t="str">
        <f>_xlfn.BASE(16,10)</f>
        <v>16</v>
      </c>
      <c r="B11">
        <v>10</v>
      </c>
      <c r="C11" s="2">
        <f t="shared" si="0"/>
        <v>16</v>
      </c>
      <c r="D11" t="s">
        <v>148</v>
      </c>
    </row>
    <row r="12" spans="1:9" x14ac:dyDescent="0.2">
      <c r="A12" t="str">
        <f>_xlfn.BASE(16,8)</f>
        <v>20</v>
      </c>
      <c r="B12">
        <v>8</v>
      </c>
      <c r="C12" s="2">
        <f t="shared" si="0"/>
        <v>16</v>
      </c>
    </row>
    <row r="13" spans="1:9" x14ac:dyDescent="0.2">
      <c r="A13" t="str">
        <f>_xlfn.BASE(16,4)</f>
        <v>100</v>
      </c>
      <c r="B13">
        <v>4</v>
      </c>
      <c r="C13" s="2">
        <f t="shared" si="0"/>
        <v>16</v>
      </c>
    </row>
    <row r="14" spans="1:9" x14ac:dyDescent="0.2">
      <c r="A14" t="str">
        <f>_xlfn.BASE(16,7)</f>
        <v>22</v>
      </c>
      <c r="B14">
        <v>7</v>
      </c>
      <c r="C14" s="2">
        <f t="shared" si="0"/>
        <v>16</v>
      </c>
    </row>
    <row r="15" spans="1:9" x14ac:dyDescent="0.2">
      <c r="A15" t="str">
        <f>_xlfn.BASE(10,16)</f>
        <v>A</v>
      </c>
      <c r="B15">
        <v>16</v>
      </c>
      <c r="C15" s="2">
        <f t="shared" si="0"/>
        <v>10</v>
      </c>
    </row>
    <row r="16" spans="1:9" x14ac:dyDescent="0.2">
      <c r="A16" t="str">
        <f>_xlfn.BASE(12345678,16)</f>
        <v>BC614E</v>
      </c>
      <c r="B16">
        <v>16</v>
      </c>
      <c r="C16" s="2">
        <f t="shared" si="0"/>
        <v>12345678</v>
      </c>
    </row>
    <row r="17" spans="1:4" x14ac:dyDescent="0.2">
      <c r="A17" t="str">
        <f>_xlfn.BASE(12.567,2)</f>
        <v>1100</v>
      </c>
      <c r="B17">
        <v>2</v>
      </c>
      <c r="C17" s="2">
        <f t="shared" si="0"/>
        <v>12</v>
      </c>
    </row>
    <row r="18" spans="1:4" x14ac:dyDescent="0.2">
      <c r="A18" t="e">
        <f>_xlfn.BASE(-123456,16)</f>
        <v>#NUM!</v>
      </c>
      <c r="B18">
        <v>16</v>
      </c>
      <c r="C18" s="2" t="e">
        <f t="shared" si="0"/>
        <v>#NUM!</v>
      </c>
    </row>
    <row r="19" spans="1:4" x14ac:dyDescent="0.2">
      <c r="A19" t="e">
        <f>_xlfn.BASE(-1,2)</f>
        <v>#NUM!</v>
      </c>
      <c r="B19">
        <v>2</v>
      </c>
      <c r="C19" s="2" t="e">
        <f t="shared" si="0"/>
        <v>#NUM!</v>
      </c>
    </row>
    <row r="20" spans="1:4" x14ac:dyDescent="0.2">
      <c r="A20" t="str">
        <f>_xlfn.BASE(123.45678,16)</f>
        <v>7B</v>
      </c>
      <c r="B20">
        <v>16</v>
      </c>
      <c r="C20" s="2">
        <f t="shared" si="0"/>
        <v>123</v>
      </c>
    </row>
    <row r="21" spans="1:4" x14ac:dyDescent="0.2">
      <c r="A21" t="str">
        <f>_xlfn.BASE(1234,2)</f>
        <v>10011010010</v>
      </c>
      <c r="B21">
        <v>2</v>
      </c>
      <c r="C21" s="2">
        <f t="shared" si="0"/>
        <v>1234</v>
      </c>
    </row>
    <row r="22" spans="1:4" x14ac:dyDescent="0.2">
      <c r="A22" t="e">
        <f>_xlfn.BASE(123,1)</f>
        <v>#NUM!</v>
      </c>
      <c r="B22">
        <v>1</v>
      </c>
      <c r="C22" s="2" t="e">
        <f t="shared" si="0"/>
        <v>#NUM!</v>
      </c>
    </row>
    <row r="23" spans="1:4" x14ac:dyDescent="0.2">
      <c r="A23" t="str">
        <f>_xlfn.BASE(20,10.9)</f>
        <v>20</v>
      </c>
      <c r="B23">
        <v>10.9</v>
      </c>
      <c r="C23" s="2">
        <f t="shared" si="0"/>
        <v>20</v>
      </c>
    </row>
    <row r="24" spans="1:4" x14ac:dyDescent="0.2">
      <c r="A24" t="str">
        <f>_xlfn.BASE(20,11)</f>
        <v>19</v>
      </c>
      <c r="B24">
        <v>11</v>
      </c>
      <c r="C24" s="2">
        <f t="shared" si="0"/>
        <v>20</v>
      </c>
    </row>
    <row r="25" spans="1:4" x14ac:dyDescent="0.2">
      <c r="A25" t="str">
        <f>_xlfn.BASE(23,3)</f>
        <v>212</v>
      </c>
      <c r="B25">
        <v>3</v>
      </c>
      <c r="C25" s="2">
        <f t="shared" si="0"/>
        <v>23</v>
      </c>
    </row>
    <row r="26" spans="1:4" x14ac:dyDescent="0.2">
      <c r="A26" t="str">
        <f>_xlfn.BASE(123456789,9)</f>
        <v>277266780</v>
      </c>
      <c r="B26">
        <v>9</v>
      </c>
      <c r="C26" s="2">
        <f t="shared" si="0"/>
        <v>123456789</v>
      </c>
    </row>
    <row r="27" spans="1:4" x14ac:dyDescent="0.2">
      <c r="A27" t="e">
        <f>_xlfn.BASE(123456789,45)</f>
        <v>#NUM!</v>
      </c>
      <c r="B27">
        <v>45</v>
      </c>
      <c r="C27" s="2" t="e">
        <f t="shared" si="0"/>
        <v>#NUM!</v>
      </c>
    </row>
    <row r="28" spans="1:4" x14ac:dyDescent="0.2">
      <c r="A28" t="str">
        <f>_xlfn.BASE(123456789,36)</f>
        <v>21I3V9</v>
      </c>
      <c r="B28">
        <v>36</v>
      </c>
      <c r="C28" s="2">
        <f t="shared" si="0"/>
        <v>123456789</v>
      </c>
    </row>
    <row r="29" spans="1:4" x14ac:dyDescent="0.2">
      <c r="A29" t="e">
        <f>_xlfn.BASE(123456789,37)</f>
        <v>#NUM!</v>
      </c>
      <c r="B29">
        <v>37</v>
      </c>
      <c r="C29" s="2" t="e">
        <f t="shared" si="0"/>
        <v>#NUM!</v>
      </c>
    </row>
    <row r="30" spans="1:4" x14ac:dyDescent="0.2">
      <c r="A30" t="e">
        <f>_xlfn.BASE(40,37)</f>
        <v>#NUM!</v>
      </c>
      <c r="B30">
        <v>37</v>
      </c>
      <c r="C30" s="2" t="e">
        <f t="shared" si="0"/>
        <v>#NUM!</v>
      </c>
    </row>
    <row r="31" spans="1:4" x14ac:dyDescent="0.2">
      <c r="A31" s="4" t="s">
        <v>1</v>
      </c>
      <c r="B31">
        <v>1</v>
      </c>
      <c r="C31" s="2" t="e">
        <f t="shared" si="0"/>
        <v>#NUM!</v>
      </c>
      <c r="D31" t="s">
        <v>20</v>
      </c>
    </row>
    <row r="32" spans="1:4" x14ac:dyDescent="0.2">
      <c r="A32" s="4" t="s">
        <v>33</v>
      </c>
      <c r="B32">
        <v>36</v>
      </c>
      <c r="C32" s="2">
        <f t="shared" si="0"/>
        <v>36</v>
      </c>
      <c r="D32" t="s">
        <v>21</v>
      </c>
    </row>
    <row r="33" spans="1:4" x14ac:dyDescent="0.2">
      <c r="A33" s="4" t="s">
        <v>33</v>
      </c>
      <c r="B33">
        <v>37</v>
      </c>
      <c r="C33" s="2" t="e">
        <f t="shared" si="0"/>
        <v>#NUM!</v>
      </c>
      <c r="D33" t="s">
        <v>22</v>
      </c>
    </row>
    <row r="34" spans="1:4" x14ac:dyDescent="0.2">
      <c r="A34" s="4" t="s">
        <v>33</v>
      </c>
      <c r="B34">
        <v>0</v>
      </c>
      <c r="C34" s="2" t="e">
        <f t="shared" ref="C34:C51" si="1">_xlfn.DECIMAL(A34,B34)</f>
        <v>#NUM!</v>
      </c>
    </row>
    <row r="35" spans="1:4" x14ac:dyDescent="0.2">
      <c r="A35" s="4" t="s">
        <v>33</v>
      </c>
      <c r="B35">
        <v>-2</v>
      </c>
      <c r="C35" s="2" t="e">
        <f t="shared" si="1"/>
        <v>#NUM!</v>
      </c>
    </row>
    <row r="36" spans="1:4" x14ac:dyDescent="0.2">
      <c r="A36" s="4" t="s">
        <v>33</v>
      </c>
      <c r="B36">
        <v>2.9</v>
      </c>
      <c r="C36" s="2">
        <f t="shared" si="1"/>
        <v>2</v>
      </c>
      <c r="D36" t="s">
        <v>23</v>
      </c>
    </row>
    <row r="37" spans="1:4" x14ac:dyDescent="0.2">
      <c r="A37" s="4" t="s">
        <v>33</v>
      </c>
      <c r="B37">
        <v>36.9</v>
      </c>
      <c r="C37" s="2">
        <f t="shared" si="1"/>
        <v>36</v>
      </c>
    </row>
    <row r="38" spans="1:4" x14ac:dyDescent="0.2">
      <c r="A38" s="4" t="s">
        <v>33</v>
      </c>
      <c r="B38">
        <v>1.9</v>
      </c>
      <c r="C38" s="2" t="e">
        <f t="shared" si="1"/>
        <v>#NUM!</v>
      </c>
    </row>
    <row r="39" spans="1:4" x14ac:dyDescent="0.2">
      <c r="A39" s="4" t="s">
        <v>42</v>
      </c>
      <c r="B39">
        <v>16</v>
      </c>
      <c r="C39" s="2">
        <f t="shared" si="1"/>
        <v>481</v>
      </c>
      <c r="D39" t="s">
        <v>63</v>
      </c>
    </row>
    <row r="40" spans="1:4" x14ac:dyDescent="0.2">
      <c r="A40" s="4" t="s">
        <v>64</v>
      </c>
      <c r="B40">
        <v>16</v>
      </c>
      <c r="C40" s="5">
        <f t="shared" si="1"/>
        <v>9007199254740991</v>
      </c>
      <c r="D40" t="s">
        <v>65</v>
      </c>
    </row>
    <row r="41" spans="1:4" x14ac:dyDescent="0.2">
      <c r="A41" s="4" t="s">
        <v>66</v>
      </c>
      <c r="B41">
        <v>16</v>
      </c>
      <c r="C41" s="5">
        <f t="shared" si="1"/>
        <v>9007199254740992</v>
      </c>
      <c r="D41" t="s">
        <v>79</v>
      </c>
    </row>
    <row r="42" spans="1:4" x14ac:dyDescent="0.2">
      <c r="A42" t="str">
        <f>REPT("1",53)</f>
        <v>11111111111111111111111111111111111111111111111111111</v>
      </c>
      <c r="B42">
        <v>2</v>
      </c>
      <c r="C42" s="5">
        <f t="shared" si="1"/>
        <v>9007199254740991</v>
      </c>
      <c r="D42" t="s">
        <v>67</v>
      </c>
    </row>
    <row r="43" spans="1:4" x14ac:dyDescent="0.2">
      <c r="A43" t="str">
        <f>REPT("0",254)&amp;"1"</f>
        <v>000000000000000000000000000000000000000000000000000000000000000000000000000000000000000000000000000000000000000000000000000000000000000000000000000000000000000000000000000000000000000000000000000000000000000000000000000000000000000000000000000000000000001</v>
      </c>
      <c r="B43">
        <v>2</v>
      </c>
      <c r="C43" s="2">
        <f t="shared" si="1"/>
        <v>1</v>
      </c>
      <c r="D43" t="s">
        <v>68</v>
      </c>
    </row>
    <row r="44" spans="1:4" x14ac:dyDescent="0.2">
      <c r="A44" s="4" t="s">
        <v>33</v>
      </c>
      <c r="C44" s="2" t="e">
        <f t="shared" si="1"/>
        <v>#NUM!</v>
      </c>
      <c r="D44" t="s">
        <v>32</v>
      </c>
    </row>
    <row r="45" spans="1:4" x14ac:dyDescent="0.2">
      <c r="A45">
        <v>101</v>
      </c>
      <c r="B45">
        <v>2</v>
      </c>
      <c r="C45" s="2">
        <f t="shared" si="1"/>
        <v>5</v>
      </c>
      <c r="D45" t="s">
        <v>69</v>
      </c>
    </row>
    <row r="46" spans="1:4" x14ac:dyDescent="0.2">
      <c r="A46">
        <f>DATE(2026,1,1)</f>
        <v>46023</v>
      </c>
      <c r="B46">
        <v>10</v>
      </c>
      <c r="C46" s="2">
        <f t="shared" si="1"/>
        <v>46023</v>
      </c>
      <c r="D46" t="s">
        <v>43</v>
      </c>
    </row>
    <row r="47" spans="1:4" x14ac:dyDescent="0.2">
      <c r="A47" t="b">
        <v>1</v>
      </c>
      <c r="B47">
        <v>36</v>
      </c>
      <c r="C47" s="2">
        <f t="shared" si="1"/>
        <v>1389110</v>
      </c>
      <c r="D47" t="s">
        <v>70</v>
      </c>
    </row>
    <row r="48" spans="1:4" x14ac:dyDescent="0.2">
      <c r="A48" t="b">
        <v>0</v>
      </c>
      <c r="B48">
        <v>36</v>
      </c>
      <c r="C48" s="2">
        <f t="shared" si="1"/>
        <v>25689038</v>
      </c>
    </row>
    <row r="49" spans="1:4" x14ac:dyDescent="0.2">
      <c r="A49" s="4" t="s">
        <v>33</v>
      </c>
      <c r="B49" t="b">
        <v>1</v>
      </c>
      <c r="C49" s="2" t="e">
        <f t="shared" si="1"/>
        <v>#NUM!</v>
      </c>
      <c r="D49" t="s">
        <v>36</v>
      </c>
    </row>
    <row r="50" spans="1:4" x14ac:dyDescent="0.2">
      <c r="A50" s="4" t="s">
        <v>33</v>
      </c>
      <c r="B50" s="4" t="s">
        <v>34</v>
      </c>
      <c r="C50" s="2">
        <f t="shared" si="1"/>
        <v>16</v>
      </c>
      <c r="D50" t="s">
        <v>71</v>
      </c>
    </row>
    <row r="51" spans="1:4" x14ac:dyDescent="0.2">
      <c r="A51" s="4" t="s">
        <v>33</v>
      </c>
      <c r="B51" s="4" t="s">
        <v>72</v>
      </c>
      <c r="C51" s="2" t="e">
        <f t="shared" si="1"/>
        <v>#VALUE!</v>
      </c>
      <c r="D51" t="s">
        <v>73</v>
      </c>
    </row>
    <row r="52" spans="1:4" x14ac:dyDescent="0.2">
      <c r="A52" s="4" t="s">
        <v>33</v>
      </c>
      <c r="B52" s="4" t="s">
        <v>74</v>
      </c>
      <c r="C52" s="2">
        <f t="shared" ref="C52:C74" si="2">_xlfn.DECIMAL(A52,B52)</f>
        <v>16</v>
      </c>
      <c r="D52" t="s">
        <v>75</v>
      </c>
    </row>
    <row r="53" spans="1:4" x14ac:dyDescent="0.2">
      <c r="A53" t="e">
        <f>NA()</f>
        <v>#N/A</v>
      </c>
      <c r="B53">
        <v>2</v>
      </c>
      <c r="C53" s="2" t="e">
        <f t="shared" si="2"/>
        <v>#N/A</v>
      </c>
      <c r="D53" t="s">
        <v>76</v>
      </c>
    </row>
    <row r="54" spans="1:4" x14ac:dyDescent="0.2">
      <c r="A54" s="4" t="s">
        <v>33</v>
      </c>
      <c r="B54" t="e">
        <f>1/0</f>
        <v>#DIV/0!</v>
      </c>
      <c r="C54" s="2" t="e">
        <f t="shared" si="2"/>
        <v>#DIV/0!</v>
      </c>
      <c r="D54" t="s">
        <v>44</v>
      </c>
    </row>
    <row r="55" spans="1:4" x14ac:dyDescent="0.2">
      <c r="A55" t="e">
        <f>1/0</f>
        <v>#DIV/0!</v>
      </c>
      <c r="B55" t="e">
        <f>NA()</f>
        <v>#N/A</v>
      </c>
      <c r="C55" s="2" t="e">
        <f t="shared" si="2"/>
        <v>#DIV/0!</v>
      </c>
      <c r="D55" t="s">
        <v>10</v>
      </c>
    </row>
    <row r="56" spans="1:4" x14ac:dyDescent="0.2">
      <c r="A56" s="4" t="s">
        <v>33</v>
      </c>
      <c r="B56">
        <v>9.9999999999999995E-8</v>
      </c>
      <c r="C56" s="2" t="e">
        <f t="shared" si="2"/>
        <v>#NUM!</v>
      </c>
      <c r="D56" t="s">
        <v>87</v>
      </c>
    </row>
    <row r="57" spans="1:4" x14ac:dyDescent="0.2">
      <c r="A57" s="4" t="s">
        <v>33</v>
      </c>
      <c r="B57">
        <v>-9.9999999999999995E-8</v>
      </c>
      <c r="C57" s="2" t="e">
        <f t="shared" si="2"/>
        <v>#NUM!</v>
      </c>
    </row>
    <row r="58" spans="1:4" x14ac:dyDescent="0.2">
      <c r="A58" s="4" t="s">
        <v>33</v>
      </c>
      <c r="B58" s="6">
        <v>1.9999999999</v>
      </c>
      <c r="C58" s="2" t="e">
        <f t="shared" si="2"/>
        <v>#NUM!</v>
      </c>
      <c r="D58" t="s">
        <v>88</v>
      </c>
    </row>
    <row r="59" spans="1:4" x14ac:dyDescent="0.2">
      <c r="A59" s="4" t="s">
        <v>33</v>
      </c>
      <c r="B59" s="6">
        <v>2.0000000001</v>
      </c>
      <c r="C59" s="2">
        <f t="shared" si="2"/>
        <v>2</v>
      </c>
    </row>
    <row r="60" spans="1:4" x14ac:dyDescent="0.2">
      <c r="A60" s="4" t="s">
        <v>33</v>
      </c>
      <c r="B60">
        <v>35.999999899999999</v>
      </c>
      <c r="C60" s="2">
        <f t="shared" si="2"/>
        <v>35</v>
      </c>
      <c r="D60" t="s">
        <v>89</v>
      </c>
    </row>
    <row r="61" spans="1:4" x14ac:dyDescent="0.2">
      <c r="A61" s="4" t="s">
        <v>33</v>
      </c>
      <c r="B61">
        <v>36.000000100000001</v>
      </c>
      <c r="C61" s="2">
        <f t="shared" si="2"/>
        <v>36</v>
      </c>
    </row>
    <row r="62" spans="1:4" x14ac:dyDescent="0.2">
      <c r="A62" s="4" t="s">
        <v>33</v>
      </c>
      <c r="B62">
        <v>1E+16</v>
      </c>
      <c r="C62" s="2" t="e">
        <f t="shared" si="2"/>
        <v>#NUM!</v>
      </c>
      <c r="D62" t="s">
        <v>90</v>
      </c>
    </row>
    <row r="63" spans="1:4" x14ac:dyDescent="0.2">
      <c r="A63" s="4" t="s">
        <v>33</v>
      </c>
      <c r="B63" t="b">
        <v>0</v>
      </c>
      <c r="C63" s="2" t="e">
        <f t="shared" si="2"/>
        <v>#NUM!</v>
      </c>
      <c r="D63" t="s">
        <v>91</v>
      </c>
    </row>
    <row r="64" spans="1:4" x14ac:dyDescent="0.2">
      <c r="A64" s="4" t="s">
        <v>33</v>
      </c>
      <c r="B64" s="4" t="s">
        <v>92</v>
      </c>
      <c r="C64" s="2">
        <f t="shared" si="2"/>
        <v>16</v>
      </c>
      <c r="D64" t="s">
        <v>93</v>
      </c>
    </row>
    <row r="65" spans="1:4" x14ac:dyDescent="0.2">
      <c r="A65" s="4" t="s">
        <v>33</v>
      </c>
      <c r="B65" s="4" t="s">
        <v>94</v>
      </c>
      <c r="C65" s="2">
        <f t="shared" si="2"/>
        <v>16</v>
      </c>
      <c r="D65" t="s">
        <v>95</v>
      </c>
    </row>
    <row r="66" spans="1:4" x14ac:dyDescent="0.2">
      <c r="A66" s="4" t="s">
        <v>33</v>
      </c>
      <c r="B66" s="4" t="s">
        <v>96</v>
      </c>
      <c r="C66" s="2" t="e">
        <f t="shared" si="2"/>
        <v>#NUM!</v>
      </c>
      <c r="D66" t="s">
        <v>97</v>
      </c>
    </row>
    <row r="67" spans="1:4" x14ac:dyDescent="0.2">
      <c r="A67" s="4" t="s">
        <v>33</v>
      </c>
      <c r="B67" s="4" t="s">
        <v>7</v>
      </c>
      <c r="C67" s="2" t="e">
        <f t="shared" si="2"/>
        <v>#VALUE!</v>
      </c>
      <c r="D67" t="s">
        <v>98</v>
      </c>
    </row>
    <row r="68" spans="1:4" x14ac:dyDescent="0.2">
      <c r="A68" s="4" t="s">
        <v>33</v>
      </c>
      <c r="B68" t="str">
        <f>""</f>
        <v/>
      </c>
      <c r="C68" s="2" t="e">
        <f t="shared" si="2"/>
        <v>#VALUE!</v>
      </c>
      <c r="D68" t="s">
        <v>99</v>
      </c>
    </row>
    <row r="69" spans="1:4" x14ac:dyDescent="0.2">
      <c r="A69" s="4" t="s">
        <v>33</v>
      </c>
      <c r="B69" s="7">
        <f>DATE(1910,1,16)</f>
        <v>3669</v>
      </c>
      <c r="C69" s="2" t="e">
        <f t="shared" si="2"/>
        <v>#NUM!</v>
      </c>
      <c r="D69" t="s">
        <v>100</v>
      </c>
    </row>
    <row r="70" spans="1:4" x14ac:dyDescent="0.2">
      <c r="A70" s="4" t="s">
        <v>122</v>
      </c>
      <c r="B70">
        <v>35</v>
      </c>
      <c r="C70" s="2">
        <f t="shared" si="2"/>
        <v>34</v>
      </c>
      <c r="D70" t="s">
        <v>123</v>
      </c>
    </row>
    <row r="71" spans="1:4" x14ac:dyDescent="0.2">
      <c r="A71" s="4" t="s">
        <v>33</v>
      </c>
      <c r="B71" t="e">
        <f>NA()</f>
        <v>#N/A</v>
      </c>
      <c r="C71" s="2" t="e">
        <f t="shared" si="2"/>
        <v>#N/A</v>
      </c>
      <c r="D71" t="s">
        <v>101</v>
      </c>
    </row>
    <row r="72" spans="1:4" x14ac:dyDescent="0.2">
      <c r="A72" s="4" t="s">
        <v>33</v>
      </c>
      <c r="B72" t="e">
        <f>SQRT(-1)</f>
        <v>#NUM!</v>
      </c>
      <c r="C72" s="2" t="e">
        <f t="shared" si="2"/>
        <v>#NUM!</v>
      </c>
      <c r="D72" t="s">
        <v>102</v>
      </c>
    </row>
    <row r="73" spans="1:4" x14ac:dyDescent="0.2">
      <c r="A73" s="4" t="s">
        <v>62</v>
      </c>
      <c r="B73" s="4" t="s">
        <v>72</v>
      </c>
      <c r="C73" s="2" t="e">
        <f t="shared" si="2"/>
        <v>#VALUE!</v>
      </c>
      <c r="D73" t="s">
        <v>124</v>
      </c>
    </row>
    <row r="74" spans="1:4" x14ac:dyDescent="0.2">
      <c r="A74" s="4" t="s">
        <v>62</v>
      </c>
      <c r="B74">
        <v>37</v>
      </c>
      <c r="C74" s="2" t="e">
        <f t="shared" si="2"/>
        <v>#NUM!</v>
      </c>
      <c r="D74" t="s">
        <v>125</v>
      </c>
    </row>
    <row r="75" spans="1:4" x14ac:dyDescent="0.2">
      <c r="C75" s="2" t="e">
        <f>_xlfn.DECIMAL("FF",TRUE)</f>
        <v>#NUM!</v>
      </c>
      <c r="D75" t="s">
        <v>126</v>
      </c>
    </row>
    <row r="76" spans="1:4" x14ac:dyDescent="0.2">
      <c r="C76" s="2">
        <f>_xlfn.DECIMAL("FF","1.6E1")</f>
        <v>255</v>
      </c>
      <c r="D76" t="s">
        <v>127</v>
      </c>
    </row>
    <row r="77" spans="1:4" x14ac:dyDescent="0.2">
      <c r="C77" s="2">
        <f>_xlfn.DECIMAL(TRUE,36)</f>
        <v>1389110</v>
      </c>
      <c r="D77" t="s">
        <v>8</v>
      </c>
    </row>
    <row r="78" spans="1:4" x14ac:dyDescent="0.2">
      <c r="C78" s="2">
        <f>_xlfn.DECIMAL(101,2)</f>
        <v>5</v>
      </c>
      <c r="D78" t="s">
        <v>77</v>
      </c>
    </row>
    <row r="79" spans="1:4" x14ac:dyDescent="0.2">
      <c r="C79" s="2">
        <f>_xlfn.DECIMAL("FF","16")</f>
        <v>255</v>
      </c>
      <c r="D79" t="s">
        <v>78</v>
      </c>
    </row>
    <row r="80" spans="1:4" x14ac:dyDescent="0.2">
      <c r="C80" s="2" t="e">
        <f>_xlfn.DECIMAL("FF",H83:H86)</f>
        <v>#VALUE!</v>
      </c>
      <c r="D80" t="s">
        <v>11</v>
      </c>
    </row>
    <row r="81" spans="3:8" x14ac:dyDescent="0.2">
      <c r="C81" s="2" t="e">
        <f>_xlfn.DECIMAL(G81:H81,16)</f>
        <v>#VALUE!</v>
      </c>
      <c r="D81" t="s">
        <v>12</v>
      </c>
      <c r="G81" s="4" t="s">
        <v>52</v>
      </c>
      <c r="H81">
        <v>16</v>
      </c>
    </row>
    <row r="82" spans="3:8" x14ac:dyDescent="0.2">
      <c r="C82" s="2" t="e">
        <f>_xlfn.DECIMAL(G83:H86,16)</f>
        <v>#VALUE!</v>
      </c>
      <c r="D82" t="s">
        <v>13</v>
      </c>
    </row>
    <row r="83" spans="3:8" x14ac:dyDescent="0.2">
      <c r="C83" s="2">
        <f>_xlfn.DECIMAL(G83:G86,2)</f>
        <v>10</v>
      </c>
      <c r="D83" t="s">
        <v>80</v>
      </c>
      <c r="G83" s="4" t="s">
        <v>51</v>
      </c>
      <c r="H83">
        <v>2</v>
      </c>
    </row>
    <row r="84" spans="3:8" x14ac:dyDescent="0.2">
      <c r="C84" s="2">
        <f>_xlfn.DECIMAL("FF",H83:H86)</f>
        <v>255</v>
      </c>
      <c r="D84" t="s">
        <v>81</v>
      </c>
      <c r="G84" s="4" t="s">
        <v>52</v>
      </c>
      <c r="H84">
        <v>16</v>
      </c>
    </row>
    <row r="85" spans="3:8" x14ac:dyDescent="0.2">
      <c r="C85" s="2">
        <f>_xlfn.DECIMAL(G83:G86,H83:H86)</f>
        <v>511</v>
      </c>
      <c r="D85" t="s">
        <v>86</v>
      </c>
      <c r="G85" s="4" t="s">
        <v>53</v>
      </c>
      <c r="H85">
        <v>8</v>
      </c>
    </row>
    <row r="86" spans="3:8" x14ac:dyDescent="0.2">
      <c r="C86" s="2">
        <f>_xlfn.DECIMAL(G83:G86,H83:H86)</f>
        <v>35</v>
      </c>
      <c r="D86" t="s">
        <v>86</v>
      </c>
      <c r="G86" s="4" t="s">
        <v>54</v>
      </c>
      <c r="H86">
        <v>36</v>
      </c>
    </row>
    <row r="87" spans="3:8" x14ac:dyDescent="0.2">
      <c r="C87" s="2" t="e">
        <f>_xlfn.DECIMAL(G83:G86,16)</f>
        <v>#VALUE!</v>
      </c>
      <c r="D87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06E5-843F-9F4D-9697-FFF9F07D35DB}">
  <dimension ref="A1:D8"/>
  <sheetViews>
    <sheetView tabSelected="1" workbookViewId="0">
      <selection activeCell="F8" sqref="F8"/>
    </sheetView>
  </sheetViews>
  <sheetFormatPr baseColWidth="10" defaultRowHeight="15" x14ac:dyDescent="0.2"/>
  <sheetData>
    <row r="1" spans="1:4" ht="16" x14ac:dyDescent="0.2">
      <c r="A1" s="3" t="s">
        <v>49</v>
      </c>
      <c r="B1" s="3" t="s">
        <v>15</v>
      </c>
      <c r="C1" s="3" t="s">
        <v>50</v>
      </c>
      <c r="D1" s="3" t="s">
        <v>3</v>
      </c>
    </row>
    <row r="2" spans="1:4" x14ac:dyDescent="0.2">
      <c r="A2">
        <v>10</v>
      </c>
      <c r="B2">
        <v>2</v>
      </c>
      <c r="C2" s="2">
        <f>_xlfn.DECIMAL(A2,B2)</f>
        <v>2</v>
      </c>
      <c r="D2" t="s">
        <v>149</v>
      </c>
    </row>
    <row r="3" spans="1:4" x14ac:dyDescent="0.2">
      <c r="A3" t="str">
        <f>" 10"</f>
        <v xml:space="preserve"> 10</v>
      </c>
      <c r="B3">
        <v>2</v>
      </c>
      <c r="C3" s="2">
        <f t="shared" ref="C3:C8" si="0">_xlfn.DECIMAL(A3,B3)</f>
        <v>2</v>
      </c>
    </row>
    <row r="4" spans="1:4" x14ac:dyDescent="0.2">
      <c r="A4" t="str">
        <f>" 10  "</f>
        <v xml:space="preserve"> 10  </v>
      </c>
      <c r="B4">
        <v>2</v>
      </c>
      <c r="C4" s="2" t="e">
        <f t="shared" si="0"/>
        <v>#NUM!</v>
      </c>
      <c r="D4" t="s">
        <v>150</v>
      </c>
    </row>
    <row r="5" spans="1:4" x14ac:dyDescent="0.2">
      <c r="A5" t="str">
        <f>"    10"</f>
        <v xml:space="preserve">    10</v>
      </c>
      <c r="B5">
        <v>2</v>
      </c>
      <c r="C5" s="2">
        <f t="shared" si="0"/>
        <v>2</v>
      </c>
      <c r="D5" t="s">
        <v>151</v>
      </c>
    </row>
    <row r="6" spans="1:4" x14ac:dyDescent="0.2">
      <c r="A6">
        <v>10</v>
      </c>
      <c r="B6" t="str">
        <f>"   2"</f>
        <v xml:space="preserve">   2</v>
      </c>
      <c r="C6" s="2">
        <f t="shared" si="0"/>
        <v>2</v>
      </c>
    </row>
    <row r="7" spans="1:4" x14ac:dyDescent="0.2">
      <c r="A7">
        <v>10</v>
      </c>
      <c r="B7" t="str">
        <f>"2   "</f>
        <v xml:space="preserve">2   </v>
      </c>
      <c r="C7" s="8">
        <f t="shared" si="0"/>
        <v>2</v>
      </c>
    </row>
    <row r="8" spans="1:4" x14ac:dyDescent="0.2">
      <c r="A8">
        <v>10</v>
      </c>
      <c r="B8" t="str">
        <f>"   2  "</f>
        <v xml:space="preserve">   2  </v>
      </c>
      <c r="C8" s="8">
        <f t="shared" si="0"/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B0045-236A-FF4A-932D-C2D317D357FD}">
  <dimension ref="A1:F3"/>
  <sheetViews>
    <sheetView workbookViewId="0">
      <selection activeCell="B2" sqref="B2"/>
    </sheetView>
  </sheetViews>
  <sheetFormatPr baseColWidth="10" defaultRowHeight="15" x14ac:dyDescent="0.2"/>
  <cols>
    <col min="4" max="4" width="19.33203125" bestFit="1" customWidth="1"/>
    <col min="5" max="5" width="29.83203125" bestFit="1" customWidth="1"/>
  </cols>
  <sheetData>
    <row r="1" spans="1:6" ht="16" x14ac:dyDescent="0.2">
      <c r="A1" s="3" t="s">
        <v>0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3</v>
      </c>
    </row>
    <row r="2" spans="1:6" x14ac:dyDescent="0.2">
      <c r="A2">
        <v>-9.9999999999999995E-8</v>
      </c>
      <c r="B2">
        <v>2</v>
      </c>
      <c r="D2" s="2" t="e">
        <f>_xlfn.BASE(A2,B2)</f>
        <v>#NUM!</v>
      </c>
      <c r="E2" s="2" t="e">
        <f>_xlfn.BASE(A2,B2,C2)</f>
        <v>#NUM!</v>
      </c>
    </row>
    <row r="3" spans="1:6" x14ac:dyDescent="0.2">
      <c r="A3">
        <v>-0.5</v>
      </c>
      <c r="B3">
        <v>2</v>
      </c>
      <c r="D3" s="2" t="e">
        <f>_xlfn.BASE(A3,B3)</f>
        <v>#NUM!</v>
      </c>
      <c r="E3" s="2" t="e">
        <f>_xlfn.BASE(A3,B3,C3)</f>
        <v>#NUM!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A525F-13FE-9B47-829A-38EA2CA55E9A}">
  <dimension ref="A1:F3"/>
  <sheetViews>
    <sheetView workbookViewId="0">
      <selection activeCell="D2" sqref="D2"/>
    </sheetView>
  </sheetViews>
  <sheetFormatPr baseColWidth="10" defaultRowHeight="15" x14ac:dyDescent="0.2"/>
  <cols>
    <col min="4" max="4" width="19.33203125" bestFit="1" customWidth="1"/>
    <col min="5" max="5" width="29.83203125" bestFit="1" customWidth="1"/>
    <col min="6" max="6" width="33.6640625" bestFit="1" customWidth="1"/>
  </cols>
  <sheetData>
    <row r="1" spans="1:6" ht="16" x14ac:dyDescent="0.2">
      <c r="A1" s="3" t="s">
        <v>0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3</v>
      </c>
    </row>
    <row r="2" spans="1:6" x14ac:dyDescent="0.2">
      <c r="A2">
        <v>5</v>
      </c>
      <c r="B2">
        <v>2</v>
      </c>
      <c r="C2">
        <v>256</v>
      </c>
      <c r="D2" s="2" t="str">
        <f>_xlfn.BASE(A2,B2)</f>
        <v>101</v>
      </c>
      <c r="E2" s="2" t="e">
        <f>_xlfn.BASE(A2,B2,C2)</f>
        <v>#NUM!</v>
      </c>
      <c r="F2" t="s">
        <v>152</v>
      </c>
    </row>
    <row r="3" spans="1:6" x14ac:dyDescent="0.2">
      <c r="A3">
        <v>5</v>
      </c>
      <c r="B3">
        <v>2</v>
      </c>
      <c r="C3">
        <f>DATE(1910,1,8)</f>
        <v>3661</v>
      </c>
      <c r="D3" s="2" t="str">
        <f>_xlfn.BASE(A3,B3)</f>
        <v>101</v>
      </c>
      <c r="E3" s="2" t="e">
        <f>_xlfn.BASE(A3,B3,C3)</f>
        <v>#NUM!</v>
      </c>
      <c r="F3" t="s">
        <v>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87FF4-D7E9-3D46-A705-BFB0082C693A}">
  <dimension ref="A1:D4"/>
  <sheetViews>
    <sheetView workbookViewId="0">
      <selection activeCell="D11" sqref="D11"/>
    </sheetView>
  </sheetViews>
  <sheetFormatPr baseColWidth="10" defaultRowHeight="15" x14ac:dyDescent="0.2"/>
  <cols>
    <col min="4" max="4" width="19" bestFit="1" customWidth="1"/>
  </cols>
  <sheetData>
    <row r="1" spans="1:4" ht="16" x14ac:dyDescent="0.2">
      <c r="A1" s="3" t="s">
        <v>49</v>
      </c>
      <c r="B1" s="3" t="s">
        <v>15</v>
      </c>
      <c r="C1" s="3" t="s">
        <v>50</v>
      </c>
      <c r="D1" s="3" t="s">
        <v>3</v>
      </c>
    </row>
    <row r="2" spans="1:4" x14ac:dyDescent="0.2">
      <c r="A2" t="str">
        <f>""</f>
        <v/>
      </c>
      <c r="B2">
        <v>2</v>
      </c>
      <c r="C2" s="2">
        <f>_xlfn.DECIMAL(A2,B2)</f>
        <v>0</v>
      </c>
      <c r="D2" t="s">
        <v>154</v>
      </c>
    </row>
    <row r="3" spans="1:4" x14ac:dyDescent="0.2">
      <c r="B3">
        <v>2</v>
      </c>
      <c r="C3" s="2">
        <f>_xlfn.DECIMAL(A3,B3)</f>
        <v>0</v>
      </c>
      <c r="D3" t="s">
        <v>155</v>
      </c>
    </row>
    <row r="4" spans="1:4" x14ac:dyDescent="0.2">
      <c r="A4" t="str">
        <f>".  "</f>
        <v xml:space="preserve">.  </v>
      </c>
      <c r="B4">
        <v>2</v>
      </c>
      <c r="C4" s="2" t="e">
        <f>_xlfn.DECIMAL(A4,B4)</f>
        <v>#NUM!</v>
      </c>
      <c r="D4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</vt:lpstr>
      <vt:lpstr>DECIMAL</vt:lpstr>
      <vt:lpstr>issue_1618</vt:lpstr>
      <vt:lpstr>issue_1611</vt:lpstr>
      <vt:lpstr>issue_1613</vt:lpstr>
      <vt:lpstr>issue_1617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2026-10-29T11:04:06Z</dcterms:modified>
</cp:coreProperties>
</file>