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hatcher/IronCalc/IronCalc/xlsx/tests/calc_tests/MATH_AND_TRIGONOMETRY/"/>
    </mc:Choice>
  </mc:AlternateContent>
  <xr:revisionPtr revIDLastSave="0" documentId="13_ncr:1_{8F4E9DD3-2804-ED40-8D01-6830943D7EDA}" xr6:coauthVersionLast="47" xr6:coauthVersionMax="47" xr10:uidLastSave="{00000000-0000-0000-0000-000000000000}"/>
  <bookViews>
    <workbookView xWindow="0" yWindow="620" windowWidth="28800" windowHeight="15760" xr2:uid="{6BFBCA2C-01E4-5748-B4DE-6FD9FDAF548E}"/>
  </bookViews>
  <sheets>
    <sheet name="Sheet1" sheetId="1" r:id="rId1"/>
    <sheet name="range_as_number" sheetId="2" r:id="rId2"/>
    <sheet name="range_as_power" sheetId="3" r:id="rId3"/>
    <sheet name="both_arguments_are_ranges" sheetId="4" r:id="rId4"/>
    <sheet name="errors_are_per_element" sheetId="5" r:id="rId5"/>
    <sheet name="array_inside_other_functions" sheetId="6" r:id="rId6"/>
    <sheet name="implicit_intersection" sheetId="7" r:id="rId7"/>
    <sheet name="inside_a_lambda" sheetId="8" r:id="rId8"/>
  </sheets>
  <definedNames>
    <definedName name="gelu">_xlfn.LAMBDA(_xlpm.x, 0.5*_xlpm.x*(1 + TANH(SQRT(2/PI()) * (_xlpm.x + 0.044715 * POWER(_xlpm.x,3)))))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1" l="1"/>
  <c r="G4" i="1"/>
  <c r="G7" i="1"/>
  <c r="G8" i="1"/>
  <c r="G2" i="1"/>
  <c r="D3" i="1"/>
  <c r="A5" i="6" a="1"/>
  <c r="A5" i="6" s="1"/>
  <c r="A3" i="8" a="1"/>
  <c r="A3" i="8" s="1"/>
  <c r="A4" i="8" a="1"/>
  <c r="A4" i="8" s="1"/>
  <c r="C2" i="7" a="1"/>
  <c r="C2" i="7" s="1"/>
  <c r="A3" i="6" a="1"/>
  <c r="A3" i="6" s="1"/>
  <c r="A4" i="6" a="1"/>
  <c r="A4" i="6" s="1"/>
  <c r="D1" i="5"/>
  <c r="A3" i="5" s="1" a="1"/>
  <c r="A3" i="5" s="1"/>
  <c r="E3" i="4" a="1"/>
  <c r="E3" i="4" s="1"/>
  <c r="E1" i="4" a="1"/>
  <c r="E1" i="4" s="1"/>
  <c r="C1" i="3" a="1"/>
  <c r="C1" i="3" s="1"/>
  <c r="A3" i="2" a="1"/>
  <c r="A3" i="2" s="1"/>
  <c r="D7" i="1"/>
  <c r="D1" i="1"/>
  <c r="D2" i="1"/>
  <c r="D4" i="1"/>
  <c r="A1" i="1"/>
  <c r="A2" i="1"/>
  <c r="A3" i="1"/>
  <c r="A4" i="1"/>
  <c r="A5" i="1"/>
  <c r="A6" i="1"/>
  <c r="A7" i="1"/>
  <c r="A4" i="5" l="1" a="1"/>
  <c r="A4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<sst xmlns="http://schemas.openxmlformats.org/spreadsheetml/2006/main" count="3" uniqueCount="3">
  <si>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text</t>
  </si>
  <si>
    <t xml:space="preserve">base </t>
  </si>
  <si>
    <t>exponent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</si>
</sst>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6A6FCB7-A680-BF4A-8308-B6F0CE78A87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f068923-b745-4182-b173-249c723f027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119EB-51D6-9D4D-A6F5-2B596828EE50}">
  <dimension ref="A1:G9"/>
  <sheetViews>
    <sheetView tabSelected="1" workbookViewId="0">
      <selection activeCell="F9" sqref="F9"/>
    </sheetView>
  </sheetViews>
  <sheetFormatPr baseColWidth="10" defaultRowHeight="16" x14ac:dyDescent="0.2"/>
  <sheetData>
    <row r="1" spans="1:7" x14ac:dyDescent="0.2">
      <c r="A1">
        <f>POWER(2, 3)</f>
        <v>8</v>
      </c>
      <c r="D1" t="e">
        <f>POWER(0, 0)</f>
        <v>#NUM!</v>
      </c>
      <c r="F1" t="s">
        <v>1</v>
      </c>
      <c r="G1" t="s">
        <v>2</v>
      </c>
    </row>
    <row r="2" spans="1:7" x14ac:dyDescent="0.2">
      <c r="A2">
        <f>POWER(4, 0.5)</f>
        <v>2</v>
      </c>
      <c r="D2" t="e">
        <f>POWER(0, -1)</f>
        <v>#DIV/0!</v>
      </c>
      <c r="F2">
        <v>-8</v>
      </c>
      <c r="G2">
        <f>-1/3</f>
        <v>-0.33333333333333331</v>
      </c>
    </row>
    <row r="3" spans="1:7" x14ac:dyDescent="0.2">
      <c r="A3">
        <f>POWER(5, 0)</f>
        <v>1</v>
      </c>
      <c r="D3">
        <f>POWER(-8, 1/3)</f>
        <v>-1.9999999999999998</v>
      </c>
      <c r="F3">
        <v>-32</v>
      </c>
      <c r="G3">
        <v>-2</v>
      </c>
    </row>
    <row r="4" spans="1:7" x14ac:dyDescent="0.2">
      <c r="A4">
        <f>POWER(2, -1)</f>
        <v>0.5</v>
      </c>
      <c r="D4" t="e">
        <f>POWER("a", 2)</f>
        <v>#VALUE!</v>
      </c>
      <c r="F4">
        <v>-2</v>
      </c>
      <c r="G4">
        <f>1/49</f>
        <v>2.0408163265306121E-2</v>
      </c>
    </row>
    <row r="5" spans="1:7" x14ac:dyDescent="0.2">
      <c r="A5">
        <f>POWER(-2, 3)</f>
        <v>-8</v>
      </c>
      <c r="D5" s="1"/>
      <c r="F5">
        <v>-8</v>
      </c>
      <c r="G5">
        <v>0.33333333333333298</v>
      </c>
    </row>
    <row r="6" spans="1:7" x14ac:dyDescent="0.2">
      <c r="A6">
        <f>POWER("3", TRUE)</f>
        <v>3</v>
      </c>
      <c r="D6" s="1"/>
      <c r="F6">
        <v>-8</v>
      </c>
      <c r="G6">
        <v>0.33333000000000002</v>
      </c>
    </row>
    <row r="7" spans="1:7" x14ac:dyDescent="0.2">
      <c r="A7">
        <f>POWER(B7, 2)</f>
        <v>0</v>
      </c>
      <c r="D7" t="e">
        <f>POWER(1/0, 2)</f>
        <v>#DIV/0!</v>
      </c>
      <c r="F7">
        <v>-8</v>
      </c>
      <c r="G7">
        <f>5/3</f>
        <v>1.6666666666666667</v>
      </c>
    </row>
    <row r="8" spans="1:7" x14ac:dyDescent="0.2">
      <c r="F8">
        <v>-8</v>
      </c>
      <c r="G8">
        <f>1/2</f>
        <v>0.5</v>
      </c>
    </row>
    <row r="9" spans="1:7" x14ac:dyDescent="0.2">
      <c r="F9">
        <f>(-8)^(1/3)</f>
        <v>-1.9999999999999998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85A17-AF10-0248-82E8-5726AE6FE7A5}">
  <dimension ref="A1:C3"/>
  <sheetViews>
    <sheetView workbookViewId="0"/>
  </sheetViews>
  <sheetFormatPr baseColWidth="10" defaultRowHeight="16" x14ac:dyDescent="0.2"/>
  <sheetData>
    <row r="1" spans="1:3" x14ac:dyDescent="0.2">
      <c r="A1">
        <v>1</v>
      </c>
      <c r="B1">
        <v>2</v>
      </c>
      <c r="C1">
        <v>3</v>
      </c>
    </row>
    <row r="3" spans="1:3" x14ac:dyDescent="0.2">
      <c r="A3" cm="1">
        <f t="array" ref="A3:C3">POWER(A1:C1, 3)</f>
        <v>1</v>
      </c>
      <c r="B3">
        <v>8</v>
      </c>
      <c r="C3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7C91-7413-8D48-8E62-990B5A1FFDBF}">
  <dimension ref="A1:C3"/>
  <sheetViews>
    <sheetView workbookViewId="0"/>
  </sheetViews>
  <sheetFormatPr baseColWidth="10" defaultRowHeight="16" x14ac:dyDescent="0.2"/>
  <sheetData>
    <row r="1" spans="1:3" x14ac:dyDescent="0.2">
      <c r="A1">
        <v>1</v>
      </c>
      <c r="C1" cm="1">
        <f t="array" ref="C1:C3">POWER(2, A1:A3)</f>
        <v>2</v>
      </c>
    </row>
    <row r="2" spans="1:3" x14ac:dyDescent="0.2">
      <c r="A2">
        <v>2</v>
      </c>
      <c r="C2">
        <v>4</v>
      </c>
    </row>
    <row r="3" spans="1:3" x14ac:dyDescent="0.2">
      <c r="A3">
        <v>3</v>
      </c>
      <c r="C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67705-0FA2-334B-B58A-2F0E36B26EDD}">
  <dimension ref="A1:G4"/>
  <sheetViews>
    <sheetView workbookViewId="0"/>
  </sheetViews>
  <sheetFormatPr baseColWidth="10" defaultRowHeight="16" x14ac:dyDescent="0.2"/>
  <sheetData>
    <row r="1" spans="1:7" x14ac:dyDescent="0.2">
      <c r="A1">
        <v>1</v>
      </c>
      <c r="B1">
        <v>2</v>
      </c>
      <c r="C1">
        <v>3</v>
      </c>
      <c r="E1" cm="1">
        <f t="array" ref="E1:G1">POWER(A1:C1, A1:C1)</f>
        <v>1</v>
      </c>
      <c r="F1">
        <v>4</v>
      </c>
      <c r="G1">
        <v>27</v>
      </c>
    </row>
    <row r="2" spans="1:7" x14ac:dyDescent="0.2">
      <c r="A2">
        <v>2</v>
      </c>
    </row>
    <row r="3" spans="1:7" x14ac:dyDescent="0.2">
      <c r="A3">
        <v>3</v>
      </c>
      <c r="E3" cm="1">
        <f t="array" ref="E3:G4">POWER(A1:C1, A2:A3)</f>
        <v>1</v>
      </c>
      <c r="F3">
        <v>4</v>
      </c>
      <c r="G3">
        <v>9</v>
      </c>
    </row>
    <row r="4" spans="1:7" x14ac:dyDescent="0.2">
      <c r="E4">
        <v>1</v>
      </c>
      <c r="F4">
        <v>8</v>
      </c>
      <c r="G4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4294-3B27-E84B-BC03-D195ECE4AA6B}">
  <dimension ref="A1:D4"/>
  <sheetViews>
    <sheetView workbookViewId="0">
      <selection activeCell="A3" sqref="A3"/>
    </sheetView>
  </sheetViews>
  <sheetFormatPr baseColWidth="10" defaultRowHeight="16" x14ac:dyDescent="0.2"/>
  <sheetData>
    <row r="1" spans="1:4" x14ac:dyDescent="0.2">
      <c r="A1">
        <v>0</v>
      </c>
      <c r="B1">
        <v>2</v>
      </c>
      <c r="C1" t="s">
        <v>0</v>
      </c>
      <c r="D1" t="e">
        <f>1/0</f>
        <v>#DIV/0!</v>
      </c>
    </row>
    <row r="3" spans="1:4" x14ac:dyDescent="0.2">
      <c r="A3" t="e" cm="1">
        <f t="array" ref="A3:D3">POWER(A1:D1, 0)</f>
        <v>#NUM!</v>
      </c>
      <c r="B3">
        <v>1</v>
      </c>
      <c r="C3" t="e">
        <v>#VALUE!</v>
      </c>
      <c r="D3" t="e">
        <v>#DIV/0!</v>
      </c>
    </row>
    <row r="4" spans="1:4" x14ac:dyDescent="0.2">
      <c r="A4" t="e" cm="1">
        <f t="array" ref="A4:D4">POWER(A1:D1, -1)</f>
        <v>#DIV/0!</v>
      </c>
      <c r="B4">
        <v>0.5</v>
      </c>
      <c r="C4" t="e">
        <v>#VALUE!</v>
      </c>
      <c r="D4" t="e">
        <v>#DIV/0!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0C76-2916-9D49-9B6F-C0CAF7F084A4}">
  <dimension ref="A1:C5"/>
  <sheetViews>
    <sheetView workbookViewId="0"/>
  </sheetViews>
  <sheetFormatPr baseColWidth="10" defaultRowHeight="16" x14ac:dyDescent="0.2"/>
  <sheetData>
    <row r="1" spans="1:3" x14ac:dyDescent="0.2">
      <c r="A1">
        <v>1</v>
      </c>
      <c r="B1">
        <v>2</v>
      </c>
      <c r="C1">
        <v>3</v>
      </c>
    </row>
    <row r="3" spans="1:3" x14ac:dyDescent="0.2">
      <c r="A3" cm="1">
        <f t="array" ref="A3">SUM(POWER(A1:C1, 2))</f>
        <v>14</v>
      </c>
    </row>
    <row r="4" spans="1:3" x14ac:dyDescent="0.2">
      <c r="A4" cm="1">
        <f t="array" ref="A4">SUM(POWER({1,2,3;4,5,6}, 2))</f>
        <v>91</v>
      </c>
    </row>
    <row r="5" spans="1:3" x14ac:dyDescent="0.2">
      <c r="A5" cm="1">
        <f t="array" ref="A5">SUM(POWER(_xlfn.SEQUENCE(4), 2))</f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F6178-5420-134F-99B7-3A7E4D0C3C18}">
  <dimension ref="A1:C3"/>
  <sheetViews>
    <sheetView workbookViewId="0"/>
  </sheetViews>
  <sheetFormatPr baseColWidth="10" defaultRowHeight="16" x14ac:dyDescent="0.2"/>
  <sheetData>
    <row r="1" spans="1:3" x14ac:dyDescent="0.2">
      <c r="A1">
        <v>1</v>
      </c>
    </row>
    <row r="2" spans="1:3" x14ac:dyDescent="0.2">
      <c r="A2">
        <v>2</v>
      </c>
      <c r="C2" cm="1">
        <f t="array" ref="C2">POWER(_xlfn.SINGLE(A1:A3), 3)</f>
        <v>8</v>
      </c>
    </row>
    <row r="3" spans="1:3" x14ac:dyDescent="0.2">
      <c r="A3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AF67-B24F-4F48-B934-D1AC390B171C}">
  <dimension ref="A1:C4"/>
  <sheetViews>
    <sheetView workbookViewId="0">
      <selection activeCell="A4" sqref="A4"/>
    </sheetView>
  </sheetViews>
  <sheetFormatPr baseColWidth="10" defaultRowHeight="16" x14ac:dyDescent="0.2"/>
  <sheetData>
    <row r="1" spans="1:3" x14ac:dyDescent="0.2">
      <c r="A1">
        <v>1</v>
      </c>
      <c r="B1">
        <v>-1</v>
      </c>
      <c r="C1">
        <v>0.5</v>
      </c>
    </row>
    <row r="3" spans="1:3" x14ac:dyDescent="0.2">
      <c r="A3" cm="1">
        <f t="array" ref="A3:C3">gelu(A1:C1)</f>
        <v>0.84119199060827676</v>
      </c>
      <c r="B3">
        <v>-0.15880800939172324</v>
      </c>
      <c r="C3">
        <v>0.34571400982514389</v>
      </c>
    </row>
    <row r="4" spans="1:3" x14ac:dyDescent="0.2">
      <c r="A4" cm="1">
        <f t="array" aca="1" ref="A4:C4" ca="1">gelu(OFFSET(A1,0,0,1,3))</f>
        <v>0.84119199060827676</v>
      </c>
      <c r="B4">
        <f ca="1"/>
        <v>-0.15880800939172324</v>
      </c>
      <c r="C4">
        <f ca="1"/>
        <v>0.34571400982514389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range_as_number</vt:lpstr>
      <vt:lpstr>range_as_power</vt:lpstr>
      <vt:lpstr>both_arguments_are_ranges</vt:lpstr>
      <vt:lpstr>errors_are_per_element</vt:lpstr>
      <vt:lpstr>array_inside_other_functions</vt:lpstr>
      <vt:lpstr>implicit_intersection</vt:lpstr>
      <vt:lpstr>inside_a_lambda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Hatcher</dc:creator>
  <cp:lastModifiedBy>Nicolas Hatcher</cp:lastModifiedBy>
  <dcterms:created xsi:type="dcterms:W3CDTF">2026-10-02T12:26:05Z</dcterms:created>
  <dcterms:modified xsi:type="dcterms:W3CDTF">2026-10-02T13:24:21Z</dcterms:modified>
</cp:coreProperties>
</file>