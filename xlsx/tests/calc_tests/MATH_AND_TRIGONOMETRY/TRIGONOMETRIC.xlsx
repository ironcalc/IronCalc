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7894C87D-E032-44C0-AA5F-F73E0B8A2FC8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IN_COS_TAN" sheetId="10" r:id="rId1"/>
    <sheet name="ASIN_ACOS_ATAN" sheetId="11" r:id="rId2"/>
    <sheet name="SINH_COSH_TANH" sheetId="12" r:id="rId3"/>
    <sheet name="ASINH_ACOSH_ATANH" sheetId="13" r:id="rId4"/>
    <sheet name="COT_CSC_SEC" sheetId="7" r:id="rId5"/>
    <sheet name="COTH_CSCH_SECH" sheetId="8" r:id="rId6"/>
    <sheet name="ACOT_ACOTH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C2" i="9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A24" i="9"/>
  <c r="A25" i="9"/>
  <c r="A27" i="9"/>
  <c r="A28" i="9"/>
  <c r="A30" i="9"/>
  <c r="A31" i="9"/>
  <c r="A32" i="9" a="1"/>
  <c r="A33" i="9"/>
  <c r="A34" i="9"/>
  <c r="A35" i="9"/>
  <c r="A36" i="9"/>
  <c r="A37" i="9"/>
  <c r="A38" i="9"/>
  <c r="A39" i="9"/>
  <c r="A40" i="9"/>
  <c r="A42" i="9"/>
  <c r="A43" i="9"/>
  <c r="A45" i="9"/>
  <c r="A46" i="9"/>
  <c r="A47" i="9"/>
  <c r="A48" i="9"/>
  <c r="A49" i="9"/>
  <c r="A50" i="9"/>
  <c r="A51" i="9"/>
  <c r="A52" i="9"/>
  <c r="B2" i="8"/>
  <c r="C2" i="8"/>
  <c r="D2" i="8"/>
  <c r="B3" i="8"/>
  <c r="C3" i="8"/>
  <c r="D3" i="8"/>
  <c r="B4" i="8"/>
  <c r="C4" i="8"/>
  <c r="D4" i="8"/>
  <c r="B5" i="8"/>
  <c r="C5" i="8"/>
  <c r="D5" i="8"/>
  <c r="B6" i="8"/>
  <c r="C6" i="8"/>
  <c r="D6" i="8"/>
  <c r="B7" i="8"/>
  <c r="C7" i="8"/>
  <c r="D7" i="8"/>
  <c r="B8" i="8"/>
  <c r="C8" i="8"/>
  <c r="D8" i="8"/>
  <c r="B9" i="8"/>
  <c r="C9" i="8"/>
  <c r="D9" i="8"/>
  <c r="B10" i="8"/>
  <c r="C10" i="8"/>
  <c r="D10" i="8"/>
  <c r="B11" i="8"/>
  <c r="C11" i="8"/>
  <c r="D11" i="8"/>
  <c r="B12" i="8"/>
  <c r="C12" i="8"/>
  <c r="D12" i="8"/>
  <c r="B13" i="8"/>
  <c r="C13" i="8"/>
  <c r="D13" i="8"/>
  <c r="B14" i="8"/>
  <c r="C14" i="8"/>
  <c r="D14" i="8"/>
  <c r="B15" i="8"/>
  <c r="C15" i="8"/>
  <c r="D15" i="8"/>
  <c r="B16" i="8"/>
  <c r="C16" i="8"/>
  <c r="D16" i="8"/>
  <c r="B17" i="8"/>
  <c r="C17" i="8"/>
  <c r="D17" i="8"/>
  <c r="B18" i="8"/>
  <c r="C18" i="8"/>
  <c r="D18" i="8"/>
  <c r="B19" i="8"/>
  <c r="C19" i="8"/>
  <c r="D19" i="8"/>
  <c r="B20" i="8"/>
  <c r="C20" i="8"/>
  <c r="D20" i="8"/>
  <c r="B21" i="8"/>
  <c r="C21" i="8"/>
  <c r="D21" i="8"/>
  <c r="B22" i="8"/>
  <c r="C22" i="8"/>
  <c r="D22" i="8"/>
  <c r="B23" i="8"/>
  <c r="C23" i="8"/>
  <c r="D23" i="8"/>
  <c r="B24" i="8"/>
  <c r="C24" i="8"/>
  <c r="D24" i="8"/>
  <c r="B25" i="8"/>
  <c r="C25" i="8"/>
  <c r="D25" i="8"/>
  <c r="B26" i="8"/>
  <c r="C26" i="8"/>
  <c r="D26" i="8"/>
  <c r="B27" i="8"/>
  <c r="C27" i="8"/>
  <c r="D27" i="8"/>
  <c r="B28" i="8"/>
  <c r="C28" i="8"/>
  <c r="D28" i="8"/>
  <c r="B29" i="8"/>
  <c r="C29" i="8"/>
  <c r="D29" i="8"/>
  <c r="B30" i="8"/>
  <c r="C30" i="8"/>
  <c r="D30" i="8"/>
  <c r="B31" i="8"/>
  <c r="C31" i="8"/>
  <c r="D31" i="8"/>
  <c r="B32" i="8"/>
  <c r="C32" i="8"/>
  <c r="D32" i="8"/>
  <c r="B33" i="8"/>
  <c r="C33" i="8"/>
  <c r="D33" i="8"/>
  <c r="B34" i="8"/>
  <c r="C34" i="8"/>
  <c r="D34" i="8"/>
  <c r="B35" i="8"/>
  <c r="C35" i="8"/>
  <c r="D35" i="8"/>
  <c r="B36" i="8"/>
  <c r="C36" i="8"/>
  <c r="D36" i="8"/>
  <c r="B37" i="8"/>
  <c r="C37" i="8"/>
  <c r="D37" i="8"/>
  <c r="B38" i="8"/>
  <c r="C38" i="8"/>
  <c r="D38" i="8"/>
  <c r="B39" i="8"/>
  <c r="C39" i="8"/>
  <c r="D39" i="8"/>
  <c r="B40" i="8"/>
  <c r="C40" i="8"/>
  <c r="D40" i="8"/>
  <c r="B41" i="8"/>
  <c r="C41" i="8"/>
  <c r="D41" i="8"/>
  <c r="B42" i="8"/>
  <c r="C42" i="8"/>
  <c r="D42" i="8"/>
  <c r="B43" i="8"/>
  <c r="C43" i="8"/>
  <c r="D43" i="8"/>
  <c r="B44" i="8"/>
  <c r="C44" i="8"/>
  <c r="D44" i="8"/>
  <c r="B45" i="8"/>
  <c r="C45" i="8"/>
  <c r="D45" i="8"/>
  <c r="B46" i="8"/>
  <c r="C46" i="8"/>
  <c r="D46" i="8"/>
  <c r="B47" i="8"/>
  <c r="C47" i="8"/>
  <c r="D47" i="8"/>
  <c r="B48" i="8"/>
  <c r="C48" i="8"/>
  <c r="D48" i="8"/>
  <c r="B49" i="8"/>
  <c r="C49" i="8"/>
  <c r="D49" i="8"/>
  <c r="B50" i="8"/>
  <c r="C50" i="8"/>
  <c r="D50" i="8"/>
  <c r="B51" i="8"/>
  <c r="C51" i="8"/>
  <c r="D51" i="8"/>
  <c r="B52" i="8"/>
  <c r="C52" i="8"/>
  <c r="D52" i="8"/>
  <c r="B53" i="8"/>
  <c r="C53" i="8"/>
  <c r="D53" i="8"/>
  <c r="B54" i="8"/>
  <c r="C54" i="8"/>
  <c r="D54" i="8"/>
  <c r="B55" i="8"/>
  <c r="C55" i="8"/>
  <c r="D55" i="8"/>
  <c r="A24" i="8"/>
  <c r="A25" i="8"/>
  <c r="A27" i="8"/>
  <c r="A28" i="8"/>
  <c r="A30" i="8"/>
  <c r="A31" i="8"/>
  <c r="A32" i="8" a="1"/>
  <c r="A33" i="8"/>
  <c r="A34" i="8"/>
  <c r="A35" i="8"/>
  <c r="A36" i="8"/>
  <c r="A37" i="8"/>
  <c r="A38" i="8"/>
  <c r="A39" i="8"/>
  <c r="A40" i="8"/>
  <c r="A42" i="8"/>
  <c r="A43" i="8"/>
  <c r="A45" i="8"/>
  <c r="A46" i="8"/>
  <c r="A47" i="8"/>
  <c r="A48" i="8"/>
  <c r="A49" i="8"/>
  <c r="A50" i="8"/>
  <c r="A51" i="8"/>
  <c r="A52" i="8"/>
  <c r="B2" i="7"/>
  <c r="C2" i="7"/>
  <c r="D2" i="7"/>
  <c r="B3" i="7"/>
  <c r="C3" i="7"/>
  <c r="D3" i="7"/>
  <c r="B4" i="7"/>
  <c r="C4" i="7"/>
  <c r="D4" i="7"/>
  <c r="B5" i="7"/>
  <c r="C5" i="7"/>
  <c r="D5" i="7"/>
  <c r="B6" i="7"/>
  <c r="C6" i="7"/>
  <c r="D6" i="7"/>
  <c r="B7" i="7"/>
  <c r="C7" i="7"/>
  <c r="D7" i="7"/>
  <c r="B8" i="7"/>
  <c r="C8" i="7"/>
  <c r="D8" i="7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B17" i="7"/>
  <c r="C17" i="7"/>
  <c r="D17" i="7"/>
  <c r="B18" i="7"/>
  <c r="C18" i="7"/>
  <c r="D18" i="7"/>
  <c r="B19" i="7"/>
  <c r="C19" i="7"/>
  <c r="D19" i="7"/>
  <c r="B20" i="7"/>
  <c r="C20" i="7"/>
  <c r="D20" i="7"/>
  <c r="B21" i="7"/>
  <c r="C21" i="7"/>
  <c r="D21" i="7"/>
  <c r="B22" i="7"/>
  <c r="C22" i="7"/>
  <c r="D22" i="7"/>
  <c r="B23" i="7"/>
  <c r="C23" i="7"/>
  <c r="D23" i="7"/>
  <c r="B26" i="7"/>
  <c r="C26" i="7"/>
  <c r="D26" i="7"/>
  <c r="B29" i="7"/>
  <c r="C29" i="7"/>
  <c r="D29" i="7"/>
  <c r="B41" i="7"/>
  <c r="C41" i="7"/>
  <c r="D41" i="7"/>
  <c r="B44" i="7"/>
  <c r="C44" i="7"/>
  <c r="D44" i="7"/>
  <c r="A24" i="7"/>
  <c r="A25" i="7"/>
  <c r="A27" i="7"/>
  <c r="A28" i="7"/>
  <c r="A30" i="7"/>
  <c r="A31" i="7"/>
  <c r="A32" i="7" a="1"/>
  <c r="A33" i="7"/>
  <c r="A34" i="7"/>
  <c r="A35" i="7"/>
  <c r="A36" i="7"/>
  <c r="A37" i="7"/>
  <c r="A38" i="7"/>
  <c r="A39" i="7"/>
  <c r="A40" i="7"/>
  <c r="A42" i="7"/>
  <c r="A43" i="7"/>
  <c r="A45" i="7"/>
  <c r="A46" i="7"/>
  <c r="A47" i="7"/>
  <c r="A48" i="7"/>
  <c r="A49" i="7"/>
  <c r="B2" i="12"/>
  <c r="C2" i="12"/>
  <c r="D2" i="12"/>
  <c r="B3" i="12"/>
  <c r="C3" i="12"/>
  <c r="D3" i="12"/>
  <c r="B4" i="12"/>
  <c r="C4" i="12"/>
  <c r="D4" i="12"/>
  <c r="B5" i="12"/>
  <c r="C5" i="12"/>
  <c r="D5" i="12"/>
  <c r="B6" i="12"/>
  <c r="C6" i="12"/>
  <c r="D6" i="12"/>
  <c r="B7" i="12"/>
  <c r="C7" i="12"/>
  <c r="D7" i="12"/>
  <c r="B8" i="12"/>
  <c r="C8" i="12"/>
  <c r="D8" i="12"/>
  <c r="B9" i="12"/>
  <c r="C9" i="12"/>
  <c r="D9" i="12"/>
  <c r="B10" i="12"/>
  <c r="C10" i="12"/>
  <c r="D10" i="12"/>
  <c r="B11" i="12"/>
  <c r="C11" i="12"/>
  <c r="D11" i="12"/>
  <c r="B12" i="12"/>
  <c r="C12" i="12"/>
  <c r="D12" i="12"/>
  <c r="B13" i="12"/>
  <c r="C13" i="12"/>
  <c r="D13" i="12"/>
  <c r="B14" i="12"/>
  <c r="C14" i="12"/>
  <c r="D14" i="12"/>
  <c r="B15" i="12"/>
  <c r="C15" i="12"/>
  <c r="D15" i="12"/>
  <c r="B16" i="12"/>
  <c r="C16" i="12"/>
  <c r="D16" i="12"/>
  <c r="B17" i="12"/>
  <c r="C17" i="12"/>
  <c r="D17" i="12"/>
  <c r="B18" i="12"/>
  <c r="C18" i="12"/>
  <c r="D18" i="12"/>
  <c r="B19" i="12"/>
  <c r="C19" i="12"/>
  <c r="D19" i="12"/>
  <c r="B20" i="12"/>
  <c r="C20" i="12"/>
  <c r="D20" i="12"/>
  <c r="B21" i="12"/>
  <c r="C21" i="12"/>
  <c r="D21" i="12"/>
  <c r="B22" i="12"/>
  <c r="C22" i="12"/>
  <c r="D22" i="12"/>
  <c r="B23" i="12"/>
  <c r="C23" i="12"/>
  <c r="D23" i="12"/>
  <c r="B24" i="12"/>
  <c r="C24" i="12"/>
  <c r="D24" i="12"/>
  <c r="B25" i="12"/>
  <c r="C25" i="12"/>
  <c r="D25" i="12"/>
  <c r="B26" i="12"/>
  <c r="C26" i="12"/>
  <c r="D26" i="12"/>
  <c r="B27" i="12"/>
  <c r="C27" i="12"/>
  <c r="D27" i="12"/>
  <c r="B28" i="12"/>
  <c r="C28" i="12"/>
  <c r="D28" i="12"/>
  <c r="B29" i="12"/>
  <c r="C29" i="12"/>
  <c r="D29" i="12"/>
  <c r="B30" i="12"/>
  <c r="C30" i="12"/>
  <c r="D30" i="12"/>
  <c r="B31" i="12"/>
  <c r="C31" i="12"/>
  <c r="D31" i="12"/>
  <c r="B32" i="12"/>
  <c r="C32" i="12"/>
  <c r="D32" i="12"/>
  <c r="B33" i="12"/>
  <c r="C33" i="12"/>
  <c r="D33" i="12"/>
  <c r="B34" i="12"/>
  <c r="C34" i="12"/>
  <c r="D34" i="12"/>
  <c r="B35" i="12"/>
  <c r="C35" i="12"/>
  <c r="D35" i="12"/>
  <c r="B36" i="12"/>
  <c r="C36" i="12"/>
  <c r="D36" i="12"/>
  <c r="B37" i="12"/>
  <c r="C37" i="12"/>
  <c r="D37" i="12"/>
  <c r="B38" i="12"/>
  <c r="C38" i="12"/>
  <c r="D38" i="12"/>
  <c r="B39" i="12"/>
  <c r="C39" i="12"/>
  <c r="D39" i="12"/>
  <c r="B40" i="12"/>
  <c r="C40" i="12"/>
  <c r="D40" i="12"/>
  <c r="B41" i="12"/>
  <c r="C41" i="12"/>
  <c r="D41" i="12"/>
  <c r="B42" i="12"/>
  <c r="C42" i="12"/>
  <c r="D42" i="12"/>
  <c r="B43" i="12"/>
  <c r="C43" i="12"/>
  <c r="D43" i="12"/>
  <c r="B44" i="12"/>
  <c r="C44" i="12"/>
  <c r="D44" i="12"/>
  <c r="B45" i="12"/>
  <c r="C45" i="12"/>
  <c r="D45" i="12"/>
  <c r="B46" i="12"/>
  <c r="C46" i="12"/>
  <c r="D46" i="12"/>
  <c r="B47" i="12"/>
  <c r="C47" i="12"/>
  <c r="D47" i="12"/>
  <c r="B48" i="12"/>
  <c r="C48" i="12"/>
  <c r="D48" i="12"/>
  <c r="B49" i="12"/>
  <c r="C49" i="12"/>
  <c r="D49" i="12"/>
  <c r="B50" i="12"/>
  <c r="C50" i="12"/>
  <c r="D50" i="12"/>
  <c r="B51" i="12"/>
  <c r="C51" i="12"/>
  <c r="D51" i="12"/>
  <c r="B52" i="12"/>
  <c r="C52" i="12"/>
  <c r="D52" i="12"/>
  <c r="A24" i="12"/>
  <c r="A25" i="12"/>
  <c r="A27" i="12"/>
  <c r="A28" i="12"/>
  <c r="A30" i="12"/>
  <c r="A31" i="12"/>
  <c r="A32" i="12" a="1"/>
  <c r="A33" i="12"/>
  <c r="A34" i="12"/>
  <c r="A35" i="12"/>
  <c r="A36" i="12"/>
  <c r="A37" i="12"/>
  <c r="A38" i="12"/>
  <c r="A39" i="12"/>
  <c r="A40" i="12"/>
  <c r="A42" i="12"/>
  <c r="A43" i="12"/>
  <c r="A45" i="12"/>
  <c r="A46" i="12"/>
  <c r="A47" i="12"/>
  <c r="A48" i="12"/>
  <c r="A49" i="12"/>
  <c r="A50" i="12"/>
  <c r="A51" i="12"/>
  <c r="A52" i="12"/>
  <c r="B2" i="11"/>
  <c r="C2" i="11"/>
  <c r="D2" i="11"/>
  <c r="B3" i="11"/>
  <c r="C3" i="11"/>
  <c r="D3" i="11"/>
  <c r="B4" i="11"/>
  <c r="C4" i="11"/>
  <c r="D4" i="11"/>
  <c r="B5" i="11"/>
  <c r="C5" i="11"/>
  <c r="D5" i="11"/>
  <c r="B6" i="11"/>
  <c r="C6" i="11"/>
  <c r="D6" i="11"/>
  <c r="B7" i="11"/>
  <c r="C7" i="11"/>
  <c r="D7" i="11"/>
  <c r="B8" i="11"/>
  <c r="C8" i="11"/>
  <c r="D8" i="11"/>
  <c r="B9" i="11"/>
  <c r="C9" i="11"/>
  <c r="D9" i="11"/>
  <c r="B10" i="11"/>
  <c r="C10" i="11"/>
  <c r="D10" i="11"/>
  <c r="B11" i="11"/>
  <c r="C11" i="11"/>
  <c r="D11" i="11"/>
  <c r="B12" i="11"/>
  <c r="C12" i="11"/>
  <c r="D12" i="11"/>
  <c r="B13" i="11"/>
  <c r="C13" i="11"/>
  <c r="D13" i="11"/>
  <c r="B14" i="11"/>
  <c r="C14" i="11"/>
  <c r="D14" i="11"/>
  <c r="B15" i="11"/>
  <c r="C15" i="11"/>
  <c r="D15" i="11"/>
  <c r="B16" i="11"/>
  <c r="C16" i="11"/>
  <c r="D16" i="11"/>
  <c r="B17" i="11"/>
  <c r="C17" i="11"/>
  <c r="D17" i="11"/>
  <c r="B18" i="11"/>
  <c r="C18" i="11"/>
  <c r="D18" i="11"/>
  <c r="B19" i="11"/>
  <c r="C19" i="11"/>
  <c r="D19" i="11"/>
  <c r="B20" i="11"/>
  <c r="C20" i="11"/>
  <c r="D20" i="11"/>
  <c r="B21" i="11"/>
  <c r="C21" i="11"/>
  <c r="D21" i="11"/>
  <c r="B22" i="11"/>
  <c r="C22" i="11"/>
  <c r="D22" i="11"/>
  <c r="B23" i="11"/>
  <c r="C23" i="11"/>
  <c r="D23" i="11"/>
  <c r="B24" i="11"/>
  <c r="C24" i="11"/>
  <c r="D24" i="11"/>
  <c r="B25" i="11"/>
  <c r="C25" i="11"/>
  <c r="D25" i="11"/>
  <c r="B26" i="11"/>
  <c r="C26" i="11"/>
  <c r="D26" i="11"/>
  <c r="B27" i="11"/>
  <c r="C27" i="11"/>
  <c r="D27" i="11"/>
  <c r="B28" i="11"/>
  <c r="C28" i="11"/>
  <c r="D28" i="11"/>
  <c r="B29" i="11"/>
  <c r="C29" i="11"/>
  <c r="D29" i="11"/>
  <c r="B30" i="11"/>
  <c r="C30" i="11"/>
  <c r="D30" i="11"/>
  <c r="B31" i="11"/>
  <c r="C31" i="11"/>
  <c r="D31" i="11"/>
  <c r="B32" i="11"/>
  <c r="C32" i="11"/>
  <c r="D32" i="11"/>
  <c r="B33" i="11"/>
  <c r="C33" i="11"/>
  <c r="D33" i="11"/>
  <c r="B34" i="11"/>
  <c r="C34" i="11"/>
  <c r="D34" i="11"/>
  <c r="B35" i="11"/>
  <c r="C35" i="11"/>
  <c r="D35" i="11"/>
  <c r="B36" i="11"/>
  <c r="C36" i="11"/>
  <c r="D36" i="11"/>
  <c r="B37" i="11"/>
  <c r="C37" i="11"/>
  <c r="D37" i="11"/>
  <c r="B38" i="11"/>
  <c r="C38" i="11"/>
  <c r="D38" i="11"/>
  <c r="B39" i="11"/>
  <c r="C39" i="11"/>
  <c r="D39" i="11"/>
  <c r="B40" i="11"/>
  <c r="C40" i="11"/>
  <c r="D40" i="11"/>
  <c r="B41" i="11"/>
  <c r="C41" i="11"/>
  <c r="D41" i="11"/>
  <c r="B42" i="11"/>
  <c r="C42" i="11"/>
  <c r="D42" i="11"/>
  <c r="B43" i="11"/>
  <c r="C43" i="11"/>
  <c r="D43" i="11"/>
  <c r="B44" i="11"/>
  <c r="C44" i="11"/>
  <c r="D44" i="11"/>
  <c r="B45" i="11"/>
  <c r="C45" i="11"/>
  <c r="D45" i="11"/>
  <c r="B46" i="11"/>
  <c r="C46" i="11"/>
  <c r="D46" i="11"/>
  <c r="B47" i="11"/>
  <c r="C47" i="11"/>
  <c r="D47" i="11"/>
  <c r="B48" i="11"/>
  <c r="C48" i="11"/>
  <c r="D48" i="11"/>
  <c r="B49" i="11"/>
  <c r="C49" i="11"/>
  <c r="D49" i="11"/>
  <c r="B50" i="11"/>
  <c r="C50" i="11"/>
  <c r="D50" i="11"/>
  <c r="B51" i="11"/>
  <c r="C51" i="11"/>
  <c r="D51" i="11"/>
  <c r="B52" i="11"/>
  <c r="C52" i="11"/>
  <c r="D52" i="11"/>
  <c r="A24" i="11"/>
  <c r="A25" i="11"/>
  <c r="A27" i="11"/>
  <c r="A28" i="11"/>
  <c r="A30" i="11"/>
  <c r="A31" i="11"/>
  <c r="A32" i="11" a="1"/>
  <c r="A33" i="11"/>
  <c r="A34" i="11"/>
  <c r="A35" i="11"/>
  <c r="A36" i="11"/>
  <c r="A37" i="11"/>
  <c r="A38" i="11"/>
  <c r="A39" i="11"/>
  <c r="A40" i="11"/>
  <c r="A42" i="11"/>
  <c r="A43" i="11"/>
  <c r="A45" i="11"/>
  <c r="A46" i="11"/>
  <c r="A47" i="11"/>
  <c r="A48" i="11"/>
  <c r="A49" i="11"/>
  <c r="A50" i="11"/>
  <c r="A51" i="11"/>
  <c r="A52" i="11"/>
  <c r="B2" i="10"/>
  <c r="C2" i="10"/>
  <c r="D2" i="10"/>
  <c r="B3" i="10"/>
  <c r="C3" i="10"/>
  <c r="D3" i="10"/>
  <c r="B4" i="10"/>
  <c r="C4" i="10"/>
  <c r="D4" i="10"/>
  <c r="B5" i="10"/>
  <c r="C5" i="10"/>
  <c r="D5" i="10"/>
  <c r="B6" i="10"/>
  <c r="C6" i="10"/>
  <c r="D6" i="10"/>
  <c r="B7" i="10"/>
  <c r="C7" i="10"/>
  <c r="D7" i="10"/>
  <c r="B8" i="10"/>
  <c r="C8" i="10"/>
  <c r="D8" i="10"/>
  <c r="B9" i="10"/>
  <c r="C9" i="10"/>
  <c r="D9" i="10"/>
  <c r="B10" i="10"/>
  <c r="C10" i="10"/>
  <c r="D10" i="10"/>
  <c r="B11" i="10"/>
  <c r="C11" i="10"/>
  <c r="D11" i="10"/>
  <c r="B12" i="10"/>
  <c r="C12" i="10"/>
  <c r="D12" i="10"/>
  <c r="B13" i="10"/>
  <c r="C13" i="10"/>
  <c r="D13" i="10"/>
  <c r="B14" i="10"/>
  <c r="C14" i="10"/>
  <c r="D14" i="10"/>
  <c r="B15" i="10"/>
  <c r="C15" i="10"/>
  <c r="D15" i="10"/>
  <c r="B16" i="10"/>
  <c r="C16" i="10"/>
  <c r="D16" i="10"/>
  <c r="B17" i="10"/>
  <c r="C17" i="10"/>
  <c r="D17" i="10"/>
  <c r="B18" i="10"/>
  <c r="C18" i="10"/>
  <c r="D18" i="10"/>
  <c r="B19" i="10"/>
  <c r="C19" i="10"/>
  <c r="D19" i="10"/>
  <c r="B20" i="10"/>
  <c r="C20" i="10"/>
  <c r="D20" i="10"/>
  <c r="B21" i="10"/>
  <c r="C21" i="10"/>
  <c r="D21" i="10"/>
  <c r="B22" i="10"/>
  <c r="C22" i="10"/>
  <c r="D22" i="10"/>
  <c r="B23" i="10"/>
  <c r="C23" i="10"/>
  <c r="D23" i="10"/>
  <c r="B24" i="10"/>
  <c r="C24" i="10"/>
  <c r="D24" i="10"/>
  <c r="B25" i="10"/>
  <c r="C25" i="10"/>
  <c r="D25" i="10"/>
  <c r="B26" i="10"/>
  <c r="C26" i="10"/>
  <c r="D26" i="10"/>
  <c r="B27" i="10"/>
  <c r="C27" i="10"/>
  <c r="D27" i="10"/>
  <c r="B28" i="10"/>
  <c r="C28" i="10"/>
  <c r="D28" i="10"/>
  <c r="B29" i="10"/>
  <c r="C29" i="10"/>
  <c r="D29" i="10"/>
  <c r="B30" i="10"/>
  <c r="C30" i="10"/>
  <c r="D30" i="10"/>
  <c r="B31" i="10"/>
  <c r="C31" i="10"/>
  <c r="D31" i="10"/>
  <c r="B32" i="10"/>
  <c r="C32" i="10"/>
  <c r="D32" i="10"/>
  <c r="B33" i="10"/>
  <c r="C33" i="10"/>
  <c r="D33" i="10"/>
  <c r="B34" i="10"/>
  <c r="C34" i="10"/>
  <c r="D34" i="10"/>
  <c r="B35" i="10"/>
  <c r="C35" i="10"/>
  <c r="D35" i="10"/>
  <c r="B36" i="10"/>
  <c r="C36" i="10"/>
  <c r="D36" i="10"/>
  <c r="B37" i="10"/>
  <c r="C37" i="10"/>
  <c r="D37" i="10"/>
  <c r="B38" i="10"/>
  <c r="C38" i="10"/>
  <c r="D38" i="10"/>
  <c r="B39" i="10"/>
  <c r="C39" i="10"/>
  <c r="D39" i="10"/>
  <c r="B40" i="10"/>
  <c r="C40" i="10"/>
  <c r="D40" i="10"/>
  <c r="B41" i="10"/>
  <c r="C41" i="10"/>
  <c r="D41" i="10"/>
  <c r="B42" i="10"/>
  <c r="C42" i="10"/>
  <c r="D42" i="10"/>
  <c r="B43" i="10"/>
  <c r="C43" i="10"/>
  <c r="D43" i="10"/>
  <c r="B44" i="10"/>
  <c r="C44" i="10"/>
  <c r="D44" i="10"/>
  <c r="B45" i="10"/>
  <c r="C45" i="10"/>
  <c r="D45" i="10"/>
  <c r="B46" i="10"/>
  <c r="C46" i="10"/>
  <c r="D46" i="10"/>
  <c r="B47" i="10"/>
  <c r="C47" i="10"/>
  <c r="D47" i="10"/>
  <c r="B48" i="10"/>
  <c r="C48" i="10"/>
  <c r="D48" i="10"/>
  <c r="B49" i="10"/>
  <c r="C49" i="10"/>
  <c r="B50" i="10"/>
  <c r="C50" i="10"/>
  <c r="D50" i="10"/>
  <c r="B51" i="10"/>
  <c r="C51" i="10"/>
  <c r="D51" i="10"/>
  <c r="B52" i="10"/>
  <c r="C52" i="10"/>
  <c r="D52" i="10"/>
  <c r="A24" i="10"/>
  <c r="A25" i="10"/>
  <c r="A27" i="10"/>
  <c r="A28" i="10"/>
  <c r="A30" i="10"/>
  <c r="A31" i="10"/>
  <c r="A32" i="10" a="1"/>
  <c r="A33" i="10"/>
  <c r="A34" i="10"/>
  <c r="A35" i="10"/>
  <c r="A36" i="10"/>
  <c r="A37" i="10"/>
  <c r="A38" i="10"/>
  <c r="A39" i="10"/>
  <c r="A40" i="10"/>
  <c r="A42" i="10"/>
  <c r="A43" i="10"/>
  <c r="A45" i="10"/>
  <c r="A46" i="10"/>
  <c r="A47" i="10"/>
  <c r="A48" i="10"/>
  <c r="A49" i="10"/>
  <c r="A50" i="10"/>
  <c r="A51" i="10"/>
  <c r="A52" i="10"/>
  <c r="B5" i="13"/>
  <c r="C5" i="13"/>
  <c r="D5" i="13"/>
  <c r="B3" i="13"/>
  <c r="C3" i="13"/>
  <c r="D3" i="13"/>
  <c r="B4" i="13"/>
  <c r="C4" i="13"/>
  <c r="D4" i="13"/>
  <c r="B6" i="13"/>
  <c r="C6" i="13"/>
  <c r="D6" i="13"/>
  <c r="B7" i="13"/>
  <c r="C7" i="13"/>
  <c r="D7" i="13"/>
  <c r="B8" i="13"/>
  <c r="C8" i="13"/>
  <c r="D8" i="13"/>
  <c r="B9" i="13"/>
  <c r="C9" i="13"/>
  <c r="D9" i="13"/>
  <c r="B10" i="13"/>
  <c r="C10" i="13"/>
  <c r="D10" i="13"/>
  <c r="B11" i="13"/>
  <c r="C11" i="13"/>
  <c r="D11" i="13"/>
  <c r="B12" i="13"/>
  <c r="C12" i="13"/>
  <c r="D12" i="13"/>
  <c r="B13" i="13"/>
  <c r="C13" i="13"/>
  <c r="D13" i="13"/>
  <c r="B14" i="13"/>
  <c r="C14" i="13"/>
  <c r="D14" i="13"/>
  <c r="B15" i="13"/>
  <c r="C15" i="13"/>
  <c r="D15" i="13"/>
  <c r="B16" i="13"/>
  <c r="C16" i="13"/>
  <c r="D16" i="13"/>
  <c r="B17" i="13"/>
  <c r="C17" i="13"/>
  <c r="D17" i="13"/>
  <c r="B2" i="13"/>
  <c r="C2" i="13"/>
  <c r="D2" i="13"/>
  <c r="B18" i="13"/>
  <c r="C18" i="13"/>
  <c r="D18" i="13"/>
  <c r="B19" i="13"/>
  <c r="C19" i="13"/>
  <c r="D19" i="13"/>
  <c r="B20" i="13"/>
  <c r="C20" i="13"/>
  <c r="D20" i="13"/>
  <c r="B21" i="13"/>
  <c r="C21" i="13"/>
  <c r="D21" i="13"/>
  <c r="B22" i="13"/>
  <c r="C22" i="13"/>
  <c r="D22" i="13"/>
  <c r="B23" i="13"/>
  <c r="C23" i="13"/>
  <c r="D23" i="13"/>
  <c r="B26" i="13"/>
  <c r="C26" i="13"/>
  <c r="D26" i="13"/>
  <c r="B29" i="13"/>
  <c r="C29" i="13"/>
  <c r="D29" i="13"/>
  <c r="B41" i="13"/>
  <c r="C41" i="13"/>
  <c r="D41" i="13"/>
  <c r="B44" i="13"/>
  <c r="C44" i="13"/>
  <c r="D44" i="13"/>
  <c r="A52" i="13"/>
  <c r="A51" i="13"/>
  <c r="A50" i="13"/>
  <c r="A49" i="13"/>
  <c r="A48" i="13"/>
  <c r="A47" i="13"/>
  <c r="A46" i="13"/>
  <c r="A45" i="13"/>
  <c r="A43" i="13"/>
  <c r="A42" i="13"/>
  <c r="A40" i="13"/>
  <c r="A39" i="13"/>
  <c r="A38" i="13"/>
  <c r="A37" i="13"/>
  <c r="A36" i="13"/>
  <c r="A35" i="13"/>
  <c r="A34" i="13"/>
  <c r="A33" i="13"/>
  <c r="A32" i="13" a="1"/>
  <c r="A31" i="13"/>
  <c r="A30" i="13"/>
  <c r="A28" i="13"/>
  <c r="A27" i="13"/>
  <c r="A25" i="13"/>
  <c r="A24" i="13"/>
  <c r="B24" i="7" l="1"/>
  <c r="C24" i="7"/>
  <c r="D24" i="7"/>
  <c r="B25" i="7"/>
  <c r="C25" i="7"/>
  <c r="D25" i="7"/>
  <c r="C27" i="7"/>
  <c r="B27" i="7"/>
  <c r="D27" i="7"/>
  <c r="B28" i="7"/>
  <c r="C28" i="7"/>
  <c r="D28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D35" i="7"/>
  <c r="B35" i="7"/>
  <c r="C35" i="7"/>
  <c r="D36" i="7"/>
  <c r="B36" i="7"/>
  <c r="C36" i="7"/>
  <c r="B37" i="7"/>
  <c r="C37" i="7"/>
  <c r="D37" i="7"/>
  <c r="B38" i="7"/>
  <c r="C38" i="7"/>
  <c r="D38" i="7"/>
  <c r="B39" i="7"/>
  <c r="C39" i="7"/>
  <c r="D39" i="7"/>
  <c r="B40" i="7"/>
  <c r="C40" i="7"/>
  <c r="D40" i="7"/>
  <c r="B42" i="7"/>
  <c r="C42" i="7"/>
  <c r="D42" i="7"/>
  <c r="B43" i="7"/>
  <c r="C43" i="7"/>
  <c r="D43" i="7"/>
  <c r="B45" i="7"/>
  <c r="C45" i="7"/>
  <c r="D45" i="7"/>
  <c r="B46" i="7"/>
  <c r="C46" i="7"/>
  <c r="D46" i="7"/>
  <c r="B47" i="7"/>
  <c r="C47" i="7"/>
  <c r="D47" i="7"/>
  <c r="B48" i="7"/>
  <c r="C48" i="7"/>
  <c r="D48" i="7"/>
  <c r="D49" i="7"/>
  <c r="B49" i="7"/>
  <c r="C49" i="7"/>
  <c r="D52" i="13"/>
  <c r="B52" i="13"/>
  <c r="C52" i="13"/>
  <c r="D51" i="13"/>
  <c r="C51" i="13"/>
  <c r="B51" i="13"/>
  <c r="D50" i="13"/>
  <c r="C50" i="13"/>
  <c r="B50" i="13"/>
  <c r="B49" i="13"/>
  <c r="D49" i="13"/>
  <c r="C49" i="13"/>
  <c r="B48" i="13"/>
  <c r="D48" i="13"/>
  <c r="C48" i="13"/>
  <c r="C47" i="13"/>
  <c r="D47" i="13"/>
  <c r="B47" i="13"/>
  <c r="D46" i="13"/>
  <c r="B46" i="13"/>
  <c r="C46" i="13"/>
  <c r="B45" i="13"/>
  <c r="C45" i="13"/>
  <c r="D45" i="13"/>
  <c r="B43" i="13"/>
  <c r="D43" i="13"/>
  <c r="C43" i="13"/>
  <c r="D42" i="13"/>
  <c r="B42" i="13"/>
  <c r="C42" i="13"/>
  <c r="B40" i="13"/>
  <c r="C40" i="13"/>
  <c r="D40" i="13"/>
  <c r="C39" i="13"/>
  <c r="B39" i="13"/>
  <c r="D39" i="13"/>
  <c r="C38" i="13"/>
  <c r="B38" i="13"/>
  <c r="D38" i="13"/>
  <c r="B37" i="13"/>
  <c r="C37" i="13"/>
  <c r="D37" i="13"/>
  <c r="C36" i="13"/>
  <c r="D36" i="13"/>
  <c r="B36" i="13"/>
  <c r="D35" i="13"/>
  <c r="B35" i="13"/>
  <c r="C35" i="13"/>
  <c r="D34" i="13"/>
  <c r="B34" i="13"/>
  <c r="C34" i="13"/>
  <c r="B33" i="13"/>
  <c r="C33" i="13"/>
  <c r="D33" i="13"/>
  <c r="C32" i="13"/>
  <c r="D32" i="13"/>
  <c r="B32" i="13"/>
  <c r="C31" i="13"/>
  <c r="D31" i="13"/>
  <c r="B31" i="13"/>
  <c r="C30" i="13"/>
  <c r="D30" i="13"/>
  <c r="B30" i="13"/>
  <c r="D28" i="13"/>
  <c r="C28" i="13"/>
  <c r="B28" i="13"/>
  <c r="C27" i="13"/>
  <c r="D27" i="13"/>
  <c r="B27" i="13"/>
  <c r="B25" i="13"/>
  <c r="D25" i="13"/>
  <c r="C25" i="13"/>
  <c r="D24" i="13"/>
  <c r="C24" i="13"/>
  <c r="B24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<sst xmlns="http://schemas.openxmlformats.org/spreadsheetml/2006/main" count="320" uniqueCount="55">
  <si>
    <t>Number</t>
  </si>
  <si>
    <t>COT</t>
  </si>
  <si>
    <t>CSC</t>
  </si>
  <si>
    <t>SEC</t>
  </si>
  <si>
    <t>NOTES</t>
  </si>
  <si>
    <t>Boolean</t>
  </si>
  <si>
    <t>Empty cell</t>
  </si>
  <si>
    <t>Coerced text numbers to numeric</t>
  </si>
  <si>
    <t>eight</t>
  </si>
  <si>
    <t>Non-numeric string</t>
  </si>
  <si>
    <t>Correct Error propagation</t>
  </si>
  <si>
    <t>Large powers of 2</t>
  </si>
  <si>
    <t>Symbol fails coercion</t>
  </si>
  <si>
    <t>Rounds to nearest day serial</t>
  </si>
  <si>
    <t>Coerced text date</t>
  </si>
  <si>
    <t>Non coerced text date</t>
  </si>
  <si>
    <t>Time</t>
  </si>
  <si>
    <t>Implicit intersection</t>
  </si>
  <si>
    <t>Result from a formula</t>
  </si>
  <si>
    <t>Referenced cell</t>
  </si>
  <si>
    <t>Banana</t>
  </si>
  <si>
    <t>Precision: Near sin(x)=0</t>
  </si>
  <si>
    <t>Precision: Near cos(x)=0</t>
  </si>
  <si>
    <t>Precision: Crossing the asymptote</t>
  </si>
  <si>
    <t>COTH</t>
  </si>
  <si>
    <t>CSCH</t>
  </si>
  <si>
    <t>SECH</t>
  </si>
  <si>
    <t>Large numbers</t>
  </si>
  <si>
    <t>Pi/2</t>
  </si>
  <si>
    <t>sinh ≈ cosh</t>
  </si>
  <si>
    <t>cosh(x)=√2/2 boundary</t>
  </si>
  <si>
    <t>ACOT</t>
  </si>
  <si>
    <t>ACOTH</t>
  </si>
  <si>
    <t>Pi</t>
  </si>
  <si>
    <t>SIN</t>
  </si>
  <si>
    <t>COS</t>
  </si>
  <si>
    <t>TAN</t>
  </si>
  <si>
    <t>2*Pi (periodic)</t>
  </si>
  <si>
    <t>Zero</t>
  </si>
  <si>
    <t>Tiny positive</t>
  </si>
  <si>
    <t>Tiny negative</t>
  </si>
  <si>
    <t>Blank cell (quotes)</t>
  </si>
  <si>
    <t>Pi/4</t>
  </si>
  <si>
    <t>Pi/6</t>
  </si>
  <si>
    <t>ASIN</t>
  </si>
  <si>
    <t>ACOS</t>
  </si>
  <si>
    <t>ATAN</t>
  </si>
  <si>
    <t>SINH</t>
  </si>
  <si>
    <t>COSH</t>
  </si>
  <si>
    <t>TANH</t>
  </si>
  <si>
    <t>ASINH</t>
  </si>
  <si>
    <t>ACOSH</t>
  </si>
  <si>
    <t>ATANH</t>
  </si>
  <si>
    <t>Near one</t>
  </si>
  <si>
    <t>Near negative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</si>
</sst>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0000000"/>
  </numFmts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18" fontId="0" fillId="0" borderId="0" xfId="0" applyNumberFormat="1"/>
    <xf numFmtId="11" fontId="0" fillId="0" borderId="0" xfId="0" applyNumberFormat="1"/>
    <xf numFmtId="165" fontId="1" fillId="2" borderId="1" xfId="1" applyNumberFormat="1" applyAlignment="1">
      <alignment wrapText="1"/>
    </xf>
    <xf numFmtId="11" fontId="1" fillId="2" borderId="1" xfId="1" applyNumberFormat="1" applyAlignment="1">
      <alignment wrapText="1"/>
    </xf>
    <xf numFmtId="167" fontId="0" fillId="0" borderId="0" xfId="0" applyNumberFormat="1"/>
    <xf numFmtId="165" fontId="1" fillId="3" borderId="1" xfId="1" applyNumberFormat="1" applyFill="1" applyAlignment="1">
      <alignment wrapText="1"/>
    </xf>
    <xf numFmtId="0" fontId="0" fillId="0" borderId="0" xfId="0" applyNumberForma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42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659B7F-1B93-4A0E-BC14-F79BA66F351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e0a8442-0ae1-4b7f-9205-4c03f106ca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3E34-CC5A-470E-A24C-36B3C446A422}">
  <dimension ref="A1:I52"/>
  <sheetViews>
    <sheetView workbookViewId="0">
      <selection activeCell="C17" sqref="C17"/>
    </sheetView>
  </sheetViews>
  <sheetFormatPr defaultColWidth="14.7265625" defaultRowHeight="14.5" x14ac:dyDescent="0.35"/>
  <cols>
    <col min="1" max="1" width="23.6328125" customWidth="1"/>
    <col min="2" max="4" width="18" customWidth="1"/>
    <col min="5" max="5" width="47.26953125" customWidth="1"/>
  </cols>
  <sheetData>
    <row r="1" spans="1:5" ht="15.5" x14ac:dyDescent="0.35">
      <c r="A1" s="1" t="s">
        <v>0</v>
      </c>
      <c r="B1" s="1" t="s">
        <v>34</v>
      </c>
      <c r="C1" s="1" t="s">
        <v>35</v>
      </c>
      <c r="D1" s="1" t="s">
        <v>36</v>
      </c>
      <c r="E1" s="3" t="s">
        <v>4</v>
      </c>
    </row>
    <row r="2" spans="1:5" x14ac:dyDescent="0.35">
      <c r="A2">
        <v>1</v>
      </c>
      <c r="B2" s="6">
        <f>SIN(A2)</f>
        <v>0.8414709848078965</v>
      </c>
      <c r="C2" s="6">
        <f>COS(A2)</f>
        <v>0.54030230586813977</v>
      </c>
      <c r="D2" s="6">
        <f>TAN(A2)</f>
        <v>1.5574077246549023</v>
      </c>
    </row>
    <row r="3" spans="1:5" x14ac:dyDescent="0.35">
      <c r="A3">
        <v>5</v>
      </c>
      <c r="B3" s="6">
        <f>SIN(A3)</f>
        <v>-0.95892427466313845</v>
      </c>
      <c r="C3" s="6">
        <f>COS(A3)</f>
        <v>0.28366218546322625</v>
      </c>
      <c r="D3" s="6">
        <f>TAN(A3)</f>
        <v>-3.3805150062465859</v>
      </c>
    </row>
    <row r="4" spans="1:5" x14ac:dyDescent="0.35">
      <c r="A4">
        <v>2.8</v>
      </c>
      <c r="B4" s="6">
        <f>SIN(A4)</f>
        <v>0.33498815015590511</v>
      </c>
      <c r="C4" s="6">
        <f>COS(A4)</f>
        <v>-0.94222234066865806</v>
      </c>
      <c r="D4" s="6">
        <f>TAN(A4)</f>
        <v>-0.35552983165117608</v>
      </c>
    </row>
    <row r="5" spans="1:5" x14ac:dyDescent="0.35">
      <c r="A5">
        <v>-1</v>
      </c>
      <c r="B5" s="6">
        <f>SIN(A5)</f>
        <v>-0.8414709848078965</v>
      </c>
      <c r="C5" s="6">
        <f>COS(A5)</f>
        <v>0.54030230586813977</v>
      </c>
      <c r="D5" s="6">
        <f>TAN(A5)</f>
        <v>-1.5574077246549023</v>
      </c>
    </row>
    <row r="6" spans="1:5" x14ac:dyDescent="0.35">
      <c r="A6">
        <v>-10</v>
      </c>
      <c r="B6" s="6">
        <f>SIN(A6)</f>
        <v>0.54402111088936977</v>
      </c>
      <c r="C6" s="6">
        <f>COS(A6)</f>
        <v>-0.83907152907645244</v>
      </c>
      <c r="D6" s="6">
        <f>TAN(A6)</f>
        <v>-0.64836082745908663</v>
      </c>
    </row>
    <row r="7" spans="1:5" x14ac:dyDescent="0.35">
      <c r="A7">
        <v>0</v>
      </c>
      <c r="B7" s="6">
        <f>SIN(A7)</f>
        <v>0</v>
      </c>
      <c r="C7" s="6">
        <f>COS(A7)</f>
        <v>1</v>
      </c>
      <c r="D7" s="6">
        <f>TAN(A7)</f>
        <v>0</v>
      </c>
      <c r="E7" t="s">
        <v>38</v>
      </c>
    </row>
    <row r="8" spans="1:5" x14ac:dyDescent="0.35">
      <c r="A8">
        <v>7.1</v>
      </c>
      <c r="B8" s="6">
        <f>SIN(A8)</f>
        <v>0.72896904012587593</v>
      </c>
      <c r="C8" s="6">
        <f>COS(A8)</f>
        <v>0.6845466664428066</v>
      </c>
      <c r="D8" s="6">
        <f>TAN(A8)</f>
        <v>1.0648931268833821</v>
      </c>
    </row>
    <row r="9" spans="1:5" x14ac:dyDescent="0.35">
      <c r="A9">
        <v>-7.1</v>
      </c>
      <c r="B9" s="6">
        <f>SIN(A9)</f>
        <v>-0.72896904012587593</v>
      </c>
      <c r="C9" s="6">
        <f>COS(A9)</f>
        <v>0.6845466664428066</v>
      </c>
      <c r="D9" s="6">
        <f>TAN(A9)</f>
        <v>-1.0648931268833821</v>
      </c>
    </row>
    <row r="10" spans="1:5" x14ac:dyDescent="0.35">
      <c r="A10">
        <v>0.123</v>
      </c>
      <c r="B10" s="6">
        <f>SIN(A10)</f>
        <v>0.12269009002431533</v>
      </c>
      <c r="C10" s="6">
        <f>COS(A10)</f>
        <v>0.99244503213519353</v>
      </c>
      <c r="D10" s="6">
        <f>TAN(A10)</f>
        <v>0.12362406586927442</v>
      </c>
    </row>
    <row r="11" spans="1:5" x14ac:dyDescent="0.35">
      <c r="A11">
        <v>-0.5</v>
      </c>
      <c r="B11" s="6">
        <f>SIN(A11)</f>
        <v>-0.47942553860420301</v>
      </c>
      <c r="C11" s="6">
        <f>COS(A11)</f>
        <v>0.87758256189037276</v>
      </c>
      <c r="D11" s="6">
        <f>TAN(A11)</f>
        <v>-0.54630248984379048</v>
      </c>
    </row>
    <row r="12" spans="1:5" x14ac:dyDescent="0.35">
      <c r="A12">
        <v>100</v>
      </c>
      <c r="B12" s="6">
        <f>SIN(A12)</f>
        <v>-0.50636564110975879</v>
      </c>
      <c r="C12" s="6">
        <f>COS(A12)</f>
        <v>0.86231887228768389</v>
      </c>
      <c r="D12" s="6">
        <f>TAN(A12)</f>
        <v>-0.58721391515692911</v>
      </c>
    </row>
    <row r="13" spans="1:5" x14ac:dyDescent="0.35">
      <c r="A13">
        <v>-100</v>
      </c>
      <c r="B13" s="6">
        <f>SIN(A13)</f>
        <v>0.50636564110975879</v>
      </c>
      <c r="C13" s="6">
        <f>COS(A13)</f>
        <v>0.86231887228768389</v>
      </c>
      <c r="D13" s="6">
        <f>TAN(A13)</f>
        <v>0.58721391515692911</v>
      </c>
    </row>
    <row r="14" spans="1:5" x14ac:dyDescent="0.35">
      <c r="A14" s="8">
        <v>1.0000000001</v>
      </c>
      <c r="B14" s="6">
        <f>SIN(A14)</f>
        <v>0.84147098486192673</v>
      </c>
      <c r="C14" s="6">
        <f>COS(A14)</f>
        <v>0.54030230578399263</v>
      </c>
      <c r="D14" s="6">
        <f>TAN(A14)</f>
        <v>1.5574077249974541</v>
      </c>
      <c r="E14" t="s">
        <v>53</v>
      </c>
    </row>
    <row r="15" spans="1:5" x14ac:dyDescent="0.35">
      <c r="A15" s="8">
        <v>0.99999999989999999</v>
      </c>
      <c r="B15" s="6">
        <f>SIN(A15)</f>
        <v>0.84147098475386628</v>
      </c>
      <c r="C15" s="6">
        <f>COS(A15)</f>
        <v>0.54030230595228679</v>
      </c>
      <c r="D15" s="6">
        <f>TAN(A15)</f>
        <v>1.5574077243123503</v>
      </c>
      <c r="E15" t="s">
        <v>53</v>
      </c>
    </row>
    <row r="16" spans="1:5" x14ac:dyDescent="0.35">
      <c r="A16" s="8">
        <v>-1.0000000001</v>
      </c>
      <c r="B16" s="6">
        <f>SIN(A16)</f>
        <v>-0.84147098486192673</v>
      </c>
      <c r="C16" s="6">
        <f>COS(A16)</f>
        <v>0.54030230578399263</v>
      </c>
      <c r="D16" s="6">
        <f>TAN(A16)</f>
        <v>-1.5574077249974541</v>
      </c>
      <c r="E16" t="s">
        <v>54</v>
      </c>
    </row>
    <row r="17" spans="1:5" x14ac:dyDescent="0.35">
      <c r="A17" s="8">
        <v>-0.99999999989999999</v>
      </c>
      <c r="B17" s="6">
        <f>SIN(A17)</f>
        <v>-0.84147098475386628</v>
      </c>
      <c r="C17" s="6">
        <f>COS(A17)</f>
        <v>0.54030230595228679</v>
      </c>
      <c r="D17" s="6">
        <f>TAN(A17)</f>
        <v>-1.5574077243123503</v>
      </c>
      <c r="E17" t="s">
        <v>54</v>
      </c>
    </row>
    <row r="18" spans="1:5" x14ac:dyDescent="0.35">
      <c r="A18" s="5">
        <v>9.9999999999999998E-13</v>
      </c>
      <c r="B18" s="7">
        <f>SIN(A18)</f>
        <v>9.9999999999999998E-13</v>
      </c>
      <c r="C18" s="6">
        <f>COS(A18)</f>
        <v>1</v>
      </c>
      <c r="D18" s="7">
        <f>TAN(A18)</f>
        <v>9.9999999999999998E-13</v>
      </c>
      <c r="E18" t="s">
        <v>39</v>
      </c>
    </row>
    <row r="19" spans="1:5" x14ac:dyDescent="0.35">
      <c r="A19" s="5">
        <v>-9.9999999999999998E-13</v>
      </c>
      <c r="B19" s="7">
        <f>SIN(A19)</f>
        <v>-9.9999999999999998E-13</v>
      </c>
      <c r="C19" s="6">
        <f>COS(A19)</f>
        <v>1</v>
      </c>
      <c r="D19" s="7">
        <f>TAN(A19)</f>
        <v>-9.9999999999999998E-13</v>
      </c>
      <c r="E19" t="s">
        <v>40</v>
      </c>
    </row>
    <row r="20" spans="1:5" x14ac:dyDescent="0.35">
      <c r="A20" s="5">
        <v>9999999999999</v>
      </c>
      <c r="B20" s="9" t="e">
        <f>SIN(A20)</f>
        <v>#NUM!</v>
      </c>
      <c r="C20" s="9" t="e">
        <f>COS(A20)</f>
        <v>#NUM!</v>
      </c>
      <c r="D20" s="9" t="e">
        <f>TAN(A20)</f>
        <v>#NUM!</v>
      </c>
      <c r="E20" t="s">
        <v>27</v>
      </c>
    </row>
    <row r="21" spans="1:5" x14ac:dyDescent="0.35">
      <c r="A21" s="5" t="b">
        <v>1</v>
      </c>
      <c r="B21" s="6">
        <f>SIN(A21)</f>
        <v>0.8414709848078965</v>
      </c>
      <c r="C21" s="6">
        <f>COS(A21)</f>
        <v>0.54030230586813977</v>
      </c>
      <c r="D21" s="6">
        <f>TAN(A21)</f>
        <v>1.5574077246549023</v>
      </c>
      <c r="E21" t="s">
        <v>5</v>
      </c>
    </row>
    <row r="22" spans="1:5" x14ac:dyDescent="0.35">
      <c r="A22" s="5" t="b">
        <v>0</v>
      </c>
      <c r="B22" s="6">
        <f>SIN(A22)</f>
        <v>0</v>
      </c>
      <c r="C22" s="6">
        <f>COS(A22)</f>
        <v>1</v>
      </c>
      <c r="D22" s="6">
        <f>TAN(A22)</f>
        <v>0</v>
      </c>
      <c r="E22" t="s">
        <v>5</v>
      </c>
    </row>
    <row r="23" spans="1:5" x14ac:dyDescent="0.35">
      <c r="B23" s="6">
        <f>SIN(A23)</f>
        <v>0</v>
      </c>
      <c r="C23" s="6">
        <f>COS(A23)</f>
        <v>1</v>
      </c>
      <c r="D23" s="6">
        <f>TAN(A23)</f>
        <v>0</v>
      </c>
      <c r="E23" t="s">
        <v>6</v>
      </c>
    </row>
    <row r="24" spans="1:5" x14ac:dyDescent="0.35">
      <c r="A24" t="str">
        <f>""</f>
        <v/>
      </c>
      <c r="B24" s="6" t="e">
        <f>SIN(A24)</f>
        <v>#VALUE!</v>
      </c>
      <c r="C24" s="6" t="e">
        <f>COS(A24)</f>
        <v>#VALUE!</v>
      </c>
      <c r="D24" s="6" t="e">
        <f>TAN(A24)</f>
        <v>#VALUE!</v>
      </c>
      <c r="E24" t="s">
        <v>41</v>
      </c>
    </row>
    <row r="25" spans="1:5" x14ac:dyDescent="0.35">
      <c r="A25" t="str">
        <f>"8"</f>
        <v>8</v>
      </c>
      <c r="B25" s="6">
        <f>SIN(A25)</f>
        <v>0.98935824662338179</v>
      </c>
      <c r="C25" s="6">
        <f>COS(A25)</f>
        <v>-0.14550003380861354</v>
      </c>
      <c r="D25" s="6">
        <f>TAN(A25)</f>
        <v>-6.799711455220379</v>
      </c>
      <c r="E25" t="s">
        <v>7</v>
      </c>
    </row>
    <row r="26" spans="1:5" x14ac:dyDescent="0.35">
      <c r="A26">
        <v>2</v>
      </c>
      <c r="B26" s="6">
        <f>SIN(A26)</f>
        <v>0.90929742682568171</v>
      </c>
      <c r="C26" s="6">
        <f>COS(A26)</f>
        <v>-0.41614683654714241</v>
      </c>
      <c r="D26" s="6">
        <f>TAN(A26)</f>
        <v>-2.1850398632615189</v>
      </c>
      <c r="E26" t="s">
        <v>7</v>
      </c>
    </row>
    <row r="27" spans="1:5" x14ac:dyDescent="0.35">
      <c r="A27" t="str">
        <f>" 10 "</f>
        <v xml:space="preserve"> 10 </v>
      </c>
      <c r="B27" s="6">
        <f>SIN(A27)</f>
        <v>-0.54402111088936977</v>
      </c>
      <c r="C27" s="6">
        <f>COS(A27)</f>
        <v>-0.83907152907645244</v>
      </c>
      <c r="D27" s="6">
        <f>TAN(A27)</f>
        <v>0.64836082745908663</v>
      </c>
      <c r="E27" t="s">
        <v>7</v>
      </c>
    </row>
    <row r="28" spans="1:5" x14ac:dyDescent="0.35">
      <c r="A28" t="str">
        <f>"0"</f>
        <v>0</v>
      </c>
      <c r="B28" s="6">
        <f>SIN(A28)</f>
        <v>0</v>
      </c>
      <c r="C28" s="6">
        <f>COS(A28)</f>
        <v>1</v>
      </c>
      <c r="D28" s="6">
        <f>TAN(A28)</f>
        <v>0</v>
      </c>
      <c r="E28" t="s">
        <v>7</v>
      </c>
    </row>
    <row r="29" spans="1:5" x14ac:dyDescent="0.35">
      <c r="A29" t="s">
        <v>8</v>
      </c>
      <c r="B29" s="6" t="e">
        <f>SIN(A29)</f>
        <v>#VALUE!</v>
      </c>
      <c r="C29" s="6" t="e">
        <f>COS(A29)</f>
        <v>#VALUE!</v>
      </c>
      <c r="D29" s="6" t="e">
        <f>TAN(A29)</f>
        <v>#VALUE!</v>
      </c>
      <c r="E29" t="s">
        <v>9</v>
      </c>
    </row>
    <row r="30" spans="1:5" x14ac:dyDescent="0.35">
      <c r="A30" s="2" t="e">
        <f>1/0</f>
        <v>#DIV/0!</v>
      </c>
      <c r="B30" s="6" t="e">
        <f>SIN(A30)</f>
        <v>#DIV/0!</v>
      </c>
      <c r="C30" s="6" t="e">
        <f>COS(A30)</f>
        <v>#DIV/0!</v>
      </c>
      <c r="D30" s="6" t="e">
        <f>TAN(A30)</f>
        <v>#DIV/0!</v>
      </c>
      <c r="E30" t="s">
        <v>10</v>
      </c>
    </row>
    <row r="31" spans="1:5" x14ac:dyDescent="0.35">
      <c r="A31" t="e">
        <f>NA()</f>
        <v>#N/A</v>
      </c>
      <c r="B31" s="6" t="e">
        <f>SIN(A31)</f>
        <v>#N/A</v>
      </c>
      <c r="C31" s="6" t="e">
        <f>COS(A31)</f>
        <v>#N/A</v>
      </c>
      <c r="D31" s="6" t="e">
        <f>TAN(A31)</f>
        <v>#N/A</v>
      </c>
      <c r="E31" t="s">
        <v>10</v>
      </c>
    </row>
    <row r="32" spans="1:5" x14ac:dyDescent="0.35">
      <c r="A32" t="e" cm="1">
        <f t="array" ref="A32">HELLO</f>
        <v>#NAME?</v>
      </c>
      <c r="B32" s="6" t="e">
        <f>SIN(A32)</f>
        <v>#NAME?</v>
      </c>
      <c r="C32" s="6" t="e">
        <f>COS(A32)</f>
        <v>#NAME?</v>
      </c>
      <c r="D32" s="6" t="e">
        <f>TAN(A32)</f>
        <v>#NAME?</v>
      </c>
      <c r="E32" t="s">
        <v>10</v>
      </c>
    </row>
    <row r="33" spans="1:9" x14ac:dyDescent="0.35">
      <c r="A33" t="e">
        <f>SQRT(-1)</f>
        <v>#NUM!</v>
      </c>
      <c r="B33" s="6" t="e">
        <f>SIN(A33)</f>
        <v>#NUM!</v>
      </c>
      <c r="C33" s="6" t="e">
        <f>COS(A33)</f>
        <v>#NUM!</v>
      </c>
      <c r="D33" s="6" t="e">
        <f>TAN(A33)</f>
        <v>#NUM!</v>
      </c>
      <c r="E33" t="s">
        <v>10</v>
      </c>
    </row>
    <row r="34" spans="1:9" x14ac:dyDescent="0.35">
      <c r="A34" t="e">
        <f>"x"+1</f>
        <v>#VALUE!</v>
      </c>
      <c r="B34" s="6" t="e">
        <f>SIN(A34)</f>
        <v>#VALUE!</v>
      </c>
      <c r="C34" s="6" t="e">
        <f>COS(A34)</f>
        <v>#VALUE!</v>
      </c>
      <c r="D34" s="6" t="e">
        <f>TAN(A34)</f>
        <v>#VALUE!</v>
      </c>
      <c r="E34" t="s">
        <v>10</v>
      </c>
    </row>
    <row r="35" spans="1:9" x14ac:dyDescent="0.35">
      <c r="A35">
        <f>2^20</f>
        <v>1048576</v>
      </c>
      <c r="B35" s="6">
        <f>SIN(A35)</f>
        <v>0.33049314002171887</v>
      </c>
      <c r="C35" s="6">
        <f>COS(A35)</f>
        <v>0.94380839390131754</v>
      </c>
      <c r="D35" s="6">
        <f>TAN(A35)</f>
        <v>0.35016974012659025</v>
      </c>
      <c r="E35" t="s">
        <v>11</v>
      </c>
    </row>
    <row r="36" spans="1:9" x14ac:dyDescent="0.35">
      <c r="A36" t="str">
        <f>"@"</f>
        <v>@</v>
      </c>
      <c r="B36" s="6" t="e">
        <f>SIN(A36)</f>
        <v>#VALUE!</v>
      </c>
      <c r="C36" s="6" t="e">
        <f>COS(A36)</f>
        <v>#VALUE!</v>
      </c>
      <c r="D36" s="6" t="e">
        <f>TAN(A36)</f>
        <v>#VALUE!</v>
      </c>
      <c r="E36" t="s">
        <v>12</v>
      </c>
    </row>
    <row r="37" spans="1:9" x14ac:dyDescent="0.35">
      <c r="A37" s="2">
        <f>DATE(2024,1,10)</f>
        <v>45301</v>
      </c>
      <c r="B37" s="6">
        <f>SIN(A37)</f>
        <v>-0.69330470840023772</v>
      </c>
      <c r="C37" s="6">
        <f>COS(A37)</f>
        <v>0.72064455962010932</v>
      </c>
      <c r="D37" s="6">
        <f>TAN(A37)</f>
        <v>-0.96206194738459705</v>
      </c>
      <c r="E37" t="s">
        <v>13</v>
      </c>
      <c r="I37">
        <v>1</v>
      </c>
    </row>
    <row r="38" spans="1:9" x14ac:dyDescent="0.35">
      <c r="A38" t="str">
        <f>"2024-01-10"</f>
        <v>2024-01-10</v>
      </c>
      <c r="B38" s="6">
        <f>SIN(A38)</f>
        <v>-0.69330470840023772</v>
      </c>
      <c r="C38" s="6">
        <f>COS(A38)</f>
        <v>0.72064455962010932</v>
      </c>
      <c r="D38" s="6">
        <f>TAN(A38)</f>
        <v>-0.96206194738459705</v>
      </c>
      <c r="E38" t="s">
        <v>14</v>
      </c>
      <c r="I38">
        <v>2</v>
      </c>
    </row>
    <row r="39" spans="1:9" x14ac:dyDescent="0.35">
      <c r="A39" t="str">
        <f>" 2024-01-10 "</f>
        <v xml:space="preserve"> 2024-01-10 </v>
      </c>
      <c r="B39" s="6" t="e">
        <f>SIN(A39)</f>
        <v>#VALUE!</v>
      </c>
      <c r="C39" s="6" t="e">
        <f>COS(A39)</f>
        <v>#VALUE!</v>
      </c>
      <c r="D39" s="6" t="e">
        <f>TAN(A39)</f>
        <v>#VALUE!</v>
      </c>
      <c r="E39" t="s">
        <v>15</v>
      </c>
      <c r="I39">
        <v>3</v>
      </c>
    </row>
    <row r="40" spans="1:9" x14ac:dyDescent="0.35">
      <c r="A40" s="4">
        <f>TIME(14,30,0)</f>
        <v>0.60416666666666663</v>
      </c>
      <c r="B40" s="6">
        <f>SIN(A40)</f>
        <v>0.56807646043671656</v>
      </c>
      <c r="C40" s="6">
        <f>COS(A40)</f>
        <v>0.82297578038341535</v>
      </c>
      <c r="D40" s="6">
        <f>TAN(A40)</f>
        <v>0.69027117684077655</v>
      </c>
      <c r="E40" t="s">
        <v>16</v>
      </c>
      <c r="I40">
        <v>4</v>
      </c>
    </row>
    <row r="41" spans="1:9" x14ac:dyDescent="0.35">
      <c r="B41" s="6">
        <f>SIN(I:I)</f>
        <v>-0.95892427466313845</v>
      </c>
      <c r="C41" s="6">
        <f>COS(I:I)</f>
        <v>0.28366218546322625</v>
      </c>
      <c r="D41" s="6">
        <f>TAN(I:I)</f>
        <v>-3.3805150062465859</v>
      </c>
      <c r="E41" t="s">
        <v>17</v>
      </c>
      <c r="I41">
        <v>5</v>
      </c>
    </row>
    <row r="42" spans="1:9" x14ac:dyDescent="0.35">
      <c r="A42">
        <f>1.05*(0.0284+0.0046)-0.0284</f>
        <v>6.2499999999999986E-3</v>
      </c>
      <c r="B42" s="6">
        <f>SIN(A42)</f>
        <v>6.2499593099753043E-3</v>
      </c>
      <c r="C42" s="6">
        <f>COS(A42)</f>
        <v>0.99998046881357816</v>
      </c>
      <c r="D42" s="6">
        <f>TAN(A42)</f>
        <v>6.2500813814799182E-3</v>
      </c>
      <c r="E42" t="s">
        <v>18</v>
      </c>
      <c r="I42">
        <v>6</v>
      </c>
    </row>
    <row r="43" spans="1:9" x14ac:dyDescent="0.35">
      <c r="A43">
        <f>I44</f>
        <v>1.75</v>
      </c>
      <c r="B43" s="6">
        <f>SIN(A43)</f>
        <v>0.98398594687393692</v>
      </c>
      <c r="C43" s="6">
        <f>COS(A43)</f>
        <v>-0.17824605564949209</v>
      </c>
      <c r="D43" s="6">
        <f>TAN(A43)</f>
        <v>-5.5203799225093304</v>
      </c>
      <c r="E43" t="s">
        <v>19</v>
      </c>
      <c r="I43">
        <v>7</v>
      </c>
    </row>
    <row r="44" spans="1:9" x14ac:dyDescent="0.35">
      <c r="A44" t="s">
        <v>20</v>
      </c>
      <c r="B44" s="6" t="e">
        <f>SIN(A44)</f>
        <v>#VALUE!</v>
      </c>
      <c r="C44" s="6" t="e">
        <f>COS(A44)</f>
        <v>#VALUE!</v>
      </c>
      <c r="D44" s="6" t="e">
        <f>TAN(A44)</f>
        <v>#VALUE!</v>
      </c>
      <c r="I44">
        <v>1.75</v>
      </c>
    </row>
    <row r="45" spans="1:9" x14ac:dyDescent="0.35">
      <c r="A45">
        <f>PI() - 0.000000000001</f>
        <v>3.141592653588793</v>
      </c>
      <c r="B45" s="7">
        <f>SIN(A45)</f>
        <v>1.0002114154278319E-12</v>
      </c>
      <c r="C45" s="6">
        <f>COS(A45)</f>
        <v>-1</v>
      </c>
      <c r="D45" s="7">
        <f>TAN(A45)</f>
        <v>-1.0002114154278319E-12</v>
      </c>
      <c r="E45" t="s">
        <v>21</v>
      </c>
    </row>
    <row r="46" spans="1:9" x14ac:dyDescent="0.35">
      <c r="A46">
        <f>PI()/2 - 0.000000000001</f>
        <v>1.5707963267938965</v>
      </c>
      <c r="B46" s="6">
        <f>SIN(A46)</f>
        <v>1</v>
      </c>
      <c r="C46" s="7">
        <f>COS(A46)</f>
        <v>1.0001501580050864E-12</v>
      </c>
      <c r="D46" s="7">
        <f>TAN(A46)</f>
        <v>999849864538.95483</v>
      </c>
      <c r="E46" t="s">
        <v>22</v>
      </c>
    </row>
    <row r="47" spans="1:9" x14ac:dyDescent="0.35">
      <c r="A47">
        <f>PI()/2 + 0.000000000001</f>
        <v>1.5707963267958966</v>
      </c>
      <c r="B47" s="6">
        <f>SIN(A47)</f>
        <v>1</v>
      </c>
      <c r="C47" s="7">
        <f>COS(A47)</f>
        <v>-1.0000276431595956E-12</v>
      </c>
      <c r="D47" s="7">
        <f>TAN(A47)</f>
        <v>-999972357604.52759</v>
      </c>
      <c r="E47" t="s">
        <v>23</v>
      </c>
    </row>
    <row r="48" spans="1:9" x14ac:dyDescent="0.35">
      <c r="A48" s="10">
        <f>PI()</f>
        <v>3.1415926535897931</v>
      </c>
      <c r="B48" s="7">
        <f>SIN(A48)</f>
        <v>1.22514845490862E-16</v>
      </c>
      <c r="C48" s="6">
        <f>COS(A48)</f>
        <v>-1</v>
      </c>
      <c r="D48" s="7">
        <f>TAN(A48)</f>
        <v>-1.22514845490862E-16</v>
      </c>
      <c r="E48" t="s">
        <v>33</v>
      </c>
    </row>
    <row r="49" spans="1:5" x14ac:dyDescent="0.35">
      <c r="A49" s="10">
        <f>PI()/2</f>
        <v>1.5707963267948966</v>
      </c>
      <c r="B49" s="6">
        <f>SIN(A49)</f>
        <v>1</v>
      </c>
      <c r="C49" s="7">
        <f>COS(A49)</f>
        <v>6.1257422745431001E-17</v>
      </c>
      <c r="D49" s="7"/>
      <c r="E49" t="s">
        <v>28</v>
      </c>
    </row>
    <row r="50" spans="1:5" x14ac:dyDescent="0.35">
      <c r="A50" s="10">
        <f>2*PI()</f>
        <v>6.2831853071795862</v>
      </c>
      <c r="B50" s="7">
        <f>SIN(A50)</f>
        <v>-2.45029690981724E-16</v>
      </c>
      <c r="C50" s="6">
        <f>COS(A50)</f>
        <v>1</v>
      </c>
      <c r="D50" s="7">
        <f>TAN(A50)</f>
        <v>-2.45029690981724E-16</v>
      </c>
      <c r="E50" t="s">
        <v>37</v>
      </c>
    </row>
    <row r="51" spans="1:5" x14ac:dyDescent="0.35">
      <c r="A51" s="10">
        <f>PI()/4</f>
        <v>0.78539816339744828</v>
      </c>
      <c r="B51" s="6">
        <f>SIN(A51)</f>
        <v>0.70710678118654746</v>
      </c>
      <c r="C51" s="6">
        <f>COS(A51)</f>
        <v>0.70710678118654757</v>
      </c>
      <c r="D51" s="6">
        <f>TAN(A51)</f>
        <v>0.99999999999999989</v>
      </c>
      <c r="E51" t="s">
        <v>42</v>
      </c>
    </row>
    <row r="52" spans="1:5" x14ac:dyDescent="0.35">
      <c r="A52" s="10">
        <f>PI()/6</f>
        <v>0.52359877559829882</v>
      </c>
      <c r="B52" s="6">
        <f>SIN(A52)</f>
        <v>0.49999999999999994</v>
      </c>
      <c r="C52" s="6">
        <f>COS(A52)</f>
        <v>0.86602540378443871</v>
      </c>
      <c r="D52" s="6">
        <f>TAN(A52)</f>
        <v>0.57735026918962573</v>
      </c>
      <c r="E5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8857-0D3C-4C6D-BD55-2EE9D71803A5}">
  <dimension ref="A1:I52"/>
  <sheetViews>
    <sheetView workbookViewId="0">
      <selection activeCell="B20" sqref="B20"/>
    </sheetView>
  </sheetViews>
  <sheetFormatPr defaultColWidth="14.7265625" defaultRowHeight="14.5" x14ac:dyDescent="0.35"/>
  <cols>
    <col min="1" max="1" width="23.6328125" customWidth="1"/>
    <col min="2" max="4" width="18" customWidth="1"/>
    <col min="5" max="5" width="47.26953125" customWidth="1"/>
  </cols>
  <sheetData>
    <row r="1" spans="1:5" ht="15.5" x14ac:dyDescent="0.35">
      <c r="A1" s="1" t="s">
        <v>0</v>
      </c>
      <c r="B1" s="1" t="s">
        <v>44</v>
      </c>
      <c r="C1" s="1" t="s">
        <v>45</v>
      </c>
      <c r="D1" s="1" t="s">
        <v>46</v>
      </c>
      <c r="E1" s="3" t="s">
        <v>4</v>
      </c>
    </row>
    <row r="2" spans="1:5" x14ac:dyDescent="0.35">
      <c r="A2">
        <v>1</v>
      </c>
      <c r="B2" s="6">
        <f>ASIN(A2)</f>
        <v>1.5707963267948966</v>
      </c>
      <c r="C2" s="6">
        <f>ACOS(A2)</f>
        <v>0</v>
      </c>
      <c r="D2" s="6">
        <f>ATAN(A2)</f>
        <v>0.78539816339744828</v>
      </c>
    </row>
    <row r="3" spans="1:5" x14ac:dyDescent="0.35">
      <c r="A3">
        <v>5</v>
      </c>
      <c r="B3" s="6" t="e">
        <f>ASIN(A3)</f>
        <v>#NUM!</v>
      </c>
      <c r="C3" s="6" t="e">
        <f>ACOS(A3)</f>
        <v>#NUM!</v>
      </c>
      <c r="D3" s="6">
        <f>ATAN(A3)</f>
        <v>1.3734007669450159</v>
      </c>
    </row>
    <row r="4" spans="1:5" x14ac:dyDescent="0.35">
      <c r="A4">
        <v>2.8</v>
      </c>
      <c r="B4" s="6" t="e">
        <f>ASIN(A4)</f>
        <v>#NUM!</v>
      </c>
      <c r="C4" s="6" t="e">
        <f>ACOS(A4)</f>
        <v>#NUM!</v>
      </c>
      <c r="D4" s="6">
        <f>ATAN(A4)</f>
        <v>1.2277723863741932</v>
      </c>
    </row>
    <row r="5" spans="1:5" x14ac:dyDescent="0.35">
      <c r="A5">
        <v>-1</v>
      </c>
      <c r="B5" s="6">
        <f>ASIN(A5)</f>
        <v>-1.5707963267948966</v>
      </c>
      <c r="C5" s="6">
        <f>ACOS(A5)</f>
        <v>3.1415926535897931</v>
      </c>
      <c r="D5" s="6">
        <f>ATAN(A5)</f>
        <v>-0.78539816339744828</v>
      </c>
    </row>
    <row r="6" spans="1:5" x14ac:dyDescent="0.35">
      <c r="A6">
        <v>-10</v>
      </c>
      <c r="B6" s="6" t="e">
        <f>ASIN(A6)</f>
        <v>#NUM!</v>
      </c>
      <c r="C6" s="6" t="e">
        <f>ACOS(A6)</f>
        <v>#NUM!</v>
      </c>
      <c r="D6" s="6">
        <f>ATAN(A6)</f>
        <v>-1.4711276743037347</v>
      </c>
    </row>
    <row r="7" spans="1:5" x14ac:dyDescent="0.35">
      <c r="A7">
        <v>0</v>
      </c>
      <c r="B7" s="6">
        <f>ASIN(A7)</f>
        <v>0</v>
      </c>
      <c r="C7" s="6">
        <f>ACOS(A7)</f>
        <v>1.5707963267948966</v>
      </c>
      <c r="D7" s="6">
        <f>ATAN(A7)</f>
        <v>0</v>
      </c>
      <c r="E7" t="s">
        <v>38</v>
      </c>
    </row>
    <row r="8" spans="1:5" x14ac:dyDescent="0.35">
      <c r="A8">
        <v>7.1</v>
      </c>
      <c r="B8" s="6" t="e">
        <f>ASIN(A8)</f>
        <v>#NUM!</v>
      </c>
      <c r="C8" s="6" t="e">
        <f>ACOS(A8)</f>
        <v>#NUM!</v>
      </c>
      <c r="D8" s="6">
        <f>ATAN(A8)</f>
        <v>1.4308716562207788</v>
      </c>
    </row>
    <row r="9" spans="1:5" x14ac:dyDescent="0.35">
      <c r="A9">
        <v>-7.1</v>
      </c>
      <c r="B9" s="6" t="e">
        <f>ASIN(A9)</f>
        <v>#NUM!</v>
      </c>
      <c r="C9" s="6" t="e">
        <f>ACOS(A9)</f>
        <v>#NUM!</v>
      </c>
      <c r="D9" s="6">
        <f>ATAN(A9)</f>
        <v>-1.4308716562207788</v>
      </c>
    </row>
    <row r="10" spans="1:5" x14ac:dyDescent="0.35">
      <c r="A10">
        <v>0.123</v>
      </c>
      <c r="B10" s="6">
        <f>ASIN(A10)</f>
        <v>0.12331227519187199</v>
      </c>
      <c r="C10" s="6">
        <f>ACOS(A10)</f>
        <v>1.4474840516030245</v>
      </c>
      <c r="D10" s="6">
        <f>ATAN(A10)</f>
        <v>0.12238528147180266</v>
      </c>
    </row>
    <row r="11" spans="1:5" x14ac:dyDescent="0.35">
      <c r="A11">
        <v>-0.5</v>
      </c>
      <c r="B11" s="6">
        <f>ASIN(A11)</f>
        <v>-0.52359877559829893</v>
      </c>
      <c r="C11" s="6">
        <f>ACOS(A11)</f>
        <v>2.0943951023931957</v>
      </c>
      <c r="D11" s="6">
        <f>ATAN(A11)</f>
        <v>-0.46364760900080609</v>
      </c>
    </row>
    <row r="12" spans="1:5" x14ac:dyDescent="0.35">
      <c r="A12">
        <v>100</v>
      </c>
      <c r="B12" s="6" t="e">
        <f>ASIN(A12)</f>
        <v>#NUM!</v>
      </c>
      <c r="C12" s="6" t="e">
        <f>ACOS(A12)</f>
        <v>#NUM!</v>
      </c>
      <c r="D12" s="6">
        <f>ATAN(A12)</f>
        <v>1.5607966601082315</v>
      </c>
    </row>
    <row r="13" spans="1:5" x14ac:dyDescent="0.35">
      <c r="A13">
        <v>-100</v>
      </c>
      <c r="B13" s="6" t="e">
        <f>ASIN(A13)</f>
        <v>#NUM!</v>
      </c>
      <c r="C13" s="6" t="e">
        <f>ACOS(A13)</f>
        <v>#NUM!</v>
      </c>
      <c r="D13" s="6">
        <f>ATAN(A13)</f>
        <v>-1.5607966601082315</v>
      </c>
    </row>
    <row r="14" spans="1:5" x14ac:dyDescent="0.35">
      <c r="A14" s="8">
        <v>1.0000000001</v>
      </c>
      <c r="B14" s="6" t="e">
        <f>ASIN(A14)</f>
        <v>#NUM!</v>
      </c>
      <c r="C14" s="6" t="e">
        <f>ACOS(A14)</f>
        <v>#NUM!</v>
      </c>
      <c r="D14" s="6">
        <f>ATAN(A14)</f>
        <v>0.78539816344744828</v>
      </c>
      <c r="E14" t="s">
        <v>53</v>
      </c>
    </row>
    <row r="15" spans="1:5" x14ac:dyDescent="0.35">
      <c r="A15" s="8">
        <v>0.99999999989999999</v>
      </c>
      <c r="B15" s="6">
        <f>ASIN(A15)</f>
        <v>1.5707821846586878</v>
      </c>
      <c r="C15" s="7">
        <f>ACOS(A15)</f>
        <v>1.4142136208761258E-5</v>
      </c>
      <c r="D15" s="6">
        <f>ATAN(A15)</f>
        <v>0.78539816334744827</v>
      </c>
      <c r="E15" t="s">
        <v>53</v>
      </c>
    </row>
    <row r="16" spans="1:5" x14ac:dyDescent="0.35">
      <c r="A16" s="8">
        <v>-1.0000000001</v>
      </c>
      <c r="B16" s="6" t="e">
        <f>ASIN(A16)</f>
        <v>#NUM!</v>
      </c>
      <c r="C16" s="6" t="e">
        <f>ACOS(A16)</f>
        <v>#NUM!</v>
      </c>
      <c r="D16" s="6">
        <f>ATAN(A16)</f>
        <v>-0.78539816344744828</v>
      </c>
      <c r="E16" t="s">
        <v>54</v>
      </c>
    </row>
    <row r="17" spans="1:5" x14ac:dyDescent="0.35">
      <c r="A17" s="8">
        <v>-0.99999999989999999</v>
      </c>
      <c r="B17" s="6">
        <f>ASIN(A17)</f>
        <v>-1.5707821846586878</v>
      </c>
      <c r="C17" s="6">
        <f>ACOS(A17)</f>
        <v>3.1415785114535844</v>
      </c>
      <c r="D17" s="6">
        <f>ATAN(A17)</f>
        <v>-0.78539816334744827</v>
      </c>
      <c r="E17" t="s">
        <v>54</v>
      </c>
    </row>
    <row r="18" spans="1:5" x14ac:dyDescent="0.35">
      <c r="A18" s="5">
        <v>9.9999999999999998E-13</v>
      </c>
      <c r="B18" s="7">
        <f>ASIN(A18)</f>
        <v>9.9999999999999998E-13</v>
      </c>
      <c r="C18" s="6">
        <f>ACOS(A18)</f>
        <v>1.5707963267938965</v>
      </c>
      <c r="D18" s="7">
        <f>ATAN(A18)</f>
        <v>9.9999999999999998E-13</v>
      </c>
      <c r="E18" t="s">
        <v>39</v>
      </c>
    </row>
    <row r="19" spans="1:5" x14ac:dyDescent="0.35">
      <c r="A19" s="5">
        <v>-9.9999999999999998E-13</v>
      </c>
      <c r="B19" s="7">
        <f>ASIN(A19)</f>
        <v>-9.9999999999999998E-13</v>
      </c>
      <c r="C19" s="6">
        <f>ACOS(A19)</f>
        <v>1.5707963267958966</v>
      </c>
      <c r="D19" s="7">
        <f>ATAN(A19)</f>
        <v>-9.9999999999999998E-13</v>
      </c>
      <c r="E19" t="s">
        <v>40</v>
      </c>
    </row>
    <row r="20" spans="1:5" x14ac:dyDescent="0.35">
      <c r="A20" s="5">
        <v>9999999999999</v>
      </c>
      <c r="B20" s="6" t="e">
        <f>ASIN(A20)</f>
        <v>#NUM!</v>
      </c>
      <c r="C20" s="6" t="e">
        <f>ACOS(A20)</f>
        <v>#NUM!</v>
      </c>
      <c r="D20" s="6">
        <f>ATAN(A20)</f>
        <v>1.5707963267947966</v>
      </c>
      <c r="E20" t="s">
        <v>27</v>
      </c>
    </row>
    <row r="21" spans="1:5" x14ac:dyDescent="0.35">
      <c r="A21" s="5" t="b">
        <v>1</v>
      </c>
      <c r="B21" s="6">
        <f>ASIN(A21)</f>
        <v>1.5707963267948966</v>
      </c>
      <c r="C21" s="6">
        <f>ACOS(A21)</f>
        <v>0</v>
      </c>
      <c r="D21" s="6">
        <f>ATAN(A21)</f>
        <v>0.78539816339744828</v>
      </c>
      <c r="E21" t="s">
        <v>5</v>
      </c>
    </row>
    <row r="22" spans="1:5" x14ac:dyDescent="0.35">
      <c r="A22" s="5" t="b">
        <v>0</v>
      </c>
      <c r="B22" s="6">
        <f>ASIN(A22)</f>
        <v>0</v>
      </c>
      <c r="C22" s="6">
        <f>ACOS(A22)</f>
        <v>1.5707963267948966</v>
      </c>
      <c r="D22" s="6">
        <f>ATAN(A22)</f>
        <v>0</v>
      </c>
      <c r="E22" t="s">
        <v>5</v>
      </c>
    </row>
    <row r="23" spans="1:5" x14ac:dyDescent="0.35">
      <c r="B23" s="6">
        <f>ASIN(A23)</f>
        <v>0</v>
      </c>
      <c r="C23" s="6">
        <f>ACOS(A23)</f>
        <v>1.5707963267948966</v>
      </c>
      <c r="D23" s="6">
        <f>ATAN(A23)</f>
        <v>0</v>
      </c>
      <c r="E23" t="s">
        <v>6</v>
      </c>
    </row>
    <row r="24" spans="1:5" x14ac:dyDescent="0.35">
      <c r="A24" t="str">
        <f>""</f>
        <v/>
      </c>
      <c r="B24" s="6" t="e">
        <f>ASIN(A24)</f>
        <v>#VALUE!</v>
      </c>
      <c r="C24" s="6" t="e">
        <f>ACOS(A24)</f>
        <v>#VALUE!</v>
      </c>
      <c r="D24" s="6" t="e">
        <f>ATAN(A24)</f>
        <v>#VALUE!</v>
      </c>
      <c r="E24" t="s">
        <v>41</v>
      </c>
    </row>
    <row r="25" spans="1:5" x14ac:dyDescent="0.35">
      <c r="A25" t="str">
        <f>"8"</f>
        <v>8</v>
      </c>
      <c r="B25" s="6" t="e">
        <f>ASIN(A25)</f>
        <v>#NUM!</v>
      </c>
      <c r="C25" s="6" t="e">
        <f>ACOS(A25)</f>
        <v>#NUM!</v>
      </c>
      <c r="D25" s="6">
        <f>ATAN(A25)</f>
        <v>1.4464413322481351</v>
      </c>
      <c r="E25" t="s">
        <v>7</v>
      </c>
    </row>
    <row r="26" spans="1:5" x14ac:dyDescent="0.35">
      <c r="A26">
        <v>2</v>
      </c>
      <c r="B26" s="6" t="e">
        <f>ASIN(A26)</f>
        <v>#NUM!</v>
      </c>
      <c r="C26" s="6" t="e">
        <f>ACOS(A26)</f>
        <v>#NUM!</v>
      </c>
      <c r="D26" s="6">
        <f>ATAN(A26)</f>
        <v>1.1071487177940904</v>
      </c>
      <c r="E26" t="s">
        <v>7</v>
      </c>
    </row>
    <row r="27" spans="1:5" x14ac:dyDescent="0.35">
      <c r="A27" t="str">
        <f>" 10 "</f>
        <v xml:space="preserve"> 10 </v>
      </c>
      <c r="B27" s="6" t="e">
        <f>ASIN(A27)</f>
        <v>#NUM!</v>
      </c>
      <c r="C27" s="6" t="e">
        <f>ACOS(A27)</f>
        <v>#NUM!</v>
      </c>
      <c r="D27" s="6">
        <f>ATAN(A27)</f>
        <v>1.4711276743037347</v>
      </c>
      <c r="E27" t="s">
        <v>7</v>
      </c>
    </row>
    <row r="28" spans="1:5" x14ac:dyDescent="0.35">
      <c r="A28" t="str">
        <f>"0"</f>
        <v>0</v>
      </c>
      <c r="B28" s="6">
        <f>ASIN(A28)</f>
        <v>0</v>
      </c>
      <c r="C28" s="6">
        <f>ACOS(A28)</f>
        <v>1.5707963267948966</v>
      </c>
      <c r="D28" s="6">
        <f>ATAN(A28)</f>
        <v>0</v>
      </c>
      <c r="E28" t="s">
        <v>7</v>
      </c>
    </row>
    <row r="29" spans="1:5" x14ac:dyDescent="0.35">
      <c r="A29" t="s">
        <v>8</v>
      </c>
      <c r="B29" s="6" t="e">
        <f>ASIN(A29)</f>
        <v>#VALUE!</v>
      </c>
      <c r="C29" s="6" t="e">
        <f>ACOS(A29)</f>
        <v>#VALUE!</v>
      </c>
      <c r="D29" s="6" t="e">
        <f>ATAN(A29)</f>
        <v>#VALUE!</v>
      </c>
      <c r="E29" t="s">
        <v>9</v>
      </c>
    </row>
    <row r="30" spans="1:5" x14ac:dyDescent="0.35">
      <c r="A30" s="2" t="e">
        <f>1/0</f>
        <v>#DIV/0!</v>
      </c>
      <c r="B30" s="6" t="e">
        <f>ASIN(A30)</f>
        <v>#DIV/0!</v>
      </c>
      <c r="C30" s="6" t="e">
        <f>ACOS(A30)</f>
        <v>#DIV/0!</v>
      </c>
      <c r="D30" s="6" t="e">
        <f>ATAN(A30)</f>
        <v>#DIV/0!</v>
      </c>
      <c r="E30" t="s">
        <v>10</v>
      </c>
    </row>
    <row r="31" spans="1:5" x14ac:dyDescent="0.35">
      <c r="A31" t="e">
        <f>NA()</f>
        <v>#N/A</v>
      </c>
      <c r="B31" s="6" t="e">
        <f>ASIN(A31)</f>
        <v>#N/A</v>
      </c>
      <c r="C31" s="6" t="e">
        <f>ACOS(A31)</f>
        <v>#N/A</v>
      </c>
      <c r="D31" s="6" t="e">
        <f>ATAN(A31)</f>
        <v>#N/A</v>
      </c>
      <c r="E31" t="s">
        <v>10</v>
      </c>
    </row>
    <row r="32" spans="1:5" x14ac:dyDescent="0.35">
      <c r="A32" t="e" cm="1">
        <f t="array" ref="A32">HELLO</f>
        <v>#NAME?</v>
      </c>
      <c r="B32" s="6" t="e">
        <f>ASIN(A32)</f>
        <v>#NAME?</v>
      </c>
      <c r="C32" s="6" t="e">
        <f>ACOS(A32)</f>
        <v>#NAME?</v>
      </c>
      <c r="D32" s="6" t="e">
        <f>ATAN(A32)</f>
        <v>#NAME?</v>
      </c>
      <c r="E32" t="s">
        <v>10</v>
      </c>
    </row>
    <row r="33" spans="1:9" x14ac:dyDescent="0.35">
      <c r="A33" t="e">
        <f>SQRT(-1)</f>
        <v>#NUM!</v>
      </c>
      <c r="B33" s="6" t="e">
        <f>ASIN(A33)</f>
        <v>#NUM!</v>
      </c>
      <c r="C33" s="6" t="e">
        <f>ACOS(A33)</f>
        <v>#NUM!</v>
      </c>
      <c r="D33" s="6" t="e">
        <f>ATAN(A33)</f>
        <v>#NUM!</v>
      </c>
      <c r="E33" t="s">
        <v>10</v>
      </c>
    </row>
    <row r="34" spans="1:9" x14ac:dyDescent="0.35">
      <c r="A34" t="e">
        <f>"x"+1</f>
        <v>#VALUE!</v>
      </c>
      <c r="B34" s="6" t="e">
        <f>ASIN(A34)</f>
        <v>#VALUE!</v>
      </c>
      <c r="C34" s="6" t="e">
        <f>ACOS(A34)</f>
        <v>#VALUE!</v>
      </c>
      <c r="D34" s="6" t="e">
        <f>ATAN(A34)</f>
        <v>#VALUE!</v>
      </c>
      <c r="E34" t="s">
        <v>10</v>
      </c>
    </row>
    <row r="35" spans="1:9" x14ac:dyDescent="0.35">
      <c r="A35">
        <f>2^20</f>
        <v>1048576</v>
      </c>
      <c r="B35" s="6" t="e">
        <f>ASIN(A35)</f>
        <v>#NUM!</v>
      </c>
      <c r="C35" s="6" t="e">
        <f>ACOS(A35)</f>
        <v>#NUM!</v>
      </c>
      <c r="D35" s="6">
        <f>ATAN(A35)</f>
        <v>1.5707953731205802</v>
      </c>
      <c r="E35" t="s">
        <v>11</v>
      </c>
    </row>
    <row r="36" spans="1:9" x14ac:dyDescent="0.35">
      <c r="A36" t="str">
        <f>"@"</f>
        <v>@</v>
      </c>
      <c r="B36" s="6" t="e">
        <f>ASIN(A36)</f>
        <v>#VALUE!</v>
      </c>
      <c r="C36" s="6" t="e">
        <f>ACOS(A36)</f>
        <v>#VALUE!</v>
      </c>
      <c r="D36" s="6" t="e">
        <f>ATAN(A36)</f>
        <v>#VALUE!</v>
      </c>
      <c r="E36" t="s">
        <v>12</v>
      </c>
    </row>
    <row r="37" spans="1:9" x14ac:dyDescent="0.35">
      <c r="A37" s="2">
        <f>DATE(2024,1,10)</f>
        <v>45301</v>
      </c>
      <c r="B37" s="6" t="e">
        <f>ASIN(A37)</f>
        <v>#NUM!</v>
      </c>
      <c r="C37" s="6" t="e">
        <f>ACOS(A37)</f>
        <v>#NUM!</v>
      </c>
      <c r="D37" s="6">
        <f>ATAN(A37)</f>
        <v>1.5707742522270098</v>
      </c>
      <c r="E37" t="s">
        <v>13</v>
      </c>
      <c r="I37">
        <v>1</v>
      </c>
    </row>
    <row r="38" spans="1:9" x14ac:dyDescent="0.35">
      <c r="A38" t="str">
        <f>"2024-01-10"</f>
        <v>2024-01-10</v>
      </c>
      <c r="B38" s="6" t="e">
        <f>ASIN(A38)</f>
        <v>#NUM!</v>
      </c>
      <c r="C38" s="6" t="e">
        <f>ACOS(A38)</f>
        <v>#NUM!</v>
      </c>
      <c r="D38" s="6">
        <f>ATAN(A38)</f>
        <v>1.5707742522270098</v>
      </c>
      <c r="E38" t="s">
        <v>14</v>
      </c>
      <c r="I38">
        <v>2</v>
      </c>
    </row>
    <row r="39" spans="1:9" x14ac:dyDescent="0.35">
      <c r="A39" t="str">
        <f>" 2024-01-10 "</f>
        <v xml:space="preserve"> 2024-01-10 </v>
      </c>
      <c r="B39" s="6" t="e">
        <f>ASIN(A39)</f>
        <v>#VALUE!</v>
      </c>
      <c r="C39" s="6" t="e">
        <f>ACOS(A39)</f>
        <v>#VALUE!</v>
      </c>
      <c r="D39" s="6" t="e">
        <f>ATAN(A39)</f>
        <v>#VALUE!</v>
      </c>
      <c r="E39" t="s">
        <v>15</v>
      </c>
      <c r="I39">
        <v>3</v>
      </c>
    </row>
    <row r="40" spans="1:9" x14ac:dyDescent="0.35">
      <c r="A40" s="4">
        <f>TIME(14,30,0)</f>
        <v>0.60416666666666663</v>
      </c>
      <c r="B40" s="6">
        <f>ASIN(A40)</f>
        <v>0.64871967834057809</v>
      </c>
      <c r="C40" s="6">
        <f>ACOS(A40)</f>
        <v>0.92207664845431847</v>
      </c>
      <c r="D40" s="6">
        <f>ATAN(A40)</f>
        <v>0.54347759471304335</v>
      </c>
      <c r="E40" t="s">
        <v>16</v>
      </c>
      <c r="I40">
        <v>4</v>
      </c>
    </row>
    <row r="41" spans="1:9" x14ac:dyDescent="0.35">
      <c r="B41" s="6" t="e">
        <f>ASIN(I:I)</f>
        <v>#NUM!</v>
      </c>
      <c r="C41" s="6" t="e">
        <f>ACOS(I:I)</f>
        <v>#NUM!</v>
      </c>
      <c r="D41" s="6">
        <f>ATAN(I:I)</f>
        <v>1.3734007669450159</v>
      </c>
      <c r="E41" t="s">
        <v>17</v>
      </c>
      <c r="I41">
        <v>5</v>
      </c>
    </row>
    <row r="42" spans="1:9" x14ac:dyDescent="0.35">
      <c r="A42">
        <f>1.05*(0.0284+0.0046)-0.0284</f>
        <v>6.2499999999999986E-3</v>
      </c>
      <c r="B42" s="6">
        <f>ASIN(A42)</f>
        <v>6.2500406908194374E-3</v>
      </c>
      <c r="C42" s="6">
        <f>ACOS(A42)</f>
        <v>1.5645462861040771</v>
      </c>
      <c r="D42" s="6">
        <f>ATAN(A42)</f>
        <v>6.2499186216989607E-3</v>
      </c>
      <c r="E42" t="s">
        <v>18</v>
      </c>
      <c r="I42">
        <v>6</v>
      </c>
    </row>
    <row r="43" spans="1:9" x14ac:dyDescent="0.35">
      <c r="A43">
        <f>I44</f>
        <v>1.75</v>
      </c>
      <c r="B43" s="6" t="e">
        <f>ASIN(A43)</f>
        <v>#NUM!</v>
      </c>
      <c r="C43" s="6" t="e">
        <f>ACOS(A43)</f>
        <v>#NUM!</v>
      </c>
      <c r="D43" s="6">
        <f>ATAN(A43)</f>
        <v>1.0516502125483738</v>
      </c>
      <c r="E43" t="s">
        <v>19</v>
      </c>
      <c r="I43">
        <v>7</v>
      </c>
    </row>
    <row r="44" spans="1:9" x14ac:dyDescent="0.35">
      <c r="A44" t="s">
        <v>20</v>
      </c>
      <c r="B44" s="6" t="e">
        <f>ASIN(A44)</f>
        <v>#VALUE!</v>
      </c>
      <c r="C44" s="6" t="e">
        <f>ACOS(A44)</f>
        <v>#VALUE!</v>
      </c>
      <c r="D44" s="6" t="e">
        <f>ATAN(A44)</f>
        <v>#VALUE!</v>
      </c>
      <c r="I44">
        <v>1.75</v>
      </c>
    </row>
    <row r="45" spans="1:9" x14ac:dyDescent="0.35">
      <c r="A45">
        <f>PI() - 0.000000000001</f>
        <v>3.141592653588793</v>
      </c>
      <c r="B45" s="6" t="e">
        <f>ASIN(A45)</f>
        <v>#NUM!</v>
      </c>
      <c r="C45" s="6" t="e">
        <f>ACOS(A45)</f>
        <v>#NUM!</v>
      </c>
      <c r="D45" s="6">
        <f>ATAN(A45)</f>
        <v>1.2626272556788196</v>
      </c>
      <c r="E45" t="s">
        <v>21</v>
      </c>
    </row>
    <row r="46" spans="1:9" x14ac:dyDescent="0.35">
      <c r="A46">
        <f>PI()/2 - 0.000000000001</f>
        <v>1.5707963267938965</v>
      </c>
      <c r="B46" s="6" t="e">
        <f>ASIN(A46)</f>
        <v>#NUM!</v>
      </c>
      <c r="C46" s="6" t="e">
        <f>ACOS(A46)</f>
        <v>#NUM!</v>
      </c>
      <c r="D46" s="6">
        <f>ATAN(A46)</f>
        <v>1.0038848218535987</v>
      </c>
      <c r="E46" t="s">
        <v>22</v>
      </c>
    </row>
    <row r="47" spans="1:9" x14ac:dyDescent="0.35">
      <c r="A47">
        <f>PI()/2 + 0.000000000001</f>
        <v>1.5707963267958966</v>
      </c>
      <c r="B47" s="6" t="e">
        <f>ASIN(A47)</f>
        <v>#NUM!</v>
      </c>
      <c r="C47" s="6" t="e">
        <f>ACOS(A47)</f>
        <v>#NUM!</v>
      </c>
      <c r="D47" s="6">
        <f>ATAN(A47)</f>
        <v>1.0038848218541756</v>
      </c>
      <c r="E47" t="s">
        <v>23</v>
      </c>
    </row>
    <row r="48" spans="1:9" x14ac:dyDescent="0.35">
      <c r="A48" s="10">
        <f>PI()</f>
        <v>3.1415926535897931</v>
      </c>
      <c r="B48" s="6" t="e">
        <f>ASIN(A48)</f>
        <v>#NUM!</v>
      </c>
      <c r="C48" s="6" t="e">
        <f>ACOS(A48)</f>
        <v>#NUM!</v>
      </c>
      <c r="D48" s="6">
        <f>ATAN(A48)</f>
        <v>1.2626272556789118</v>
      </c>
      <c r="E48" t="s">
        <v>33</v>
      </c>
    </row>
    <row r="49" spans="1:5" x14ac:dyDescent="0.35">
      <c r="A49" s="10">
        <f>PI()/2</f>
        <v>1.5707963267948966</v>
      </c>
      <c r="B49" s="6" t="e">
        <f>ASIN(A49)</f>
        <v>#NUM!</v>
      </c>
      <c r="C49" s="6" t="e">
        <f>ACOS(A49)</f>
        <v>#NUM!</v>
      </c>
      <c r="D49" s="6">
        <f>ATAN(A49)</f>
        <v>1.0038848218538872</v>
      </c>
      <c r="E49" t="s">
        <v>28</v>
      </c>
    </row>
    <row r="50" spans="1:5" x14ac:dyDescent="0.35">
      <c r="A50" s="10">
        <f>2*PI()</f>
        <v>6.2831853071795862</v>
      </c>
      <c r="B50" s="6" t="e">
        <f>ASIN(A50)</f>
        <v>#NUM!</v>
      </c>
      <c r="C50" s="6" t="e">
        <f>ACOS(A50)</f>
        <v>#NUM!</v>
      </c>
      <c r="D50" s="6">
        <f>ATAN(A50)</f>
        <v>1.4129651365067377</v>
      </c>
      <c r="E50" t="s">
        <v>37</v>
      </c>
    </row>
    <row r="51" spans="1:5" x14ac:dyDescent="0.35">
      <c r="A51" s="10">
        <f>PI()/4</f>
        <v>0.78539816339744828</v>
      </c>
      <c r="B51" s="6">
        <f>ASIN(A51)</f>
        <v>0.90333911076651274</v>
      </c>
      <c r="C51" s="6">
        <f>ACOS(A51)</f>
        <v>0.66745721602838382</v>
      </c>
      <c r="D51" s="6">
        <f>ATAN(A51)</f>
        <v>0.66577375002835382</v>
      </c>
      <c r="E51" t="s">
        <v>42</v>
      </c>
    </row>
    <row r="52" spans="1:5" x14ac:dyDescent="0.35">
      <c r="A52" s="10">
        <f>PI()/6</f>
        <v>0.52359877559829882</v>
      </c>
      <c r="B52" s="6">
        <f>ASIN(A52)</f>
        <v>0.55106958309944631</v>
      </c>
      <c r="C52" s="6">
        <f>ACOS(A52)</f>
        <v>1.0197267436954502</v>
      </c>
      <c r="D52" s="6">
        <f>ATAN(A52)</f>
        <v>0.48234790710102493</v>
      </c>
      <c r="E5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D86D-5B01-4178-9B39-188C4EF7CF24}">
  <dimension ref="A1:I52"/>
  <sheetViews>
    <sheetView tabSelected="1" workbookViewId="0">
      <selection activeCell="E39" sqref="E39"/>
    </sheetView>
  </sheetViews>
  <sheetFormatPr defaultColWidth="14.7265625" defaultRowHeight="14.5" x14ac:dyDescent="0.35"/>
  <cols>
    <col min="1" max="1" width="23.6328125" customWidth="1"/>
    <col min="2" max="4" width="18" customWidth="1"/>
    <col min="5" max="5" width="47.26953125" customWidth="1"/>
  </cols>
  <sheetData>
    <row r="1" spans="1:5" ht="15.5" x14ac:dyDescent="0.35">
      <c r="A1" s="1" t="s">
        <v>0</v>
      </c>
      <c r="B1" s="1" t="s">
        <v>47</v>
      </c>
      <c r="C1" s="1" t="s">
        <v>48</v>
      </c>
      <c r="D1" s="1" t="s">
        <v>49</v>
      </c>
      <c r="E1" s="3" t="s">
        <v>4</v>
      </c>
    </row>
    <row r="2" spans="1:5" x14ac:dyDescent="0.35">
      <c r="A2">
        <v>1</v>
      </c>
      <c r="B2" s="6">
        <f>SINH(A2)</f>
        <v>1.1752011936438014</v>
      </c>
      <c r="C2" s="6">
        <f>COSH(A2)</f>
        <v>1.5430806348152437</v>
      </c>
      <c r="D2" s="6">
        <f>TANH(A2)</f>
        <v>0.76159415595576485</v>
      </c>
    </row>
    <row r="3" spans="1:5" x14ac:dyDescent="0.35">
      <c r="A3">
        <v>5</v>
      </c>
      <c r="B3" s="6">
        <f>SINH(A3)</f>
        <v>74.203210577788752</v>
      </c>
      <c r="C3" s="6">
        <f>COSH(A3)</f>
        <v>74.209948524787848</v>
      </c>
      <c r="D3" s="6">
        <f>TANH(A3)</f>
        <v>0.999909204262595</v>
      </c>
    </row>
    <row r="4" spans="1:5" x14ac:dyDescent="0.35">
      <c r="A4">
        <v>2.8</v>
      </c>
      <c r="B4" s="6">
        <f>SINH(A4)</f>
        <v>8.1919183542359146</v>
      </c>
      <c r="C4" s="6">
        <f>COSH(A4)</f>
        <v>8.2527284168611335</v>
      </c>
      <c r="D4" s="6">
        <f>TANH(A4)</f>
        <v>0.99263152020112788</v>
      </c>
    </row>
    <row r="5" spans="1:5" x14ac:dyDescent="0.35">
      <c r="A5">
        <v>-1</v>
      </c>
      <c r="B5" s="6">
        <f>SINH(A5)</f>
        <v>-1.1752011936438014</v>
      </c>
      <c r="C5" s="6">
        <f>COSH(A5)</f>
        <v>1.5430806348152437</v>
      </c>
      <c r="D5" s="6">
        <f>TANH(A5)</f>
        <v>-0.76159415595576485</v>
      </c>
    </row>
    <row r="6" spans="1:5" x14ac:dyDescent="0.35">
      <c r="A6">
        <v>-10</v>
      </c>
      <c r="B6" s="6">
        <f>SINH(A6)</f>
        <v>-11013.232874703393</v>
      </c>
      <c r="C6" s="6">
        <f>COSH(A6)</f>
        <v>11013.232920103324</v>
      </c>
      <c r="D6" s="6">
        <f>TANH(A6)</f>
        <v>-0.99999999587769262</v>
      </c>
    </row>
    <row r="7" spans="1:5" x14ac:dyDescent="0.35">
      <c r="A7">
        <v>0</v>
      </c>
      <c r="B7" s="6">
        <f>SINH(A7)</f>
        <v>0</v>
      </c>
      <c r="C7" s="6">
        <f>COSH(A7)</f>
        <v>1</v>
      </c>
      <c r="D7" s="6">
        <f>TANH(A7)</f>
        <v>0</v>
      </c>
      <c r="E7" t="s">
        <v>38</v>
      </c>
    </row>
    <row r="8" spans="1:5" x14ac:dyDescent="0.35">
      <c r="A8">
        <v>7.1</v>
      </c>
      <c r="B8" s="6">
        <f>SINH(A8)</f>
        <v>605.98312469382654</v>
      </c>
      <c r="C8" s="6">
        <f>COSH(A8)</f>
        <v>605.98394979874979</v>
      </c>
      <c r="D8" s="6">
        <f>TANH(A8)</f>
        <v>0.99999863840465819</v>
      </c>
    </row>
    <row r="9" spans="1:5" x14ac:dyDescent="0.35">
      <c r="A9">
        <v>-7.1</v>
      </c>
      <c r="B9" s="6">
        <f>SINH(A9)</f>
        <v>-605.98312469382654</v>
      </c>
      <c r="C9" s="6">
        <f>COSH(A9)</f>
        <v>605.98394979874979</v>
      </c>
      <c r="D9" s="6">
        <f>TANH(A9)</f>
        <v>-0.99999863840465819</v>
      </c>
    </row>
    <row r="10" spans="1:5" x14ac:dyDescent="0.35">
      <c r="A10">
        <v>0.123</v>
      </c>
      <c r="B10" s="6">
        <f>SINH(A10)</f>
        <v>0.12331037919333422</v>
      </c>
      <c r="C10" s="6">
        <f>COSH(A10)</f>
        <v>1.0075740417541552</v>
      </c>
      <c r="D10" s="6">
        <f>TANH(A10)</f>
        <v>0.12238344189440876</v>
      </c>
    </row>
    <row r="11" spans="1:5" x14ac:dyDescent="0.35">
      <c r="A11">
        <v>-0.5</v>
      </c>
      <c r="B11" s="6">
        <f>SINH(A11)</f>
        <v>-0.52109530549374738</v>
      </c>
      <c r="C11" s="6">
        <f>COSH(A11)</f>
        <v>1.1276259652063807</v>
      </c>
      <c r="D11" s="6">
        <f>TANH(A11)</f>
        <v>-0.46211715726000979</v>
      </c>
    </row>
    <row r="12" spans="1:5" x14ac:dyDescent="0.35">
      <c r="A12">
        <v>100</v>
      </c>
      <c r="B12" s="7">
        <f>SINH(A12)</f>
        <v>1.3440585709080678E+43</v>
      </c>
      <c r="C12" s="7">
        <f>COSH(A12)</f>
        <v>1.3440585709080678E+43</v>
      </c>
      <c r="D12" s="6">
        <f>TANH(A12)</f>
        <v>1</v>
      </c>
    </row>
    <row r="13" spans="1:5" x14ac:dyDescent="0.35">
      <c r="A13">
        <v>-100</v>
      </c>
      <c r="B13" s="7">
        <f>SINH(A13)</f>
        <v>-1.3440585709080678E+43</v>
      </c>
      <c r="C13" s="7">
        <f>COSH(A13)</f>
        <v>1.3440585709080678E+43</v>
      </c>
      <c r="D13" s="6">
        <f>TANH(A13)</f>
        <v>-1</v>
      </c>
    </row>
    <row r="14" spans="1:5" x14ac:dyDescent="0.35">
      <c r="A14" s="8">
        <v>1.0000000001</v>
      </c>
      <c r="B14" s="6">
        <f>SINH(A14)</f>
        <v>1.1752011937981095</v>
      </c>
      <c r="C14" s="6">
        <f>COSH(A14)</f>
        <v>1.5430806349327639</v>
      </c>
      <c r="D14" s="6">
        <f>TANH(A14)</f>
        <v>0.76159415599776226</v>
      </c>
      <c r="E14" t="s">
        <v>53</v>
      </c>
    </row>
    <row r="15" spans="1:5" x14ac:dyDescent="0.35">
      <c r="A15" s="8">
        <v>0.99999999989999999</v>
      </c>
      <c r="B15" s="6">
        <f>SINH(A15)</f>
        <v>1.1752011934894935</v>
      </c>
      <c r="C15" s="6">
        <f>COSH(A15)</f>
        <v>1.5430806346977237</v>
      </c>
      <c r="D15" s="6">
        <f>TANH(A15)</f>
        <v>0.76159415591376745</v>
      </c>
      <c r="E15" t="s">
        <v>53</v>
      </c>
    </row>
    <row r="16" spans="1:5" x14ac:dyDescent="0.35">
      <c r="A16" s="8">
        <v>-1.0000000001</v>
      </c>
      <c r="B16" s="6">
        <f>SINH(A16)</f>
        <v>-1.1752011937981095</v>
      </c>
      <c r="C16" s="6">
        <f>COSH(A16)</f>
        <v>1.5430806349327639</v>
      </c>
      <c r="D16" s="6">
        <f>TANH(A16)</f>
        <v>-0.76159415599776226</v>
      </c>
      <c r="E16" t="s">
        <v>54</v>
      </c>
    </row>
    <row r="17" spans="1:5" x14ac:dyDescent="0.35">
      <c r="A17" s="8">
        <v>-0.99999999989999999</v>
      </c>
      <c r="B17" s="6">
        <f>SINH(A17)</f>
        <v>-1.1752011934894935</v>
      </c>
      <c r="C17" s="6">
        <f>COSH(A17)</f>
        <v>1.5430806346977237</v>
      </c>
      <c r="D17" s="6">
        <f>TANH(A17)</f>
        <v>-0.76159415591376745</v>
      </c>
      <c r="E17" t="s">
        <v>54</v>
      </c>
    </row>
    <row r="18" spans="1:5" x14ac:dyDescent="0.35">
      <c r="A18" s="5">
        <v>9.9999999999999998E-13</v>
      </c>
      <c r="B18" s="7">
        <f>SINH(A18)</f>
        <v>9.9999999999999998E-13</v>
      </c>
      <c r="C18" s="6">
        <f>COSH(A18)</f>
        <v>1</v>
      </c>
      <c r="D18" s="7">
        <f>TANH(A18)</f>
        <v>9.9999999999999998E-13</v>
      </c>
      <c r="E18" t="s">
        <v>39</v>
      </c>
    </row>
    <row r="19" spans="1:5" x14ac:dyDescent="0.35">
      <c r="A19" s="5">
        <v>-9.9999999999999998E-13</v>
      </c>
      <c r="B19" s="7">
        <f>SINH(A19)</f>
        <v>-9.9999999999999998E-13</v>
      </c>
      <c r="C19" s="6">
        <f>COSH(A19)</f>
        <v>1</v>
      </c>
      <c r="D19" s="7">
        <f>TANH(A19)</f>
        <v>-9.9999999999999998E-13</v>
      </c>
      <c r="E19" t="s">
        <v>40</v>
      </c>
    </row>
    <row r="20" spans="1:5" x14ac:dyDescent="0.35">
      <c r="A20" s="5">
        <v>9999999999999</v>
      </c>
      <c r="B20" s="6" t="e">
        <f>SINH(A20)</f>
        <v>#NUM!</v>
      </c>
      <c r="C20" s="6" t="e">
        <f>COSH(A20)</f>
        <v>#NUM!</v>
      </c>
      <c r="D20" s="6">
        <f>TANH(A20)</f>
        <v>1</v>
      </c>
      <c r="E20" t="s">
        <v>27</v>
      </c>
    </row>
    <row r="21" spans="1:5" x14ac:dyDescent="0.35">
      <c r="A21" s="5" t="b">
        <v>1</v>
      </c>
      <c r="B21" s="6">
        <f>SINH(A21)</f>
        <v>1.1752011936438014</v>
      </c>
      <c r="C21" s="6">
        <f>COSH(A21)</f>
        <v>1.5430806348152437</v>
      </c>
      <c r="D21" s="6">
        <f>TANH(A21)</f>
        <v>0.76159415595576485</v>
      </c>
      <c r="E21" t="s">
        <v>5</v>
      </c>
    </row>
    <row r="22" spans="1:5" x14ac:dyDescent="0.35">
      <c r="A22" s="5" t="b">
        <v>0</v>
      </c>
      <c r="B22" s="6">
        <f>SINH(A22)</f>
        <v>0</v>
      </c>
      <c r="C22" s="6">
        <f>COSH(A22)</f>
        <v>1</v>
      </c>
      <c r="D22" s="6">
        <f>TANH(A22)</f>
        <v>0</v>
      </c>
      <c r="E22" t="s">
        <v>5</v>
      </c>
    </row>
    <row r="23" spans="1:5" x14ac:dyDescent="0.35">
      <c r="B23" s="6">
        <f>SINH(A23)</f>
        <v>0</v>
      </c>
      <c r="C23" s="6">
        <f>COSH(A23)</f>
        <v>1</v>
      </c>
      <c r="D23" s="6">
        <f>TANH(A23)</f>
        <v>0</v>
      </c>
      <c r="E23" t="s">
        <v>6</v>
      </c>
    </row>
    <row r="24" spans="1:5" x14ac:dyDescent="0.35">
      <c r="A24" t="str">
        <f>""</f>
        <v/>
      </c>
      <c r="B24" s="6" t="e">
        <f>SINH(A24)</f>
        <v>#VALUE!</v>
      </c>
      <c r="C24" s="6" t="e">
        <f>COSH(A24)</f>
        <v>#VALUE!</v>
      </c>
      <c r="D24" s="6" t="e">
        <f>TANH(A24)</f>
        <v>#VALUE!</v>
      </c>
      <c r="E24" t="s">
        <v>41</v>
      </c>
    </row>
    <row r="25" spans="1:5" x14ac:dyDescent="0.35">
      <c r="A25" t="str">
        <f>"8"</f>
        <v>8</v>
      </c>
      <c r="B25" s="6">
        <f>SINH(A25)</f>
        <v>1490.4788257895502</v>
      </c>
      <c r="C25" s="6">
        <f>COSH(A25)</f>
        <v>1490.4791612521781</v>
      </c>
      <c r="D25" s="6">
        <f>TANH(A25)</f>
        <v>0.99999977492967596</v>
      </c>
      <c r="E25" t="s">
        <v>7</v>
      </c>
    </row>
    <row r="26" spans="1:5" x14ac:dyDescent="0.35">
      <c r="A26">
        <v>2</v>
      </c>
      <c r="B26" s="6">
        <f>SINH(A26)</f>
        <v>3.626860407847019</v>
      </c>
      <c r="C26" s="6">
        <f>COSH(A26)</f>
        <v>3.7621956910836314</v>
      </c>
      <c r="D26" s="6">
        <f>TANH(A26)</f>
        <v>0.96402758007581701</v>
      </c>
      <c r="E26" t="s">
        <v>7</v>
      </c>
    </row>
    <row r="27" spans="1:5" x14ac:dyDescent="0.35">
      <c r="A27" t="str">
        <f>" 10 "</f>
        <v xml:space="preserve"> 10 </v>
      </c>
      <c r="B27" s="6">
        <f>SINH(A27)</f>
        <v>11013.232874703393</v>
      </c>
      <c r="C27" s="6">
        <f>COSH(A27)</f>
        <v>11013.232920103324</v>
      </c>
      <c r="D27" s="6">
        <f>TANH(A27)</f>
        <v>0.99999999587769262</v>
      </c>
      <c r="E27" t="s">
        <v>7</v>
      </c>
    </row>
    <row r="28" spans="1:5" x14ac:dyDescent="0.35">
      <c r="A28" t="str">
        <f>"0"</f>
        <v>0</v>
      </c>
      <c r="B28" s="6">
        <f>SINH(A28)</f>
        <v>0</v>
      </c>
      <c r="C28" s="6">
        <f>COSH(A28)</f>
        <v>1</v>
      </c>
      <c r="D28" s="6">
        <f>TANH(A28)</f>
        <v>0</v>
      </c>
      <c r="E28" t="s">
        <v>7</v>
      </c>
    </row>
    <row r="29" spans="1:5" x14ac:dyDescent="0.35">
      <c r="A29" t="s">
        <v>8</v>
      </c>
      <c r="B29" s="6" t="e">
        <f>SINH(A29)</f>
        <v>#VALUE!</v>
      </c>
      <c r="C29" s="6" t="e">
        <f>COSH(A29)</f>
        <v>#VALUE!</v>
      </c>
      <c r="D29" s="6" t="e">
        <f>TANH(A29)</f>
        <v>#VALUE!</v>
      </c>
      <c r="E29" t="s">
        <v>9</v>
      </c>
    </row>
    <row r="30" spans="1:5" x14ac:dyDescent="0.35">
      <c r="A30" s="2" t="e">
        <f>1/0</f>
        <v>#DIV/0!</v>
      </c>
      <c r="B30" s="6" t="e">
        <f>SINH(A30)</f>
        <v>#DIV/0!</v>
      </c>
      <c r="C30" s="6" t="e">
        <f>COSH(A30)</f>
        <v>#DIV/0!</v>
      </c>
      <c r="D30" s="6" t="e">
        <f>TANH(A30)</f>
        <v>#DIV/0!</v>
      </c>
      <c r="E30" t="s">
        <v>10</v>
      </c>
    </row>
    <row r="31" spans="1:5" x14ac:dyDescent="0.35">
      <c r="A31" t="e">
        <f>NA()</f>
        <v>#N/A</v>
      </c>
      <c r="B31" s="6" t="e">
        <f>SINH(A31)</f>
        <v>#N/A</v>
      </c>
      <c r="C31" s="6" t="e">
        <f>COSH(A31)</f>
        <v>#N/A</v>
      </c>
      <c r="D31" s="6" t="e">
        <f>TANH(A31)</f>
        <v>#N/A</v>
      </c>
      <c r="E31" t="s">
        <v>10</v>
      </c>
    </row>
    <row r="32" spans="1:5" x14ac:dyDescent="0.35">
      <c r="A32" t="e" cm="1">
        <f t="array" ref="A32">HELLO</f>
        <v>#NAME?</v>
      </c>
      <c r="B32" s="6" t="e">
        <f>SINH(A32)</f>
        <v>#NAME?</v>
      </c>
      <c r="C32" s="6" t="e">
        <f>COSH(A32)</f>
        <v>#NAME?</v>
      </c>
      <c r="D32" s="6" t="e">
        <f>TANH(A32)</f>
        <v>#NAME?</v>
      </c>
      <c r="E32" t="s">
        <v>10</v>
      </c>
    </row>
    <row r="33" spans="1:9" x14ac:dyDescent="0.35">
      <c r="A33" t="e">
        <f>SQRT(-1)</f>
        <v>#NUM!</v>
      </c>
      <c r="B33" s="6" t="e">
        <f>SINH(A33)</f>
        <v>#NUM!</v>
      </c>
      <c r="C33" s="6" t="e">
        <f>COSH(A33)</f>
        <v>#NUM!</v>
      </c>
      <c r="D33" s="6" t="e">
        <f>TANH(A33)</f>
        <v>#NUM!</v>
      </c>
      <c r="E33" t="s">
        <v>10</v>
      </c>
    </row>
    <row r="34" spans="1:9" x14ac:dyDescent="0.35">
      <c r="A34" t="e">
        <f>"x"+1</f>
        <v>#VALUE!</v>
      </c>
      <c r="B34" s="6" t="e">
        <f>SINH(A34)</f>
        <v>#VALUE!</v>
      </c>
      <c r="C34" s="6" t="e">
        <f>COSH(A34)</f>
        <v>#VALUE!</v>
      </c>
      <c r="D34" s="6" t="e">
        <f>TANH(A34)</f>
        <v>#VALUE!</v>
      </c>
      <c r="E34" t="s">
        <v>10</v>
      </c>
    </row>
    <row r="35" spans="1:9" x14ac:dyDescent="0.35">
      <c r="A35">
        <f>2^20</f>
        <v>1048576</v>
      </c>
      <c r="B35" s="6" t="e">
        <f>SINH(A35)</f>
        <v>#NUM!</v>
      </c>
      <c r="C35" s="6" t="e">
        <f>COSH(A35)</f>
        <v>#NUM!</v>
      </c>
      <c r="D35" s="6">
        <f>TANH(A35)</f>
        <v>1</v>
      </c>
      <c r="E35" t="s">
        <v>11</v>
      </c>
    </row>
    <row r="36" spans="1:9" x14ac:dyDescent="0.35">
      <c r="A36" t="str">
        <f>"@"</f>
        <v>@</v>
      </c>
      <c r="B36" s="6" t="e">
        <f>SINH(A36)</f>
        <v>#VALUE!</v>
      </c>
      <c r="C36" s="6" t="e">
        <f>COSH(A36)</f>
        <v>#VALUE!</v>
      </c>
      <c r="D36" s="6" t="e">
        <f>TANH(A36)</f>
        <v>#VALUE!</v>
      </c>
      <c r="E36" t="s">
        <v>12</v>
      </c>
    </row>
    <row r="37" spans="1:9" x14ac:dyDescent="0.35">
      <c r="A37" s="2">
        <f>DATE(2024,1,10)</f>
        <v>45301</v>
      </c>
      <c r="B37" s="6" t="e">
        <f>SINH(A37)</f>
        <v>#NUM!</v>
      </c>
      <c r="C37" s="6" t="e">
        <f>COSH(A37)</f>
        <v>#NUM!</v>
      </c>
      <c r="D37" s="6">
        <f>TANH(A37)</f>
        <v>1</v>
      </c>
      <c r="E37" t="s">
        <v>13</v>
      </c>
      <c r="I37">
        <v>1</v>
      </c>
    </row>
    <row r="38" spans="1:9" x14ac:dyDescent="0.35">
      <c r="A38" t="str">
        <f>"2024-01-10"</f>
        <v>2024-01-10</v>
      </c>
      <c r="B38" s="6" t="e">
        <f>SINH(A38)</f>
        <v>#NUM!</v>
      </c>
      <c r="C38" s="6" t="e">
        <f>COSH(A38)</f>
        <v>#NUM!</v>
      </c>
      <c r="D38" s="6">
        <f>TANH(A38)</f>
        <v>1</v>
      </c>
      <c r="E38" t="s">
        <v>14</v>
      </c>
      <c r="I38">
        <v>2</v>
      </c>
    </row>
    <row r="39" spans="1:9" x14ac:dyDescent="0.35">
      <c r="A39" t="str">
        <f>" 2024-01-10 "</f>
        <v xml:space="preserve"> 2024-01-10 </v>
      </c>
      <c r="B39" s="6" t="e">
        <f>SINH(A39)</f>
        <v>#VALUE!</v>
      </c>
      <c r="C39" s="6" t="e">
        <f>COSH(A39)</f>
        <v>#VALUE!</v>
      </c>
      <c r="D39" s="6" t="e">
        <f>TANH(A39)</f>
        <v>#VALUE!</v>
      </c>
      <c r="E39" t="s">
        <v>15</v>
      </c>
      <c r="I39">
        <v>3</v>
      </c>
    </row>
    <row r="40" spans="1:9" x14ac:dyDescent="0.35">
      <c r="A40" s="4">
        <f>TIME(14,30,0)</f>
        <v>0.60416666666666663</v>
      </c>
      <c r="B40" s="6">
        <f>SINH(A40)</f>
        <v>0.64159856136473792</v>
      </c>
      <c r="C40" s="6">
        <f>COSH(A40)</f>
        <v>1.1881282396885033</v>
      </c>
      <c r="D40" s="6">
        <f>TANH(A40)</f>
        <v>0.54000783748137215</v>
      </c>
      <c r="E40" t="s">
        <v>16</v>
      </c>
      <c r="I40">
        <v>4</v>
      </c>
    </row>
    <row r="41" spans="1:9" x14ac:dyDescent="0.35">
      <c r="B41" s="6">
        <f>SINH(I:I)</f>
        <v>74.203210577788752</v>
      </c>
      <c r="C41" s="6">
        <f>COSH(I:I)</f>
        <v>74.209948524787848</v>
      </c>
      <c r="D41" s="6">
        <f>TANH(I:I)</f>
        <v>0.999909204262595</v>
      </c>
      <c r="E41" t="s">
        <v>17</v>
      </c>
      <c r="I41">
        <v>5</v>
      </c>
    </row>
    <row r="42" spans="1:9" x14ac:dyDescent="0.35">
      <c r="A42">
        <f>1.05*(0.0284+0.0046)-0.0284</f>
        <v>6.2499999999999986E-3</v>
      </c>
      <c r="B42" s="6">
        <f>SINH(A42)</f>
        <v>6.2500406901836378E-3</v>
      </c>
      <c r="C42" s="6">
        <f>COSH(A42)</f>
        <v>1.0000195313135785</v>
      </c>
      <c r="D42" s="6">
        <f>TANH(A42)</f>
        <v>6.2499186210632097E-3</v>
      </c>
      <c r="E42" t="s">
        <v>18</v>
      </c>
      <c r="I42">
        <v>6</v>
      </c>
    </row>
    <row r="43" spans="1:9" x14ac:dyDescent="0.35">
      <c r="A43">
        <f>I44</f>
        <v>1.75</v>
      </c>
      <c r="B43" s="6">
        <f>SINH(A43)</f>
        <v>2.7904143662776426</v>
      </c>
      <c r="C43" s="6">
        <f>COSH(A43)</f>
        <v>2.9641883097280881</v>
      </c>
      <c r="D43" s="6">
        <f>TANH(A43)</f>
        <v>0.94137553849728728</v>
      </c>
      <c r="E43" t="s">
        <v>19</v>
      </c>
      <c r="I43">
        <v>7</v>
      </c>
    </row>
    <row r="44" spans="1:9" x14ac:dyDescent="0.35">
      <c r="A44" t="s">
        <v>20</v>
      </c>
      <c r="B44" s="6" t="e">
        <f>SINH(A44)</f>
        <v>#VALUE!</v>
      </c>
      <c r="C44" s="6" t="e">
        <f>COSH(A44)</f>
        <v>#VALUE!</v>
      </c>
      <c r="D44" s="6" t="e">
        <f>TANH(A44)</f>
        <v>#VALUE!</v>
      </c>
      <c r="I44">
        <v>1.75</v>
      </c>
    </row>
    <row r="45" spans="1:9" x14ac:dyDescent="0.35">
      <c r="A45">
        <f>PI() - 0.000000000001</f>
        <v>3.141592653588793</v>
      </c>
      <c r="B45" s="6">
        <f>SINH(A45)</f>
        <v>11.548739357246154</v>
      </c>
      <c r="C45" s="6">
        <f>COSH(A45)</f>
        <v>11.591953275509971</v>
      </c>
      <c r="D45" s="6">
        <f>TANH(A45)</f>
        <v>0.99627207622074243</v>
      </c>
      <c r="E45" t="s">
        <v>21</v>
      </c>
    </row>
    <row r="46" spans="1:9" x14ac:dyDescent="0.35">
      <c r="A46">
        <f>PI()/2 - 0.000000000001</f>
        <v>1.5707963267938965</v>
      </c>
      <c r="B46" s="6">
        <f>SINH(A46)</f>
        <v>2.3012989023047852</v>
      </c>
      <c r="C46" s="6">
        <f>COSH(A46)</f>
        <v>2.5091784786557549</v>
      </c>
      <c r="D46" s="6">
        <f>TANH(A46)</f>
        <v>0.91715233566711551</v>
      </c>
      <c r="E46" t="s">
        <v>22</v>
      </c>
    </row>
    <row r="47" spans="1:9" x14ac:dyDescent="0.35">
      <c r="A47">
        <f>PI()/2 + 0.000000000001</f>
        <v>1.5707963267958966</v>
      </c>
      <c r="B47" s="6">
        <f>SINH(A47)</f>
        <v>2.3012989023098043</v>
      </c>
      <c r="C47" s="6">
        <f>COSH(A47)</f>
        <v>2.5091784786603584</v>
      </c>
      <c r="D47" s="6">
        <f>TANH(A47)</f>
        <v>0.91715233566743315</v>
      </c>
      <c r="E47" t="s">
        <v>23</v>
      </c>
    </row>
    <row r="48" spans="1:9" x14ac:dyDescent="0.35">
      <c r="A48" s="10">
        <f>PI()</f>
        <v>3.1415926535897931</v>
      </c>
      <c r="B48" s="6">
        <f>SINH(A48)</f>
        <v>11.548739357257748</v>
      </c>
      <c r="C48" s="6">
        <f>COSH(A48)</f>
        <v>11.591953275521519</v>
      </c>
      <c r="D48" s="6">
        <f>TANH(A48)</f>
        <v>0.99627207622075009</v>
      </c>
      <c r="E48" t="s">
        <v>33</v>
      </c>
    </row>
    <row r="49" spans="1:5" x14ac:dyDescent="0.35">
      <c r="A49" s="10">
        <f>PI()/2</f>
        <v>1.5707963267948966</v>
      </c>
      <c r="B49" s="6">
        <f>SINH(A49)</f>
        <v>2.3012989023072947</v>
      </c>
      <c r="C49" s="6">
        <f>COSH(A49)</f>
        <v>2.5091784786580567</v>
      </c>
      <c r="D49" s="6">
        <f>TANH(A49)</f>
        <v>0.91715233566727439</v>
      </c>
      <c r="E49" t="s">
        <v>28</v>
      </c>
    </row>
    <row r="50" spans="1:5" x14ac:dyDescent="0.35">
      <c r="A50" s="10">
        <f>2*PI()</f>
        <v>6.2831853071795862</v>
      </c>
      <c r="B50" s="6">
        <f>SINH(A50)</f>
        <v>267.74489404101644</v>
      </c>
      <c r="C50" s="6">
        <f>COSH(A50)</f>
        <v>267.74676148374817</v>
      </c>
      <c r="D50" s="6">
        <f>TANH(A50)</f>
        <v>0.99999302533961054</v>
      </c>
      <c r="E50" t="s">
        <v>37</v>
      </c>
    </row>
    <row r="51" spans="1:5" x14ac:dyDescent="0.35">
      <c r="A51" s="10">
        <f>PI()/4</f>
        <v>0.78539816339744828</v>
      </c>
      <c r="B51" s="6">
        <f>SINH(A51)</f>
        <v>0.86867096148600964</v>
      </c>
      <c r="C51" s="6">
        <f>COSH(A51)</f>
        <v>1.3246090892520057</v>
      </c>
      <c r="D51" s="6">
        <f>TANH(A51)</f>
        <v>0.65579420263267241</v>
      </c>
      <c r="E51" t="s">
        <v>42</v>
      </c>
    </row>
    <row r="52" spans="1:5" x14ac:dyDescent="0.35">
      <c r="A52" s="10">
        <f>PI()/6</f>
        <v>0.52359877559829882</v>
      </c>
      <c r="B52" s="6">
        <f>SINH(A52)</f>
        <v>0.54785347388803973</v>
      </c>
      <c r="C52" s="6">
        <f>COSH(A52)</f>
        <v>1.1402383210764286</v>
      </c>
      <c r="D52" s="6">
        <f>TANH(A52)</f>
        <v>0.48047277815645162</v>
      </c>
      <c r="E5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BCE8-5BA3-4A71-97D3-318E10EDED1A}">
  <dimension ref="A1:I52"/>
  <sheetViews>
    <sheetView workbookViewId="0">
      <selection activeCell="D5" sqref="D5"/>
    </sheetView>
  </sheetViews>
  <sheetFormatPr defaultColWidth="14.7265625" defaultRowHeight="14.5" x14ac:dyDescent="0.35"/>
  <cols>
    <col min="1" max="1" width="23.6328125" customWidth="1"/>
    <col min="2" max="4" width="18" customWidth="1"/>
    <col min="5" max="5" width="47.26953125" customWidth="1"/>
  </cols>
  <sheetData>
    <row r="1" spans="1:5" ht="15.5" x14ac:dyDescent="0.35">
      <c r="A1" s="1" t="s">
        <v>0</v>
      </c>
      <c r="B1" s="1" t="s">
        <v>50</v>
      </c>
      <c r="C1" s="1" t="s">
        <v>51</v>
      </c>
      <c r="D1" s="1" t="s">
        <v>52</v>
      </c>
      <c r="E1" s="3" t="s">
        <v>4</v>
      </c>
    </row>
    <row r="2" spans="1:5" x14ac:dyDescent="0.35">
      <c r="A2">
        <v>1</v>
      </c>
      <c r="B2" s="6">
        <f>ASINH(A2)</f>
        <v>0.88137358701954294</v>
      </c>
      <c r="C2" s="6">
        <f>ACOSH(A2)</f>
        <v>0</v>
      </c>
      <c r="D2" s="6" t="e">
        <f>ATANH(A2)</f>
        <v>#NUM!</v>
      </c>
    </row>
    <row r="3" spans="1:5" x14ac:dyDescent="0.35">
      <c r="A3">
        <v>5</v>
      </c>
      <c r="B3" s="6">
        <f t="shared" ref="B3:B17" si="0">ASINH(A3)</f>
        <v>2.3124383412727525</v>
      </c>
      <c r="C3" s="6">
        <f t="shared" ref="C3:C17" si="1">ACOSH(A3)</f>
        <v>2.2924316695611777</v>
      </c>
      <c r="D3" s="6" t="e">
        <f t="shared" ref="D3:D17" si="2">ATANH(A3)</f>
        <v>#NUM!</v>
      </c>
    </row>
    <row r="4" spans="1:5" x14ac:dyDescent="0.35">
      <c r="A4">
        <v>2.8</v>
      </c>
      <c r="B4" s="6">
        <f t="shared" si="0"/>
        <v>1.753228901110268</v>
      </c>
      <c r="C4" s="6">
        <f t="shared" si="1"/>
        <v>1.689235549980296</v>
      </c>
      <c r="D4" s="6" t="e">
        <f t="shared" si="2"/>
        <v>#NUM!</v>
      </c>
    </row>
    <row r="5" spans="1:5" x14ac:dyDescent="0.35">
      <c r="A5">
        <v>-1</v>
      </c>
      <c r="B5" s="6">
        <f t="shared" si="0"/>
        <v>-0.88137358701954294</v>
      </c>
      <c r="C5" s="6" t="e">
        <f t="shared" ref="C5" si="3">ACOSH(A5)</f>
        <v>#NUM!</v>
      </c>
      <c r="D5" s="6" t="e">
        <f t="shared" ref="D5" si="4">ATANH(A5)</f>
        <v>#NUM!</v>
      </c>
    </row>
    <row r="6" spans="1:5" x14ac:dyDescent="0.35">
      <c r="A6">
        <v>-10</v>
      </c>
      <c r="B6" s="6">
        <f t="shared" si="0"/>
        <v>-2.9982229502979698</v>
      </c>
      <c r="C6" s="6" t="e">
        <f t="shared" si="1"/>
        <v>#NUM!</v>
      </c>
      <c r="D6" s="6" t="e">
        <f t="shared" si="2"/>
        <v>#NUM!</v>
      </c>
    </row>
    <row r="7" spans="1:5" x14ac:dyDescent="0.35">
      <c r="A7">
        <v>0</v>
      </c>
      <c r="B7" s="6">
        <f t="shared" si="0"/>
        <v>0</v>
      </c>
      <c r="C7" s="6" t="e">
        <f t="shared" si="1"/>
        <v>#NUM!</v>
      </c>
      <c r="D7" s="6">
        <f t="shared" si="2"/>
        <v>0</v>
      </c>
      <c r="E7" t="s">
        <v>38</v>
      </c>
    </row>
    <row r="8" spans="1:5" x14ac:dyDescent="0.35">
      <c r="A8">
        <v>7.1</v>
      </c>
      <c r="B8" s="6">
        <f t="shared" si="0"/>
        <v>2.6581648069541388</v>
      </c>
      <c r="C8" s="6">
        <f t="shared" si="1"/>
        <v>2.6482453267067454</v>
      </c>
      <c r="D8" s="6" t="e">
        <f t="shared" si="2"/>
        <v>#NUM!</v>
      </c>
    </row>
    <row r="9" spans="1:5" x14ac:dyDescent="0.35">
      <c r="A9">
        <v>-7.1</v>
      </c>
      <c r="B9" s="6">
        <f t="shared" si="0"/>
        <v>-2.6581648069541388</v>
      </c>
      <c r="C9" s="6" t="e">
        <f t="shared" si="1"/>
        <v>#NUM!</v>
      </c>
      <c r="D9" s="6" t="e">
        <f t="shared" si="2"/>
        <v>#NUM!</v>
      </c>
    </row>
    <row r="10" spans="1:5" x14ac:dyDescent="0.35">
      <c r="A10">
        <v>0.123</v>
      </c>
      <c r="B10" s="6">
        <f t="shared" si="0"/>
        <v>0.12269194815825962</v>
      </c>
      <c r="C10" s="6" t="e">
        <f t="shared" si="1"/>
        <v>#NUM!</v>
      </c>
      <c r="D10" s="6">
        <f t="shared" si="2"/>
        <v>0.12362598118313008</v>
      </c>
    </row>
    <row r="11" spans="1:5" x14ac:dyDescent="0.35">
      <c r="A11">
        <v>-0.5</v>
      </c>
      <c r="B11" s="6">
        <f t="shared" si="0"/>
        <v>-0.48121182505960347</v>
      </c>
      <c r="C11" s="6" t="e">
        <f t="shared" si="1"/>
        <v>#NUM!</v>
      </c>
      <c r="D11" s="6">
        <f t="shared" si="2"/>
        <v>-0.54930614433405489</v>
      </c>
    </row>
    <row r="12" spans="1:5" x14ac:dyDescent="0.35">
      <c r="A12">
        <v>100</v>
      </c>
      <c r="B12" s="6">
        <f t="shared" si="0"/>
        <v>5.2983423656105888</v>
      </c>
      <c r="C12" s="6">
        <f t="shared" si="1"/>
        <v>5.298292365610485</v>
      </c>
      <c r="D12" s="6" t="e">
        <f t="shared" si="2"/>
        <v>#NUM!</v>
      </c>
    </row>
    <row r="13" spans="1:5" x14ac:dyDescent="0.35">
      <c r="A13">
        <v>-100</v>
      </c>
      <c r="B13" s="6">
        <f t="shared" si="0"/>
        <v>-5.2983423656105888</v>
      </c>
      <c r="C13" s="6" t="e">
        <f t="shared" si="1"/>
        <v>#NUM!</v>
      </c>
      <c r="D13" s="6" t="e">
        <f t="shared" si="2"/>
        <v>#NUM!</v>
      </c>
    </row>
    <row r="14" spans="1:5" x14ac:dyDescent="0.35">
      <c r="A14" s="8">
        <v>1.0000000001</v>
      </c>
      <c r="B14" s="6">
        <f t="shared" si="0"/>
        <v>0.8813735870902536</v>
      </c>
      <c r="C14" s="6">
        <f t="shared" si="1"/>
        <v>1.4142136208289859E-5</v>
      </c>
      <c r="D14" s="6" t="e">
        <f t="shared" si="2"/>
        <v>#NUM!</v>
      </c>
      <c r="E14" t="s">
        <v>53</v>
      </c>
    </row>
    <row r="15" spans="1:5" x14ac:dyDescent="0.35">
      <c r="A15" s="8">
        <v>0.99999999989999999</v>
      </c>
      <c r="B15" s="6">
        <f t="shared" si="0"/>
        <v>0.88137358694883239</v>
      </c>
      <c r="C15" s="6" t="e">
        <f t="shared" si="1"/>
        <v>#NUM!</v>
      </c>
      <c r="D15" s="6">
        <f t="shared" si="2"/>
        <v>11.859499013855018</v>
      </c>
      <c r="E15" t="s">
        <v>53</v>
      </c>
    </row>
    <row r="16" spans="1:5" x14ac:dyDescent="0.35">
      <c r="A16" s="8">
        <v>-1.0000000001</v>
      </c>
      <c r="B16" s="6">
        <f t="shared" si="0"/>
        <v>-0.8813735870902536</v>
      </c>
      <c r="C16" s="6" t="e">
        <f t="shared" si="1"/>
        <v>#NUM!</v>
      </c>
      <c r="D16" s="6" t="e">
        <f t="shared" si="2"/>
        <v>#NUM!</v>
      </c>
      <c r="E16" t="s">
        <v>54</v>
      </c>
    </row>
    <row r="17" spans="1:5" x14ac:dyDescent="0.35">
      <c r="A17" s="8">
        <v>-0.99999999989999999</v>
      </c>
      <c r="B17" s="6">
        <f t="shared" si="0"/>
        <v>-0.88137358694883239</v>
      </c>
      <c r="C17" s="6" t="e">
        <f t="shared" si="1"/>
        <v>#NUM!</v>
      </c>
      <c r="D17" s="6">
        <f t="shared" si="2"/>
        <v>-11.859499013855018</v>
      </c>
      <c r="E17" t="s">
        <v>54</v>
      </c>
    </row>
    <row r="18" spans="1:5" x14ac:dyDescent="0.35">
      <c r="A18" s="5">
        <v>9.9999999999999998E-13</v>
      </c>
      <c r="B18" s="7">
        <f>ASINH(A18)</f>
        <v>1.000088900581841E-12</v>
      </c>
      <c r="C18" s="6" t="e">
        <f>ACOSH(A18)</f>
        <v>#NUM!</v>
      </c>
      <c r="D18" s="7">
        <f>ATANH(A18)</f>
        <v>9.9999999999999998E-13</v>
      </c>
      <c r="E18" t="s">
        <v>39</v>
      </c>
    </row>
    <row r="19" spans="1:5" x14ac:dyDescent="0.35">
      <c r="A19" s="5">
        <v>-9.9999999999999998E-13</v>
      </c>
      <c r="B19" s="7">
        <f>ASINH(A19)</f>
        <v>-1.000088900581841E-12</v>
      </c>
      <c r="C19" s="6" t="e">
        <f>ACOSH(A19)</f>
        <v>#NUM!</v>
      </c>
      <c r="D19" s="7">
        <f>ATANH(A19)</f>
        <v>-9.9999999999999998E-13</v>
      </c>
      <c r="E19" t="s">
        <v>40</v>
      </c>
    </row>
    <row r="20" spans="1:5" x14ac:dyDescent="0.35">
      <c r="A20" s="5">
        <v>9999999999999</v>
      </c>
      <c r="B20" s="6">
        <f>ASINH(A20)</f>
        <v>30.626753389482438</v>
      </c>
      <c r="C20" s="6">
        <f>ACOSH(A20)</f>
        <v>30.626753389482438</v>
      </c>
      <c r="D20" s="6" t="e">
        <f>ATANH(A20)</f>
        <v>#NUM!</v>
      </c>
      <c r="E20" t="s">
        <v>27</v>
      </c>
    </row>
    <row r="21" spans="1:5" x14ac:dyDescent="0.35">
      <c r="A21" s="5" t="b">
        <v>1</v>
      </c>
      <c r="B21" s="6">
        <f>ASINH(A21)</f>
        <v>0.88137358701954294</v>
      </c>
      <c r="C21" s="6">
        <f>ACOSH(A21)</f>
        <v>0</v>
      </c>
      <c r="D21" s="6" t="e">
        <f>ATANH(A21)</f>
        <v>#NUM!</v>
      </c>
      <c r="E21" t="s">
        <v>5</v>
      </c>
    </row>
    <row r="22" spans="1:5" x14ac:dyDescent="0.35">
      <c r="A22" s="5" t="b">
        <v>0</v>
      </c>
      <c r="B22" s="6">
        <f>ASINH(A22)</f>
        <v>0</v>
      </c>
      <c r="C22" s="6" t="e">
        <f>ACOSH(A22)</f>
        <v>#NUM!</v>
      </c>
      <c r="D22" s="6">
        <f>ATANH(A22)</f>
        <v>0</v>
      </c>
      <c r="E22" t="s">
        <v>5</v>
      </c>
    </row>
    <row r="23" spans="1:5" x14ac:dyDescent="0.35">
      <c r="B23" s="6">
        <f>ASINH(A23)</f>
        <v>0</v>
      </c>
      <c r="C23" s="6" t="e">
        <f>ACOSH(A23)</f>
        <v>#NUM!</v>
      </c>
      <c r="D23" s="6">
        <f>ATANH(A23)</f>
        <v>0</v>
      </c>
      <c r="E23" t="s">
        <v>6</v>
      </c>
    </row>
    <row r="24" spans="1:5" x14ac:dyDescent="0.35">
      <c r="A24" t="str">
        <f>""</f>
        <v/>
      </c>
      <c r="B24" s="6" t="e">
        <f>ASINH(A24)</f>
        <v>#VALUE!</v>
      </c>
      <c r="C24" s="6" t="e">
        <f>ACOSH(A24)</f>
        <v>#VALUE!</v>
      </c>
      <c r="D24" s="6" t="e">
        <f>ATANH(A24)</f>
        <v>#VALUE!</v>
      </c>
      <c r="E24" t="s">
        <v>41</v>
      </c>
    </row>
    <row r="25" spans="1:5" x14ac:dyDescent="0.35">
      <c r="A25" t="str">
        <f>"8"</f>
        <v>8</v>
      </c>
      <c r="B25" s="6">
        <f>ASINH(A25)</f>
        <v>2.7764722807237177</v>
      </c>
      <c r="C25" s="6">
        <f>ACOSH(A25)</f>
        <v>2.7686593833135738</v>
      </c>
      <c r="D25" s="6" t="e">
        <f>ATANH(A25)</f>
        <v>#NUM!</v>
      </c>
      <c r="E25" t="s">
        <v>7</v>
      </c>
    </row>
    <row r="26" spans="1:5" x14ac:dyDescent="0.35">
      <c r="A26">
        <v>2</v>
      </c>
      <c r="B26" s="6">
        <f>ASINH(A26)</f>
        <v>1.4436354751788103</v>
      </c>
      <c r="C26" s="6">
        <f>ACOSH(A26)</f>
        <v>1.3169578969248166</v>
      </c>
      <c r="D26" s="6" t="e">
        <f>ATANH(A26)</f>
        <v>#NUM!</v>
      </c>
      <c r="E26" t="s">
        <v>7</v>
      </c>
    </row>
    <row r="27" spans="1:5" x14ac:dyDescent="0.35">
      <c r="A27" t="str">
        <f>" 10 "</f>
        <v xml:space="preserve"> 10 </v>
      </c>
      <c r="B27" s="6">
        <f>ASINH(A27)</f>
        <v>2.9982229502979698</v>
      </c>
      <c r="C27" s="6">
        <f>ACOSH(A27)</f>
        <v>2.9932228461263808</v>
      </c>
      <c r="D27" s="6" t="e">
        <f>ATANH(A27)</f>
        <v>#NUM!</v>
      </c>
      <c r="E27" t="s">
        <v>7</v>
      </c>
    </row>
    <row r="28" spans="1:5" x14ac:dyDescent="0.35">
      <c r="A28" t="str">
        <f>"0"</f>
        <v>0</v>
      </c>
      <c r="B28" s="6">
        <f>ASINH(A28)</f>
        <v>0</v>
      </c>
      <c r="C28" s="6" t="e">
        <f>ACOSH(A28)</f>
        <v>#NUM!</v>
      </c>
      <c r="D28" s="6">
        <f>ATANH(A28)</f>
        <v>0</v>
      </c>
      <c r="E28" t="s">
        <v>7</v>
      </c>
    </row>
    <row r="29" spans="1:5" x14ac:dyDescent="0.35">
      <c r="A29" t="s">
        <v>8</v>
      </c>
      <c r="B29" s="6" t="e">
        <f>ASINH(A29)</f>
        <v>#VALUE!</v>
      </c>
      <c r="C29" s="6" t="e">
        <f>ACOSH(A29)</f>
        <v>#VALUE!</v>
      </c>
      <c r="D29" s="6" t="e">
        <f>ATANH(A29)</f>
        <v>#VALUE!</v>
      </c>
      <c r="E29" t="s">
        <v>9</v>
      </c>
    </row>
    <row r="30" spans="1:5" x14ac:dyDescent="0.35">
      <c r="A30" s="2" t="e">
        <f>1/0</f>
        <v>#DIV/0!</v>
      </c>
      <c r="B30" s="6" t="e">
        <f>ASINH(A30)</f>
        <v>#DIV/0!</v>
      </c>
      <c r="C30" s="6" t="e">
        <f>ACOSH(A30)</f>
        <v>#DIV/0!</v>
      </c>
      <c r="D30" s="6" t="e">
        <f>ATANH(A30)</f>
        <v>#DIV/0!</v>
      </c>
      <c r="E30" t="s">
        <v>10</v>
      </c>
    </row>
    <row r="31" spans="1:5" x14ac:dyDescent="0.35">
      <c r="A31" t="e">
        <f>NA()</f>
        <v>#N/A</v>
      </c>
      <c r="B31" s="6" t="e">
        <f>ASINH(A31)</f>
        <v>#N/A</v>
      </c>
      <c r="C31" s="6" t="e">
        <f>ACOSH(A31)</f>
        <v>#N/A</v>
      </c>
      <c r="D31" s="6" t="e">
        <f>ATANH(A31)</f>
        <v>#N/A</v>
      </c>
      <c r="E31" t="s">
        <v>10</v>
      </c>
    </row>
    <row r="32" spans="1:5" x14ac:dyDescent="0.35">
      <c r="A32" t="e" cm="1">
        <f t="array" ref="A32">HELLO</f>
        <v>#NAME?</v>
      </c>
      <c r="B32" s="6" t="e">
        <f>ASINH(A32)</f>
        <v>#NAME?</v>
      </c>
      <c r="C32" s="6" t="e">
        <f>ACOSH(A32)</f>
        <v>#NAME?</v>
      </c>
      <c r="D32" s="6" t="e">
        <f>ATANH(A32)</f>
        <v>#NAME?</v>
      </c>
      <c r="E32" t="s">
        <v>10</v>
      </c>
    </row>
    <row r="33" spans="1:9" x14ac:dyDescent="0.35">
      <c r="A33" t="e">
        <f>SQRT(-1)</f>
        <v>#NUM!</v>
      </c>
      <c r="B33" s="6" t="e">
        <f>ASINH(A33)</f>
        <v>#NUM!</v>
      </c>
      <c r="C33" s="6" t="e">
        <f>ACOSH(A33)</f>
        <v>#NUM!</v>
      </c>
      <c r="D33" s="6" t="e">
        <f>ATANH(A33)</f>
        <v>#NUM!</v>
      </c>
      <c r="E33" t="s">
        <v>10</v>
      </c>
    </row>
    <row r="34" spans="1:9" x14ac:dyDescent="0.35">
      <c r="A34" t="e">
        <f>"x"+1</f>
        <v>#VALUE!</v>
      </c>
      <c r="B34" s="6" t="e">
        <f>ASINH(A34)</f>
        <v>#VALUE!</v>
      </c>
      <c r="C34" s="6" t="e">
        <f>ACOSH(A34)</f>
        <v>#VALUE!</v>
      </c>
      <c r="D34" s="6" t="e">
        <f>ATANH(A34)</f>
        <v>#VALUE!</v>
      </c>
      <c r="E34" t="s">
        <v>10</v>
      </c>
    </row>
    <row r="35" spans="1:9" x14ac:dyDescent="0.35">
      <c r="A35">
        <f>2^20</f>
        <v>1048576</v>
      </c>
      <c r="B35" s="6">
        <f>ASINH(A35)</f>
        <v>14.556090791759079</v>
      </c>
      <c r="C35" s="6">
        <f>ACOSH(A35)</f>
        <v>14.556090791758624</v>
      </c>
      <c r="D35" s="6" t="e">
        <f>ATANH(A35)</f>
        <v>#NUM!</v>
      </c>
      <c r="E35" t="s">
        <v>11</v>
      </c>
    </row>
    <row r="36" spans="1:9" x14ac:dyDescent="0.35">
      <c r="A36" t="str">
        <f>"@"</f>
        <v>@</v>
      </c>
      <c r="B36" s="6" t="e">
        <f>ASINH(A36)</f>
        <v>#VALUE!</v>
      </c>
      <c r="C36" s="6" t="e">
        <f>ACOSH(A36)</f>
        <v>#VALUE!</v>
      </c>
      <c r="D36" s="6" t="e">
        <f>ATANH(A36)</f>
        <v>#VALUE!</v>
      </c>
      <c r="E36" t="s">
        <v>12</v>
      </c>
    </row>
    <row r="37" spans="1:9" x14ac:dyDescent="0.35">
      <c r="A37" s="2">
        <f>DATE(2024,1,10)</f>
        <v>45301</v>
      </c>
      <c r="B37" s="6">
        <f>ASINH(A37)</f>
        <v>11.41423156696443</v>
      </c>
      <c r="C37" s="6">
        <f>ACOSH(A37)</f>
        <v>11.414231566720787</v>
      </c>
      <c r="D37" s="6" t="e">
        <f>ATANH(A37)</f>
        <v>#NUM!</v>
      </c>
      <c r="E37" t="s">
        <v>13</v>
      </c>
      <c r="I37">
        <v>1</v>
      </c>
    </row>
    <row r="38" spans="1:9" x14ac:dyDescent="0.35">
      <c r="A38" t="str">
        <f>"2024-01-10"</f>
        <v>2024-01-10</v>
      </c>
      <c r="B38" s="6">
        <f>ASINH(A38)</f>
        <v>11.41423156696443</v>
      </c>
      <c r="C38" s="6">
        <f>ACOSH(A38)</f>
        <v>11.414231566720787</v>
      </c>
      <c r="D38" s="6" t="e">
        <f>ATANH(A38)</f>
        <v>#NUM!</v>
      </c>
      <c r="E38" t="s">
        <v>14</v>
      </c>
      <c r="I38">
        <v>2</v>
      </c>
    </row>
    <row r="39" spans="1:9" x14ac:dyDescent="0.35">
      <c r="A39" t="str">
        <f>" 2024-01-10 "</f>
        <v xml:space="preserve"> 2024-01-10 </v>
      </c>
      <c r="B39" s="6" t="e">
        <f>ASINH(A39)</f>
        <v>#VALUE!</v>
      </c>
      <c r="C39" s="6" t="e">
        <f>ACOSH(A39)</f>
        <v>#VALUE!</v>
      </c>
      <c r="D39" s="6" t="e">
        <f>ATANH(A39)</f>
        <v>#VALUE!</v>
      </c>
      <c r="E39" t="s">
        <v>15</v>
      </c>
      <c r="I39">
        <v>3</v>
      </c>
    </row>
    <row r="40" spans="1:9" x14ac:dyDescent="0.35">
      <c r="A40" s="4">
        <f>TIME(14,30,0)</f>
        <v>0.60416666666666663</v>
      </c>
      <c r="B40" s="6">
        <f>ASINH(A40)</f>
        <v>0.57239450047154106</v>
      </c>
      <c r="C40" s="6" t="e">
        <f>ACOSH(A40)</f>
        <v>#NUM!</v>
      </c>
      <c r="D40" s="6">
        <f>ATANH(A40)</f>
        <v>0.6996832213436216</v>
      </c>
      <c r="E40" t="s">
        <v>16</v>
      </c>
      <c r="I40">
        <v>4</v>
      </c>
    </row>
    <row r="41" spans="1:9" x14ac:dyDescent="0.35">
      <c r="B41" s="6">
        <f>ASINH(I:I)</f>
        <v>2.3124383412727525</v>
      </c>
      <c r="C41" s="6">
        <f>ACOSH(I:I)</f>
        <v>2.2924316695611777</v>
      </c>
      <c r="D41" s="6" t="e">
        <f>ATANH(I:I)</f>
        <v>#NUM!</v>
      </c>
      <c r="E41" t="s">
        <v>17</v>
      </c>
      <c r="I41">
        <v>5</v>
      </c>
    </row>
    <row r="42" spans="1:9" x14ac:dyDescent="0.35">
      <c r="A42">
        <f>1.05*(0.0284+0.0046)-0.0284</f>
        <v>6.2499999999999986E-3</v>
      </c>
      <c r="B42" s="6">
        <f>ASINH(A42)</f>
        <v>6.2499593106110727E-3</v>
      </c>
      <c r="C42" s="6" t="e">
        <f>ACOSH(A42)</f>
        <v>#NUM!</v>
      </c>
      <c r="D42" s="6">
        <f>ATANH(A42)</f>
        <v>6.2500813821157342E-3</v>
      </c>
      <c r="E42" t="s">
        <v>18</v>
      </c>
      <c r="I42">
        <v>6</v>
      </c>
    </row>
    <row r="43" spans="1:9" x14ac:dyDescent="0.35">
      <c r="A43">
        <f>I44</f>
        <v>1.75</v>
      </c>
      <c r="B43" s="6">
        <f>ASINH(A43)</f>
        <v>1.3258977669011374</v>
      </c>
      <c r="C43" s="6">
        <f>ACOSH(A43)</f>
        <v>1.1588103604299469</v>
      </c>
      <c r="D43" s="6" t="e">
        <f>ATANH(A43)</f>
        <v>#NUM!</v>
      </c>
      <c r="E43" t="s">
        <v>19</v>
      </c>
      <c r="I43">
        <v>7</v>
      </c>
    </row>
    <row r="44" spans="1:9" x14ac:dyDescent="0.35">
      <c r="A44" t="s">
        <v>20</v>
      </c>
      <c r="B44" s="6" t="e">
        <f>ASINH(A44)</f>
        <v>#VALUE!</v>
      </c>
      <c r="C44" s="6" t="e">
        <f>ACOSH(A44)</f>
        <v>#VALUE!</v>
      </c>
      <c r="D44" s="6" t="e">
        <f>ATANH(A44)</f>
        <v>#VALUE!</v>
      </c>
      <c r="I44">
        <v>1.75</v>
      </c>
    </row>
    <row r="45" spans="1:9" x14ac:dyDescent="0.35">
      <c r="A45">
        <f>PI() - 0.000000000001</f>
        <v>3.141592653588793</v>
      </c>
      <c r="B45" s="6">
        <f>ASINH(A45)</f>
        <v>1.8622957433105449</v>
      </c>
      <c r="C45" s="6">
        <f>ACOSH(A45)</f>
        <v>1.8115262724605172</v>
      </c>
      <c r="D45" s="6" t="e">
        <f>ATANH(A45)</f>
        <v>#NUM!</v>
      </c>
      <c r="E45" t="s">
        <v>21</v>
      </c>
    </row>
    <row r="46" spans="1:9" x14ac:dyDescent="0.35">
      <c r="A46">
        <f>PI()/2 - 0.000000000001</f>
        <v>1.5707963267938965</v>
      </c>
      <c r="B46" s="6">
        <f>ASINH(A46)</f>
        <v>1.2334031175106799</v>
      </c>
      <c r="C46" s="6">
        <f>ACOSH(A46)</f>
        <v>1.0232274785467248</v>
      </c>
      <c r="D46" s="6" t="e">
        <f>ATANH(A46)</f>
        <v>#NUM!</v>
      </c>
      <c r="E46" t="s">
        <v>22</v>
      </c>
    </row>
    <row r="47" spans="1:9" x14ac:dyDescent="0.35">
      <c r="A47">
        <f>PI()/2 + 0.000000000001</f>
        <v>1.5707963267958966</v>
      </c>
      <c r="B47" s="6">
        <f>ASINH(A47)</f>
        <v>1.2334031175117541</v>
      </c>
      <c r="C47" s="6">
        <f>ACOSH(A47)</f>
        <v>1.0232274785483761</v>
      </c>
      <c r="D47" s="6" t="e">
        <f>ATANH(A47)</f>
        <v>#NUM!</v>
      </c>
      <c r="E47" t="s">
        <v>23</v>
      </c>
    </row>
    <row r="48" spans="1:9" x14ac:dyDescent="0.35">
      <c r="A48" s="10">
        <f>PI()</f>
        <v>3.1415926535897931</v>
      </c>
      <c r="B48" s="6">
        <f>ASINH(A48)</f>
        <v>1.8622957433108482</v>
      </c>
      <c r="C48" s="6">
        <f>ACOSH(A48)</f>
        <v>1.8115262724608532</v>
      </c>
      <c r="D48" s="6" t="e">
        <f>ATANH(A48)</f>
        <v>#NUM!</v>
      </c>
      <c r="E48" t="s">
        <v>33</v>
      </c>
    </row>
    <row r="49" spans="1:5" x14ac:dyDescent="0.35">
      <c r="A49" s="10">
        <f>PI()/2</f>
        <v>1.5707963267948966</v>
      </c>
      <c r="B49" s="6">
        <f>ASINH(A49)</f>
        <v>1.233403117511217</v>
      </c>
      <c r="C49" s="6">
        <f>ACOSH(A49)</f>
        <v>1.0232274785475506</v>
      </c>
      <c r="D49" s="6" t="e">
        <f>ATANH(A49)</f>
        <v>#NUM!</v>
      </c>
      <c r="E49" t="s">
        <v>28</v>
      </c>
    </row>
    <row r="50" spans="1:5" x14ac:dyDescent="0.35">
      <c r="A50" s="10">
        <f>2*PI()</f>
        <v>6.2831853071795862</v>
      </c>
      <c r="B50" s="6">
        <f>ASINH(A50)</f>
        <v>2.5372975013733612</v>
      </c>
      <c r="C50" s="6">
        <f>ACOSH(A50)</f>
        <v>2.5246306599334671</v>
      </c>
      <c r="D50" s="6" t="e">
        <f>ATANH(A50)</f>
        <v>#NUM!</v>
      </c>
      <c r="E50" t="s">
        <v>37</v>
      </c>
    </row>
    <row r="51" spans="1:5" x14ac:dyDescent="0.35">
      <c r="A51" s="10">
        <f>PI()/4</f>
        <v>0.78539816339744828</v>
      </c>
      <c r="B51" s="6">
        <f>ASINH(A51)</f>
        <v>0.72122548872677994</v>
      </c>
      <c r="C51" s="6" t="e">
        <f>ACOSH(A51)</f>
        <v>#NUM!</v>
      </c>
      <c r="D51" s="6">
        <f>ATANH(A51)</f>
        <v>1.059306170823243</v>
      </c>
      <c r="E51" t="s">
        <v>42</v>
      </c>
    </row>
    <row r="52" spans="1:5" x14ac:dyDescent="0.35">
      <c r="A52" s="10">
        <f>PI()/6</f>
        <v>0.52359877559829882</v>
      </c>
      <c r="B52" s="6">
        <f>ASINH(A52)</f>
        <v>0.5022189850346116</v>
      </c>
      <c r="C52" s="6" t="e">
        <f>ACOSH(A52)</f>
        <v>#NUM!</v>
      </c>
      <c r="D52" s="6">
        <f>ATANH(A52)</f>
        <v>0.58128501169472302</v>
      </c>
      <c r="E5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6592-A507-4EE7-A267-75E161C79488}">
  <dimension ref="A1:I49"/>
  <sheetViews>
    <sheetView workbookViewId="0">
      <selection activeCell="C11" sqref="C11"/>
    </sheetView>
  </sheetViews>
  <sheetFormatPr defaultColWidth="14.7265625" defaultRowHeight="14.5" x14ac:dyDescent="0.35"/>
  <cols>
    <col min="1" max="4" width="18" customWidth="1"/>
    <col min="5" max="5" width="29.08984375" bestFit="1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5">
      <c r="A2">
        <v>1</v>
      </c>
      <c r="B2" s="6">
        <f>_xlfn.COT(A2)</f>
        <v>0.64209261593433065</v>
      </c>
      <c r="C2" s="6">
        <f>_xlfn.CSC(A2)</f>
        <v>1.1883951057781212</v>
      </c>
      <c r="D2" s="6">
        <f>_xlfn.SEC(A2)</f>
        <v>1.8508157176809255</v>
      </c>
    </row>
    <row r="3" spans="1:5" x14ac:dyDescent="0.35">
      <c r="A3">
        <v>5</v>
      </c>
      <c r="B3" s="6">
        <f>_xlfn.COT(A3)</f>
        <v>-0.29581291553274552</v>
      </c>
      <c r="C3" s="6">
        <f>_xlfn.CSC(A3)</f>
        <v>-1.0428352127714058</v>
      </c>
      <c r="D3" s="6">
        <f>_xlfn.SEC(A3)</f>
        <v>3.5253200858160887</v>
      </c>
    </row>
    <row r="4" spans="1:5" x14ac:dyDescent="0.35">
      <c r="A4">
        <v>2.8</v>
      </c>
      <c r="B4" s="6">
        <f>_xlfn.COT(A4)</f>
        <v>-2.8127034948255432</v>
      </c>
      <c r="C4" s="6">
        <f>_xlfn.CSC(A4)</f>
        <v>2.9851802206573432</v>
      </c>
      <c r="D4" s="6">
        <f>_xlfn.SEC(A4)</f>
        <v>-1.0613206212987261</v>
      </c>
    </row>
    <row r="5" spans="1:5" x14ac:dyDescent="0.35">
      <c r="A5">
        <v>-1</v>
      </c>
      <c r="B5" s="6">
        <f>_xlfn.COT(A5)</f>
        <v>-0.64209261593433065</v>
      </c>
      <c r="C5" s="6">
        <f>_xlfn.CSC(A5)</f>
        <v>-1.1883951057781212</v>
      </c>
      <c r="D5" s="6">
        <f>_xlfn.SEC(A5)</f>
        <v>1.8508157176809255</v>
      </c>
    </row>
    <row r="6" spans="1:5" x14ac:dyDescent="0.35">
      <c r="A6">
        <v>-10</v>
      </c>
      <c r="B6" s="6">
        <f>_xlfn.COT(A6)</f>
        <v>-1.5423510453569202</v>
      </c>
      <c r="C6" s="6">
        <f>_xlfn.CSC(A6)</f>
        <v>1.8381639608896658</v>
      </c>
      <c r="D6" s="6">
        <f>_xlfn.SEC(A6)</f>
        <v>-1.1917935066878957</v>
      </c>
    </row>
    <row r="7" spans="1:5" x14ac:dyDescent="0.35">
      <c r="A7">
        <v>0</v>
      </c>
      <c r="B7" s="6" t="e">
        <f>_xlfn.COT(A7)</f>
        <v>#DIV/0!</v>
      </c>
      <c r="C7" s="6" t="e">
        <f>_xlfn.CSC(A7)</f>
        <v>#DIV/0!</v>
      </c>
      <c r="D7" s="6">
        <f>_xlfn.SEC(A7)</f>
        <v>1</v>
      </c>
      <c r="E7" t="s">
        <v>38</v>
      </c>
    </row>
    <row r="8" spans="1:5" x14ac:dyDescent="0.35">
      <c r="A8">
        <v>7.1</v>
      </c>
      <c r="B8" s="6">
        <f>_xlfn.COT(A8)</f>
        <v>0.93906137128210743</v>
      </c>
      <c r="C8" s="6">
        <f>_xlfn.CSC(A8)</f>
        <v>1.3718003714222533</v>
      </c>
      <c r="D8" s="6">
        <f>_xlfn.SEC(A8)</f>
        <v>1.4608207869836283</v>
      </c>
    </row>
    <row r="9" spans="1:5" x14ac:dyDescent="0.35">
      <c r="A9">
        <v>-7.1</v>
      </c>
      <c r="B9" s="6">
        <f>_xlfn.COT(A9)</f>
        <v>-0.93906137128210743</v>
      </c>
      <c r="C9" s="6">
        <f>_xlfn.CSC(A9)</f>
        <v>-1.3718003714222533</v>
      </c>
      <c r="D9" s="6">
        <f>_xlfn.SEC(A9)</f>
        <v>1.4608207869836283</v>
      </c>
    </row>
    <row r="10" spans="1:5" x14ac:dyDescent="0.35">
      <c r="A10">
        <v>0.123</v>
      </c>
      <c r="B10" s="6">
        <f>_xlfn.COT(A10)</f>
        <v>8.0890398885395367</v>
      </c>
      <c r="C10" s="6">
        <f>_xlfn.CSC(A10)</f>
        <v>8.1506175421487992</v>
      </c>
      <c r="D10" s="6">
        <f>_xlfn.SEC(A10)</f>
        <v>1.0076124799058668</v>
      </c>
    </row>
    <row r="11" spans="1:5" x14ac:dyDescent="0.35">
      <c r="A11">
        <v>-0.5</v>
      </c>
      <c r="B11" s="6">
        <f>_xlfn.COT(A11)</f>
        <v>-1.830487721712452</v>
      </c>
      <c r="C11" s="6">
        <f>_xlfn.CSC(A11)</f>
        <v>-2.0858296429334882</v>
      </c>
      <c r="D11" s="6">
        <f>_xlfn.SEC(A11)</f>
        <v>1.139493927324549</v>
      </c>
    </row>
    <row r="12" spans="1:5" x14ac:dyDescent="0.35">
      <c r="A12">
        <v>100</v>
      </c>
      <c r="B12" s="6">
        <f>_xlfn.COT(A12)</f>
        <v>-1.7029569194264691</v>
      </c>
      <c r="C12" s="6">
        <f>_xlfn.CSC(A12)</f>
        <v>-1.9748575314240999</v>
      </c>
      <c r="D12" s="6">
        <f>_xlfn.SEC(A12)</f>
        <v>1.1596638229046938</v>
      </c>
    </row>
    <row r="13" spans="1:5" x14ac:dyDescent="0.35">
      <c r="A13">
        <v>-100</v>
      </c>
      <c r="B13" s="6">
        <f>_xlfn.COT(A13)</f>
        <v>1.7029569194264691</v>
      </c>
      <c r="C13" s="6">
        <f>_xlfn.CSC(A13)</f>
        <v>1.9748575314240999</v>
      </c>
      <c r="D13" s="6">
        <f>_xlfn.SEC(A13)</f>
        <v>1.1596638229046938</v>
      </c>
    </row>
    <row r="14" spans="1:5" x14ac:dyDescent="0.35">
      <c r="A14" s="8">
        <v>1.0000000001</v>
      </c>
      <c r="B14" s="6">
        <f>_xlfn.COT(A14)</f>
        <v>0.64209261579310239</v>
      </c>
      <c r="C14" s="6">
        <f>_xlfn.CSC(A14)</f>
        <v>1.1883951057018152</v>
      </c>
      <c r="D14" s="6">
        <f>_xlfn.SEC(A14)</f>
        <v>1.8508157179691731</v>
      </c>
      <c r="E14" t="s">
        <v>53</v>
      </c>
    </row>
    <row r="15" spans="1:5" x14ac:dyDescent="0.35">
      <c r="A15" s="8">
        <v>0.99999999989999999</v>
      </c>
      <c r="B15" s="6">
        <f>_xlfn.COT(A15)</f>
        <v>0.64209261607555901</v>
      </c>
      <c r="C15" s="6">
        <f>_xlfn.CSC(A15)</f>
        <v>1.1883951058544271</v>
      </c>
      <c r="D15" s="6">
        <f>_xlfn.SEC(A15)</f>
        <v>1.8508157173926783</v>
      </c>
      <c r="E15" t="s">
        <v>53</v>
      </c>
    </row>
    <row r="16" spans="1:5" x14ac:dyDescent="0.35">
      <c r="A16" s="8">
        <v>-1.0000000001</v>
      </c>
      <c r="B16" s="6">
        <f>_xlfn.COT(A16)</f>
        <v>-0.64209261579310239</v>
      </c>
      <c r="C16" s="6">
        <f>_xlfn.CSC(A16)</f>
        <v>-1.1883951057018152</v>
      </c>
      <c r="D16" s="6">
        <f>_xlfn.SEC(A16)</f>
        <v>1.8508157179691731</v>
      </c>
      <c r="E16" t="s">
        <v>54</v>
      </c>
    </row>
    <row r="17" spans="1:5" x14ac:dyDescent="0.35">
      <c r="A17" s="8">
        <v>-0.99999999989999999</v>
      </c>
      <c r="B17" s="6">
        <f>_xlfn.COT(A17)</f>
        <v>-0.64209261607555901</v>
      </c>
      <c r="C17" s="6">
        <f>_xlfn.CSC(A17)</f>
        <v>-1.1883951058544271</v>
      </c>
      <c r="D17" s="6">
        <f>_xlfn.SEC(A17)</f>
        <v>1.8508157173926783</v>
      </c>
      <c r="E17" t="s">
        <v>54</v>
      </c>
    </row>
    <row r="18" spans="1:5" x14ac:dyDescent="0.35">
      <c r="A18" s="5">
        <v>9.9999999999999998E-13</v>
      </c>
      <c r="B18" s="7">
        <f>_xlfn.COT(A18)</f>
        <v>1000000000000</v>
      </c>
      <c r="C18" s="7">
        <f>_xlfn.CSC(A18)</f>
        <v>1000000000000</v>
      </c>
      <c r="D18" s="6">
        <f>_xlfn.SEC(A18)</f>
        <v>1</v>
      </c>
      <c r="E18" t="s">
        <v>39</v>
      </c>
    </row>
    <row r="19" spans="1:5" x14ac:dyDescent="0.35">
      <c r="A19" s="5">
        <v>-9.9999999999999998E-13</v>
      </c>
      <c r="B19" s="7">
        <f>_xlfn.COT(A19)</f>
        <v>-1000000000000</v>
      </c>
      <c r="C19" s="7">
        <f>_xlfn.CSC(A19)</f>
        <v>-1000000000000</v>
      </c>
      <c r="D19" s="6">
        <f>_xlfn.SEC(A19)</f>
        <v>1</v>
      </c>
      <c r="E19" t="s">
        <v>40</v>
      </c>
    </row>
    <row r="20" spans="1:5" x14ac:dyDescent="0.35">
      <c r="A20" s="5">
        <v>9999999999999</v>
      </c>
      <c r="B20" s="9" t="e">
        <f>_xlfn.COT(A20)</f>
        <v>#NUM!</v>
      </c>
      <c r="C20" s="9" t="e">
        <f>_xlfn.CSC(A20)</f>
        <v>#NUM!</v>
      </c>
      <c r="D20" s="9" t="e">
        <f>_xlfn.SEC(A20)</f>
        <v>#NUM!</v>
      </c>
      <c r="E20" t="s">
        <v>27</v>
      </c>
    </row>
    <row r="21" spans="1:5" x14ac:dyDescent="0.35">
      <c r="A21" s="5" t="b">
        <v>1</v>
      </c>
      <c r="B21" s="6">
        <f>_xlfn.COT(A21)</f>
        <v>0.64209261593433065</v>
      </c>
      <c r="C21" s="6">
        <f>_xlfn.CSC(A21)</f>
        <v>1.1883951057781212</v>
      </c>
      <c r="D21" s="6">
        <f>_xlfn.SEC(A21)</f>
        <v>1.8508157176809255</v>
      </c>
      <c r="E21" t="s">
        <v>5</v>
      </c>
    </row>
    <row r="22" spans="1:5" x14ac:dyDescent="0.35">
      <c r="A22" s="5" t="b">
        <v>0</v>
      </c>
      <c r="B22" s="6" t="e">
        <f>_xlfn.COT(A22)</f>
        <v>#DIV/0!</v>
      </c>
      <c r="C22" s="6" t="e">
        <f>_xlfn.CSC(A22)</f>
        <v>#DIV/0!</v>
      </c>
      <c r="D22" s="6">
        <f>_xlfn.SEC(A22)</f>
        <v>1</v>
      </c>
      <c r="E22" t="s">
        <v>5</v>
      </c>
    </row>
    <row r="23" spans="1:5" x14ac:dyDescent="0.35">
      <c r="B23" s="6" t="e">
        <f>_xlfn.COT(A23)</f>
        <v>#DIV/0!</v>
      </c>
      <c r="C23" s="6" t="e">
        <f>_xlfn.CSC(A23)</f>
        <v>#DIV/0!</v>
      </c>
      <c r="D23" s="6">
        <f>_xlfn.SEC(A23)</f>
        <v>1</v>
      </c>
      <c r="E23" t="s">
        <v>6</v>
      </c>
    </row>
    <row r="24" spans="1:5" x14ac:dyDescent="0.35">
      <c r="A24" t="str">
        <f>""</f>
        <v/>
      </c>
      <c r="B24" s="6" t="e">
        <f>_xlfn.COT(A24)</f>
        <v>#VALUE!</v>
      </c>
      <c r="C24" s="6" t="e">
        <f>_xlfn.CSC(A24)</f>
        <v>#VALUE!</v>
      </c>
      <c r="D24" s="6" t="e">
        <f>_xlfn.SEC(A24)</f>
        <v>#VALUE!</v>
      </c>
      <c r="E24" t="s">
        <v>41</v>
      </c>
    </row>
    <row r="25" spans="1:5" x14ac:dyDescent="0.35">
      <c r="A25" t="str">
        <f>"8"</f>
        <v>8</v>
      </c>
      <c r="B25" s="6">
        <f>_xlfn.COT(A25)</f>
        <v>-0.14706506394948049</v>
      </c>
      <c r="C25" s="6">
        <f>_xlfn.CSC(A25)</f>
        <v>1.0107562184000971</v>
      </c>
      <c r="D25" s="6">
        <f>_xlfn.SEC(A25)</f>
        <v>-6.8728506366903703</v>
      </c>
      <c r="E25" t="s">
        <v>7</v>
      </c>
    </row>
    <row r="26" spans="1:5" x14ac:dyDescent="0.35">
      <c r="A26">
        <v>2</v>
      </c>
      <c r="B26" s="6">
        <f>_xlfn.COT(A26)</f>
        <v>-0.45765755436028577</v>
      </c>
      <c r="C26" s="6">
        <f>_xlfn.CSC(A26)</f>
        <v>1.0997501702946164</v>
      </c>
      <c r="D26" s="6">
        <f>_xlfn.SEC(A26)</f>
        <v>-2.4029979617223809</v>
      </c>
      <c r="E26" t="s">
        <v>7</v>
      </c>
    </row>
    <row r="27" spans="1:5" x14ac:dyDescent="0.35">
      <c r="A27" t="str">
        <f>" 10 "</f>
        <v xml:space="preserve"> 10 </v>
      </c>
      <c r="B27" s="6">
        <f>_xlfn.COT(A27)</f>
        <v>1.5423510453569202</v>
      </c>
      <c r="C27" s="6">
        <f>_xlfn.CSC(A27)</f>
        <v>-1.8381639608896658</v>
      </c>
      <c r="D27" s="6">
        <f>_xlfn.SEC(A27)</f>
        <v>-1.1917935066878957</v>
      </c>
      <c r="E27" t="s">
        <v>7</v>
      </c>
    </row>
    <row r="28" spans="1:5" x14ac:dyDescent="0.35">
      <c r="A28" t="str">
        <f>"0"</f>
        <v>0</v>
      </c>
      <c r="B28" s="6" t="e">
        <f>_xlfn.COT(A28)</f>
        <v>#DIV/0!</v>
      </c>
      <c r="C28" s="6" t="e">
        <f>_xlfn.CSC(A28)</f>
        <v>#DIV/0!</v>
      </c>
      <c r="D28" s="6">
        <f>_xlfn.SEC(A28)</f>
        <v>1</v>
      </c>
      <c r="E28" t="s">
        <v>7</v>
      </c>
    </row>
    <row r="29" spans="1:5" x14ac:dyDescent="0.35">
      <c r="A29" t="s">
        <v>8</v>
      </c>
      <c r="B29" s="6" t="e">
        <f>_xlfn.COT(A29)</f>
        <v>#VALUE!</v>
      </c>
      <c r="C29" s="6" t="e">
        <f>_xlfn.CSC(A29)</f>
        <v>#VALUE!</v>
      </c>
      <c r="D29" s="6" t="e">
        <f>_xlfn.SEC(A29)</f>
        <v>#VALUE!</v>
      </c>
      <c r="E29" t="s">
        <v>9</v>
      </c>
    </row>
    <row r="30" spans="1:5" x14ac:dyDescent="0.35">
      <c r="A30" s="2" t="e">
        <f>1/0</f>
        <v>#DIV/0!</v>
      </c>
      <c r="B30" s="6" t="e">
        <f>_xlfn.COT(A30)</f>
        <v>#DIV/0!</v>
      </c>
      <c r="C30" s="6" t="e">
        <f>_xlfn.CSC(A30)</f>
        <v>#DIV/0!</v>
      </c>
      <c r="D30" s="6" t="e">
        <f>_xlfn.SEC(A30)</f>
        <v>#DIV/0!</v>
      </c>
      <c r="E30" t="s">
        <v>10</v>
      </c>
    </row>
    <row r="31" spans="1:5" x14ac:dyDescent="0.35">
      <c r="A31" t="e">
        <f>NA()</f>
        <v>#N/A</v>
      </c>
      <c r="B31" s="6" t="e">
        <f>_xlfn.COT(A31)</f>
        <v>#N/A</v>
      </c>
      <c r="C31" s="6" t="e">
        <f>_xlfn.CSC(A31)</f>
        <v>#N/A</v>
      </c>
      <c r="D31" s="6" t="e">
        <f>_xlfn.SEC(A31)</f>
        <v>#N/A</v>
      </c>
      <c r="E31" t="s">
        <v>10</v>
      </c>
    </row>
    <row r="32" spans="1:5" x14ac:dyDescent="0.35">
      <c r="A32" t="e" cm="1">
        <f t="array" ref="A32">HELLO</f>
        <v>#NAME?</v>
      </c>
      <c r="B32" s="6" t="e">
        <f>_xlfn.COT(A32)</f>
        <v>#NAME?</v>
      </c>
      <c r="C32" s="6" t="e">
        <f>_xlfn.CSC(A32)</f>
        <v>#NAME?</v>
      </c>
      <c r="D32" s="6" t="e">
        <f>_xlfn.SEC(A32)</f>
        <v>#NAME?</v>
      </c>
      <c r="E32" t="s">
        <v>10</v>
      </c>
    </row>
    <row r="33" spans="1:9" x14ac:dyDescent="0.35">
      <c r="A33" t="e">
        <f>SQRT(-1)</f>
        <v>#NUM!</v>
      </c>
      <c r="B33" s="6" t="e">
        <f>_xlfn.COT(A33)</f>
        <v>#NUM!</v>
      </c>
      <c r="C33" s="6" t="e">
        <f>_xlfn.CSC(A33)</f>
        <v>#NUM!</v>
      </c>
      <c r="D33" s="6" t="e">
        <f>_xlfn.SEC(A33)</f>
        <v>#NUM!</v>
      </c>
      <c r="E33" t="s">
        <v>10</v>
      </c>
    </row>
    <row r="34" spans="1:9" x14ac:dyDescent="0.35">
      <c r="A34" t="e">
        <f>"x"+1</f>
        <v>#VALUE!</v>
      </c>
      <c r="B34" s="6" t="e">
        <f>_xlfn.COT(A34)</f>
        <v>#VALUE!</v>
      </c>
      <c r="C34" s="6" t="e">
        <f>_xlfn.CSC(A34)</f>
        <v>#VALUE!</v>
      </c>
      <c r="D34" s="6" t="e">
        <f>_xlfn.SEC(A34)</f>
        <v>#VALUE!</v>
      </c>
      <c r="E34" t="s">
        <v>10</v>
      </c>
    </row>
    <row r="35" spans="1:9" x14ac:dyDescent="0.35">
      <c r="A35">
        <f>2^20</f>
        <v>1048576</v>
      </c>
      <c r="B35" s="6">
        <f>_xlfn.COT(A35)</f>
        <v>2.855757895123916</v>
      </c>
      <c r="C35" s="6">
        <f>_xlfn.CSC(A35)</f>
        <v>3.0257814123896294</v>
      </c>
      <c r="D35" s="6">
        <f>_xlfn.SEC(A35)</f>
        <v>1.0595370908563435</v>
      </c>
      <c r="E35" t="s">
        <v>11</v>
      </c>
    </row>
    <row r="36" spans="1:9" x14ac:dyDescent="0.35">
      <c r="A36" t="str">
        <f>"@"</f>
        <v>@</v>
      </c>
      <c r="B36" s="6" t="e">
        <f>_xlfn.COT(A36)</f>
        <v>#VALUE!</v>
      </c>
      <c r="C36" s="6" t="e">
        <f>_xlfn.CSC(A36)</f>
        <v>#VALUE!</v>
      </c>
      <c r="D36" s="6" t="e">
        <f>_xlfn.SEC(A36)</f>
        <v>#VALUE!</v>
      </c>
      <c r="E36" t="s">
        <v>12</v>
      </c>
    </row>
    <row r="37" spans="1:9" x14ac:dyDescent="0.35">
      <c r="A37" s="2">
        <f>DATE(2024,1,10)</f>
        <v>45301</v>
      </c>
      <c r="B37" s="6">
        <f>_xlfn.COT(A37)</f>
        <v>-1.0394341057959304</v>
      </c>
      <c r="C37" s="6">
        <f>_xlfn.CSC(A37)</f>
        <v>-1.4423672418256681</v>
      </c>
      <c r="D37" s="6">
        <f>_xlfn.SEC(A37)</f>
        <v>1.3876466375145522</v>
      </c>
      <c r="E37" t="s">
        <v>13</v>
      </c>
      <c r="I37">
        <v>1</v>
      </c>
    </row>
    <row r="38" spans="1:9" x14ac:dyDescent="0.35">
      <c r="A38" t="str">
        <f>"2024-01-10"</f>
        <v>2024-01-10</v>
      </c>
      <c r="B38" s="6">
        <f>_xlfn.COT(A38)</f>
        <v>-1.0394341057959304</v>
      </c>
      <c r="C38" s="6">
        <f>_xlfn.CSC(A38)</f>
        <v>-1.4423672418256681</v>
      </c>
      <c r="D38" s="6">
        <f>_xlfn.SEC(A38)</f>
        <v>1.3876466375145522</v>
      </c>
      <c r="E38" t="s">
        <v>14</v>
      </c>
      <c r="I38">
        <v>2</v>
      </c>
    </row>
    <row r="39" spans="1:9" x14ac:dyDescent="0.35">
      <c r="A39" t="str">
        <f>" 2024-01-10 "</f>
        <v xml:space="preserve"> 2024-01-10 </v>
      </c>
      <c r="B39" s="6" t="e">
        <f>_xlfn.COT(A39)</f>
        <v>#VALUE!</v>
      </c>
      <c r="C39" s="6" t="e">
        <f>_xlfn.CSC(A39)</f>
        <v>#VALUE!</v>
      </c>
      <c r="D39" s="6" t="e">
        <f>_xlfn.SEC(A39)</f>
        <v>#VALUE!</v>
      </c>
      <c r="E39" t="s">
        <v>15</v>
      </c>
      <c r="I39">
        <v>3</v>
      </c>
    </row>
    <row r="40" spans="1:9" x14ac:dyDescent="0.35">
      <c r="A40" s="4">
        <f>TIME(14,30,0)</f>
        <v>0.60416666666666663</v>
      </c>
      <c r="B40" s="6">
        <f>_xlfn.COT(A40)</f>
        <v>1.4487060064955717</v>
      </c>
      <c r="C40" s="6">
        <f>_xlfn.CSC(A40)</f>
        <v>1.7603264166785513</v>
      </c>
      <c r="D40" s="6">
        <f>_xlfn.SEC(A40)</f>
        <v>1.2151025872646106</v>
      </c>
      <c r="E40" t="s">
        <v>16</v>
      </c>
      <c r="I40">
        <v>4</v>
      </c>
    </row>
    <row r="41" spans="1:9" x14ac:dyDescent="0.35">
      <c r="B41" s="6">
        <f>_xlfn.COT(I:I)</f>
        <v>-0.29581291553274552</v>
      </c>
      <c r="C41" s="6">
        <f>_xlfn.CSC(I:I)</f>
        <v>-1.0428352127714058</v>
      </c>
      <c r="D41" s="6">
        <f>_xlfn.SEC(I:I)</f>
        <v>3.5253200858160887</v>
      </c>
      <c r="E41" t="s">
        <v>17</v>
      </c>
      <c r="I41">
        <v>5</v>
      </c>
    </row>
    <row r="42" spans="1:9" x14ac:dyDescent="0.35">
      <c r="A42">
        <f>1.05*(0.0284+0.0046)-0.0284</f>
        <v>6.2499999999999986E-3</v>
      </c>
      <c r="B42" s="6">
        <f>_xlfn.COT(A42)</f>
        <v>159.99791666124133</v>
      </c>
      <c r="C42" s="6">
        <f>_xlfn.CSC(A42)</f>
        <v>160.0010416714139</v>
      </c>
      <c r="D42" s="6">
        <f>_xlfn.SEC(A42)</f>
        <v>1.0000195315678966</v>
      </c>
      <c r="E42" t="s">
        <v>18</v>
      </c>
      <c r="I42">
        <v>6</v>
      </c>
    </row>
    <row r="43" spans="1:9" x14ac:dyDescent="0.35">
      <c r="A43">
        <f>I44</f>
        <v>1.75</v>
      </c>
      <c r="B43" s="6">
        <f>_xlfn.COT(A43)</f>
        <v>-0.18114695257159807</v>
      </c>
      <c r="C43" s="6">
        <f>_xlfn.CSC(A43)</f>
        <v>1.01627467666275</v>
      </c>
      <c r="D43" s="6">
        <f>_xlfn.SEC(A43)</f>
        <v>-5.6102223208037056</v>
      </c>
      <c r="E43" t="s">
        <v>19</v>
      </c>
      <c r="I43">
        <v>7</v>
      </c>
    </row>
    <row r="44" spans="1:9" x14ac:dyDescent="0.35">
      <c r="A44" t="s">
        <v>20</v>
      </c>
      <c r="B44" s="6" t="e">
        <f>_xlfn.COT(A44)</f>
        <v>#VALUE!</v>
      </c>
      <c r="C44" s="6" t="e">
        <f>_xlfn.CSC(A44)</f>
        <v>#VALUE!</v>
      </c>
      <c r="D44" s="6" t="e">
        <f>_xlfn.SEC(A44)</f>
        <v>#VALUE!</v>
      </c>
      <c r="I44">
        <v>1.75</v>
      </c>
    </row>
    <row r="45" spans="1:9" x14ac:dyDescent="0.35">
      <c r="A45">
        <f>PI() - 0.000000000001</f>
        <v>3.141592653588793</v>
      </c>
      <c r="B45" s="7">
        <f>_xlfn.COT(A45)</f>
        <v>-999788629259.20374</v>
      </c>
      <c r="C45" s="7">
        <f>_xlfn.CSC(A45)</f>
        <v>999788629259.20374</v>
      </c>
      <c r="D45" s="6">
        <f>_xlfn.SEC(A45)</f>
        <v>-1</v>
      </c>
      <c r="E45" t="s">
        <v>21</v>
      </c>
    </row>
    <row r="46" spans="1:9" x14ac:dyDescent="0.35">
      <c r="A46">
        <f>PI()/2 - 0.000000000001</f>
        <v>1.5707963267938965</v>
      </c>
      <c r="B46" s="7">
        <f>_xlfn.COT(A46)</f>
        <v>1.0001501580050864E-12</v>
      </c>
      <c r="C46" s="6">
        <f>_xlfn.CSC(A46)</f>
        <v>1</v>
      </c>
      <c r="D46" s="7">
        <f>_xlfn.SEC(A46)</f>
        <v>999849864538.95483</v>
      </c>
      <c r="E46" t="s">
        <v>22</v>
      </c>
    </row>
    <row r="47" spans="1:9" x14ac:dyDescent="0.35">
      <c r="A47">
        <f>PI()/2 + 0.000000000001</f>
        <v>1.5707963267958966</v>
      </c>
      <c r="B47" s="7">
        <f>_xlfn.COT(A47)</f>
        <v>-1.0000276431595956E-12</v>
      </c>
      <c r="C47" s="6">
        <f>_xlfn.CSC(A47)</f>
        <v>1</v>
      </c>
      <c r="D47" s="7">
        <f>_xlfn.SEC(A47)</f>
        <v>-999972357604.52759</v>
      </c>
      <c r="E47" t="s">
        <v>23</v>
      </c>
    </row>
    <row r="48" spans="1:9" x14ac:dyDescent="0.35">
      <c r="A48" s="10">
        <f>PI()/4</f>
        <v>0.78539816339744828</v>
      </c>
      <c r="B48" s="6">
        <f>_xlfn.COT(A48)</f>
        <v>1</v>
      </c>
      <c r="C48" s="6">
        <f>_xlfn.CSC(A48)</f>
        <v>1.4142135623730951</v>
      </c>
      <c r="D48" s="6">
        <f>_xlfn.SEC(A48)</f>
        <v>1.4142135623730949</v>
      </c>
      <c r="E48" t="s">
        <v>42</v>
      </c>
    </row>
    <row r="49" spans="1:5" x14ac:dyDescent="0.35">
      <c r="A49" s="10">
        <f>PI()/6</f>
        <v>0.52359877559829882</v>
      </c>
      <c r="B49" s="6">
        <f>_xlfn.COT(A49)</f>
        <v>1.7320508075688774</v>
      </c>
      <c r="C49" s="6">
        <f>_xlfn.CSC(A49)</f>
        <v>2</v>
      </c>
      <c r="D49" s="6">
        <f>_xlfn.SEC(A49)</f>
        <v>1.1547005383792515</v>
      </c>
      <c r="E49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8B3E-5406-4BE1-BC5D-C10079C7BBA0}">
  <dimension ref="A1:I55"/>
  <sheetViews>
    <sheetView workbookViewId="0">
      <selection activeCell="C33" sqref="C33"/>
    </sheetView>
  </sheetViews>
  <sheetFormatPr defaultColWidth="17.1796875" defaultRowHeight="14.5" x14ac:dyDescent="0.35"/>
  <cols>
    <col min="1" max="4" width="18.1796875" customWidth="1"/>
    <col min="5" max="5" width="49.08984375" bestFit="1" customWidth="1"/>
  </cols>
  <sheetData>
    <row r="1" spans="1:5" ht="15.5" x14ac:dyDescent="0.35">
      <c r="A1" s="1" t="s">
        <v>0</v>
      </c>
      <c r="B1" s="1" t="s">
        <v>24</v>
      </c>
      <c r="C1" s="1" t="s">
        <v>25</v>
      </c>
      <c r="D1" s="1" t="s">
        <v>26</v>
      </c>
      <c r="E1" s="3" t="s">
        <v>4</v>
      </c>
    </row>
    <row r="2" spans="1:5" x14ac:dyDescent="0.35">
      <c r="A2">
        <v>1</v>
      </c>
      <c r="B2" s="6">
        <f>_xlfn.COTH(A2)</f>
        <v>1.3130352854993315</v>
      </c>
      <c r="C2" s="6">
        <f>_xlfn.CSCH(A2)</f>
        <v>0.85091812823932156</v>
      </c>
      <c r="D2" s="6">
        <f>_xlfn.SECH(A2)</f>
        <v>0.64805427366388546</v>
      </c>
    </row>
    <row r="3" spans="1:5" x14ac:dyDescent="0.35">
      <c r="A3">
        <v>5</v>
      </c>
      <c r="B3" s="6">
        <f>_xlfn.COTH(A3)</f>
        <v>1.0000908039820195</v>
      </c>
      <c r="C3" s="6">
        <f>_xlfn.CSCH(A3)</f>
        <v>1.3476505830589089E-2</v>
      </c>
      <c r="D3" s="6">
        <f>_xlfn.SECH(A3)</f>
        <v>1.3475282221304556E-2</v>
      </c>
    </row>
    <row r="4" spans="1:5" x14ac:dyDescent="0.35">
      <c r="A4">
        <v>2.8</v>
      </c>
      <c r="B4" s="6">
        <f>_xlfn.COTH(A4)</f>
        <v>1.0074231773310796</v>
      </c>
      <c r="C4" s="6">
        <f>_xlfn.CSCH(A4)</f>
        <v>0.122071529128817</v>
      </c>
      <c r="D4" s="6">
        <f>_xlfn.SECH(A4)</f>
        <v>0.12117204753241388</v>
      </c>
    </row>
    <row r="5" spans="1:5" x14ac:dyDescent="0.35">
      <c r="A5">
        <v>-1</v>
      </c>
      <c r="B5" s="6">
        <f>_xlfn.COTH(A5)</f>
        <v>-1.3130352854993315</v>
      </c>
      <c r="C5" s="6">
        <f>_xlfn.CSCH(A5)</f>
        <v>-0.85091812823932156</v>
      </c>
      <c r="D5" s="6">
        <f>_xlfn.SECH(A5)</f>
        <v>0.64805427366388546</v>
      </c>
    </row>
    <row r="6" spans="1:5" x14ac:dyDescent="0.35">
      <c r="A6">
        <v>-10</v>
      </c>
      <c r="B6" s="6">
        <f>_xlfn.COTH(A6)</f>
        <v>-1.0000000041223074</v>
      </c>
      <c r="C6" s="7">
        <f>_xlfn.CSCH(A6)</f>
        <v>-9.0799859712122167E-5</v>
      </c>
      <c r="D6" s="7">
        <f>_xlfn.SECH(A6)</f>
        <v>9.0799859337817237E-5</v>
      </c>
    </row>
    <row r="7" spans="1:5" x14ac:dyDescent="0.35">
      <c r="A7">
        <v>0</v>
      </c>
      <c r="B7" s="6" t="e">
        <f>_xlfn.COTH(A7)</f>
        <v>#DIV/0!</v>
      </c>
      <c r="C7" s="6" t="e">
        <f>_xlfn.CSCH(A7)</f>
        <v>#DIV/0!</v>
      </c>
      <c r="D7" s="6">
        <f>_xlfn.SECH(A7)</f>
        <v>1</v>
      </c>
      <c r="E7" t="s">
        <v>38</v>
      </c>
    </row>
    <row r="8" spans="1:5" x14ac:dyDescent="0.35">
      <c r="A8">
        <v>7.1</v>
      </c>
      <c r="B8" s="6">
        <f>_xlfn.COTH(A8)</f>
        <v>1.0000013615971957</v>
      </c>
      <c r="C8" s="6">
        <f>_xlfn.CSCH(A8)</f>
        <v>1.6502109699923588E-3</v>
      </c>
      <c r="D8" s="6">
        <f>_xlfn.SECH(A8)</f>
        <v>1.6502087230727892E-3</v>
      </c>
    </row>
    <row r="9" spans="1:5" x14ac:dyDescent="0.35">
      <c r="A9">
        <v>-7.1</v>
      </c>
      <c r="B9" s="6">
        <f>_xlfn.COTH(A9)</f>
        <v>-1.0000013615971957</v>
      </c>
      <c r="C9" s="6">
        <f>_xlfn.CSCH(A9)</f>
        <v>-1.6502109699923588E-3</v>
      </c>
      <c r="D9" s="6">
        <f>_xlfn.SECH(A9)</f>
        <v>1.6502087230727892E-3</v>
      </c>
    </row>
    <row r="10" spans="1:5" x14ac:dyDescent="0.35">
      <c r="A10">
        <v>0.123</v>
      </c>
      <c r="B10" s="6">
        <f>_xlfn.COTH(A10)</f>
        <v>8.1710400077061909</v>
      </c>
      <c r="C10" s="6">
        <f>_xlfn.CSCH(A10)</f>
        <v>8.1096174267060963</v>
      </c>
      <c r="D10" s="6">
        <f>_xlfn.SECH(A10)</f>
        <v>0.99248289312717008</v>
      </c>
    </row>
    <row r="11" spans="1:5" x14ac:dyDescent="0.35">
      <c r="A11">
        <v>-0.5</v>
      </c>
      <c r="B11" s="6">
        <f>_xlfn.COTH(A11)</f>
        <v>-2.1639534137386529</v>
      </c>
      <c r="C11" s="6">
        <f>_xlfn.CSCH(A11)</f>
        <v>-1.9190347513349437</v>
      </c>
      <c r="D11" s="6">
        <f>_xlfn.SECH(A11)</f>
        <v>0.88681888397007402</v>
      </c>
    </row>
    <row r="12" spans="1:5" x14ac:dyDescent="0.35">
      <c r="A12">
        <v>100</v>
      </c>
      <c r="B12" s="6">
        <f>_xlfn.COTH(A12)</f>
        <v>1</v>
      </c>
      <c r="C12" s="7">
        <f>_xlfn.CSCH(A12)</f>
        <v>7.4401519520416712E-44</v>
      </c>
      <c r="D12" s="7">
        <f>_xlfn.SECH(A12)</f>
        <v>7.4401519520416712E-44</v>
      </c>
    </row>
    <row r="13" spans="1:5" x14ac:dyDescent="0.35">
      <c r="A13">
        <v>-100</v>
      </c>
      <c r="B13" s="6">
        <f>_xlfn.COTH(A13)</f>
        <v>-1</v>
      </c>
      <c r="C13" s="7">
        <f>_xlfn.CSCH(A13)</f>
        <v>-7.4401519520416712E-44</v>
      </c>
      <c r="D13" s="7">
        <f>_xlfn.SECH(A13)</f>
        <v>7.4401519520416712E-44</v>
      </c>
    </row>
    <row r="14" spans="1:5" x14ac:dyDescent="0.35">
      <c r="A14" s="8">
        <v>1.0000000001</v>
      </c>
      <c r="B14" s="6">
        <f>_xlfn.COTH(A14)</f>
        <v>1.3130352854269252</v>
      </c>
      <c r="C14" s="6">
        <f>_xlfn.CSCH(A14)</f>
        <v>0.85091812812759304</v>
      </c>
      <c r="D14" s="6">
        <f>_xlfn.SECH(A14)</f>
        <v>0.64805427361452994</v>
      </c>
      <c r="E14" t="s">
        <v>53</v>
      </c>
    </row>
    <row r="15" spans="1:5" x14ac:dyDescent="0.35">
      <c r="A15" s="8">
        <v>0.99999999989999999</v>
      </c>
      <c r="B15" s="6">
        <f>_xlfn.COTH(A15)</f>
        <v>1.3130352855717375</v>
      </c>
      <c r="C15" s="6">
        <f>_xlfn.CSCH(A15)</f>
        <v>0.85091812835105007</v>
      </c>
      <c r="D15" s="6">
        <f>_xlfn.SECH(A15)</f>
        <v>0.64805427371324076</v>
      </c>
      <c r="E15" t="s">
        <v>53</v>
      </c>
    </row>
    <row r="16" spans="1:5" x14ac:dyDescent="0.35">
      <c r="A16" s="8">
        <v>-1.0000000001</v>
      </c>
      <c r="B16" s="6">
        <f>_xlfn.COTH(A16)</f>
        <v>-1.3130352854269252</v>
      </c>
      <c r="C16" s="6">
        <f>_xlfn.CSCH(A16)</f>
        <v>-0.85091812812759304</v>
      </c>
      <c r="D16" s="6">
        <f>_xlfn.SECH(A16)</f>
        <v>0.64805427361452994</v>
      </c>
      <c r="E16" t="s">
        <v>54</v>
      </c>
    </row>
    <row r="17" spans="1:5" x14ac:dyDescent="0.35">
      <c r="A17" s="8">
        <v>-0.99999999989999999</v>
      </c>
      <c r="B17" s="6">
        <f>_xlfn.COTH(A17)</f>
        <v>-1.3130352855717375</v>
      </c>
      <c r="C17" s="6">
        <f>_xlfn.CSCH(A17)</f>
        <v>-0.85091812835105007</v>
      </c>
      <c r="D17" s="6">
        <f>_xlfn.SECH(A17)</f>
        <v>0.64805427371324076</v>
      </c>
      <c r="E17" t="s">
        <v>54</v>
      </c>
    </row>
    <row r="18" spans="1:5" x14ac:dyDescent="0.35">
      <c r="A18" s="5">
        <v>9.9999999999999998E-13</v>
      </c>
      <c r="B18" s="7">
        <f>_xlfn.COTH(A18)</f>
        <v>1000000000000</v>
      </c>
      <c r="C18" s="7">
        <f>_xlfn.CSCH(A18)</f>
        <v>1000000000000</v>
      </c>
      <c r="D18" s="6">
        <f>_xlfn.SECH(A18)</f>
        <v>1</v>
      </c>
      <c r="E18" t="s">
        <v>39</v>
      </c>
    </row>
    <row r="19" spans="1:5" x14ac:dyDescent="0.35">
      <c r="A19" s="5">
        <v>-9.9999999999999998E-13</v>
      </c>
      <c r="B19" s="7">
        <f>_xlfn.COTH(A19)</f>
        <v>-1000000000000</v>
      </c>
      <c r="C19" s="7">
        <f>_xlfn.CSCH(A19)</f>
        <v>-1000000000000</v>
      </c>
      <c r="D19" s="6">
        <f>_xlfn.SECH(A19)</f>
        <v>1</v>
      </c>
      <c r="E19" t="s">
        <v>40</v>
      </c>
    </row>
    <row r="20" spans="1:5" x14ac:dyDescent="0.35">
      <c r="A20" s="5">
        <v>9999999999999</v>
      </c>
      <c r="B20" s="6">
        <f>_xlfn.COTH(A20)</f>
        <v>1</v>
      </c>
      <c r="C20" s="6">
        <f>_xlfn.CSCH(A20)</f>
        <v>0</v>
      </c>
      <c r="D20" s="6">
        <f>_xlfn.SECH(A20)</f>
        <v>0</v>
      </c>
      <c r="E20" t="s">
        <v>27</v>
      </c>
    </row>
    <row r="21" spans="1:5" x14ac:dyDescent="0.35">
      <c r="A21" s="5" t="b">
        <v>1</v>
      </c>
      <c r="B21" s="6">
        <f>_xlfn.COTH(A21)</f>
        <v>1.3130352854993315</v>
      </c>
      <c r="C21" s="6">
        <f>_xlfn.CSCH(A21)</f>
        <v>0.85091812823932156</v>
      </c>
      <c r="D21" s="6">
        <f>_xlfn.SECH(A21)</f>
        <v>0.64805427366388546</v>
      </c>
      <c r="E21" t="s">
        <v>5</v>
      </c>
    </row>
    <row r="22" spans="1:5" x14ac:dyDescent="0.35">
      <c r="A22" s="5" t="b">
        <v>0</v>
      </c>
      <c r="B22" s="6" t="e">
        <f>_xlfn.COTH(A22)</f>
        <v>#DIV/0!</v>
      </c>
      <c r="C22" s="6" t="e">
        <f>_xlfn.CSCH(A22)</f>
        <v>#DIV/0!</v>
      </c>
      <c r="D22" s="6">
        <f>_xlfn.SECH(A22)</f>
        <v>1</v>
      </c>
      <c r="E22" t="s">
        <v>5</v>
      </c>
    </row>
    <row r="23" spans="1:5" x14ac:dyDescent="0.35">
      <c r="B23" s="6" t="e">
        <f>_xlfn.COTH(A23)</f>
        <v>#DIV/0!</v>
      </c>
      <c r="C23" s="6" t="e">
        <f>_xlfn.CSCH(A23)</f>
        <v>#DIV/0!</v>
      </c>
      <c r="D23" s="6">
        <f>_xlfn.SECH(A23)</f>
        <v>1</v>
      </c>
      <c r="E23" t="s">
        <v>6</v>
      </c>
    </row>
    <row r="24" spans="1:5" x14ac:dyDescent="0.35">
      <c r="A24" t="str">
        <f>""</f>
        <v/>
      </c>
      <c r="B24" s="6" t="e">
        <f>_xlfn.COTH(A24)</f>
        <v>#VALUE!</v>
      </c>
      <c r="C24" s="6" t="e">
        <f>_xlfn.CSCH(A24)</f>
        <v>#VALUE!</v>
      </c>
      <c r="D24" s="6" t="e">
        <f>_xlfn.SECH(A24)</f>
        <v>#VALUE!</v>
      </c>
      <c r="E24" t="s">
        <v>41</v>
      </c>
    </row>
    <row r="25" spans="1:5" x14ac:dyDescent="0.35">
      <c r="A25" t="str">
        <f>"8"</f>
        <v>8</v>
      </c>
      <c r="B25" s="6">
        <f>_xlfn.COTH(A25)</f>
        <v>1.0000002250703748</v>
      </c>
      <c r="C25" s="7">
        <f>_xlfn.CSCH(A25)</f>
        <v>6.7092533130772307E-4</v>
      </c>
      <c r="D25" s="7">
        <f>_xlfn.SECH(A25)</f>
        <v>6.7092518030234126E-4</v>
      </c>
      <c r="E25" t="s">
        <v>7</v>
      </c>
    </row>
    <row r="26" spans="1:5" x14ac:dyDescent="0.35">
      <c r="A26">
        <v>2</v>
      </c>
      <c r="B26" s="6">
        <f>_xlfn.COTH(A26)</f>
        <v>1.0373147207275479</v>
      </c>
      <c r="C26" s="6">
        <f>_xlfn.CSCH(A26)</f>
        <v>0.27572056477178319</v>
      </c>
      <c r="D26" s="6">
        <f>_xlfn.SECH(A26)</f>
        <v>0.26580222883407972</v>
      </c>
      <c r="E26" t="s">
        <v>7</v>
      </c>
    </row>
    <row r="27" spans="1:5" x14ac:dyDescent="0.35">
      <c r="A27" t="str">
        <f>" 10 "</f>
        <v xml:space="preserve"> 10 </v>
      </c>
      <c r="B27" s="6">
        <f>_xlfn.COTH(A27)</f>
        <v>1.0000000041223074</v>
      </c>
      <c r="C27" s="7">
        <f>_xlfn.CSCH(A27)</f>
        <v>9.0799859712122167E-5</v>
      </c>
      <c r="D27" s="7">
        <f>_xlfn.SECH(A27)</f>
        <v>9.0799859337817237E-5</v>
      </c>
      <c r="E27" t="s">
        <v>7</v>
      </c>
    </row>
    <row r="28" spans="1:5" x14ac:dyDescent="0.35">
      <c r="A28" t="str">
        <f>"0"</f>
        <v>0</v>
      </c>
      <c r="B28" s="6" t="e">
        <f>_xlfn.COTH(A28)</f>
        <v>#DIV/0!</v>
      </c>
      <c r="C28" s="6" t="e">
        <f>_xlfn.CSCH(A28)</f>
        <v>#DIV/0!</v>
      </c>
      <c r="D28" s="6">
        <f>_xlfn.SECH(A28)</f>
        <v>1</v>
      </c>
      <c r="E28" t="s">
        <v>7</v>
      </c>
    </row>
    <row r="29" spans="1:5" x14ac:dyDescent="0.35">
      <c r="A29" t="s">
        <v>8</v>
      </c>
      <c r="B29" s="6" t="e">
        <f>_xlfn.COTH(A29)</f>
        <v>#VALUE!</v>
      </c>
      <c r="C29" s="6" t="e">
        <f>_xlfn.CSCH(A29)</f>
        <v>#VALUE!</v>
      </c>
      <c r="D29" s="6" t="e">
        <f>_xlfn.SECH(A29)</f>
        <v>#VALUE!</v>
      </c>
      <c r="E29" t="s">
        <v>9</v>
      </c>
    </row>
    <row r="30" spans="1:5" x14ac:dyDescent="0.35">
      <c r="A30" s="2" t="e">
        <f>1/0</f>
        <v>#DIV/0!</v>
      </c>
      <c r="B30" s="6" t="e">
        <f>_xlfn.COTH(A30)</f>
        <v>#DIV/0!</v>
      </c>
      <c r="C30" s="6" t="e">
        <f>_xlfn.CSCH(A30)</f>
        <v>#DIV/0!</v>
      </c>
      <c r="D30" s="6" t="e">
        <f>_xlfn.SECH(A30)</f>
        <v>#DIV/0!</v>
      </c>
      <c r="E30" t="s">
        <v>10</v>
      </c>
    </row>
    <row r="31" spans="1:5" x14ac:dyDescent="0.35">
      <c r="A31" t="e">
        <f>NA()</f>
        <v>#N/A</v>
      </c>
      <c r="B31" s="6" t="e">
        <f>_xlfn.COTH(A31)</f>
        <v>#N/A</v>
      </c>
      <c r="C31" s="6" t="e">
        <f>_xlfn.CSCH(A31)</f>
        <v>#N/A</v>
      </c>
      <c r="D31" s="6" t="e">
        <f>_xlfn.SECH(A31)</f>
        <v>#N/A</v>
      </c>
      <c r="E31" t="s">
        <v>10</v>
      </c>
    </row>
    <row r="32" spans="1:5" x14ac:dyDescent="0.35">
      <c r="A32" t="e" cm="1">
        <f t="array" ref="A32">HELLO</f>
        <v>#NAME?</v>
      </c>
      <c r="B32" s="6" t="e">
        <f>_xlfn.COTH(A32)</f>
        <v>#NAME?</v>
      </c>
      <c r="C32" s="6" t="e">
        <f>_xlfn.CSCH(A32)</f>
        <v>#NAME?</v>
      </c>
      <c r="D32" s="6" t="e">
        <f>_xlfn.SECH(A32)</f>
        <v>#NAME?</v>
      </c>
      <c r="E32" t="s">
        <v>10</v>
      </c>
    </row>
    <row r="33" spans="1:9" x14ac:dyDescent="0.35">
      <c r="A33" t="e">
        <f>SQRT(-1)</f>
        <v>#NUM!</v>
      </c>
      <c r="B33" s="6" t="e">
        <f>_xlfn.COTH(A33)</f>
        <v>#NUM!</v>
      </c>
      <c r="C33" s="6" t="e">
        <f>_xlfn.CSCH(A33)</f>
        <v>#NUM!</v>
      </c>
      <c r="D33" s="6" t="e">
        <f>_xlfn.SECH(A33)</f>
        <v>#NUM!</v>
      </c>
      <c r="E33" t="s">
        <v>10</v>
      </c>
    </row>
    <row r="34" spans="1:9" x14ac:dyDescent="0.35">
      <c r="A34" t="e">
        <f>"x"+1</f>
        <v>#VALUE!</v>
      </c>
      <c r="B34" s="6" t="e">
        <f>_xlfn.COTH(A34)</f>
        <v>#VALUE!</v>
      </c>
      <c r="C34" s="6" t="e">
        <f>_xlfn.CSCH(A34)</f>
        <v>#VALUE!</v>
      </c>
      <c r="D34" s="6" t="e">
        <f>_xlfn.SECH(A34)</f>
        <v>#VALUE!</v>
      </c>
      <c r="E34" t="s">
        <v>10</v>
      </c>
    </row>
    <row r="35" spans="1:9" x14ac:dyDescent="0.35">
      <c r="A35">
        <f>2^20</f>
        <v>1048576</v>
      </c>
      <c r="B35" s="6">
        <f>_xlfn.COTH(A35)</f>
        <v>1</v>
      </c>
      <c r="C35" s="6">
        <f>_xlfn.CSCH(A35)</f>
        <v>0</v>
      </c>
      <c r="D35" s="6">
        <f>_xlfn.SECH(A35)</f>
        <v>0</v>
      </c>
      <c r="E35" t="s">
        <v>11</v>
      </c>
    </row>
    <row r="36" spans="1:9" x14ac:dyDescent="0.35">
      <c r="A36" t="str">
        <f>"@"</f>
        <v>@</v>
      </c>
      <c r="B36" s="6" t="e">
        <f>_xlfn.COTH(A36)</f>
        <v>#VALUE!</v>
      </c>
      <c r="C36" s="6" t="e">
        <f>_xlfn.CSCH(A36)</f>
        <v>#VALUE!</v>
      </c>
      <c r="D36" s="6" t="e">
        <f>_xlfn.SECH(A36)</f>
        <v>#VALUE!</v>
      </c>
      <c r="E36" t="s">
        <v>12</v>
      </c>
    </row>
    <row r="37" spans="1:9" x14ac:dyDescent="0.35">
      <c r="A37" s="2">
        <f>DATE(2024,1,10)</f>
        <v>45301</v>
      </c>
      <c r="B37" s="6">
        <f>_xlfn.COTH(A37)</f>
        <v>1</v>
      </c>
      <c r="C37" s="6">
        <f>_xlfn.CSCH(A37)</f>
        <v>0</v>
      </c>
      <c r="D37" s="6">
        <f>_xlfn.SECH(A37)</f>
        <v>0</v>
      </c>
      <c r="E37" t="s">
        <v>13</v>
      </c>
      <c r="I37">
        <v>1</v>
      </c>
    </row>
    <row r="38" spans="1:9" x14ac:dyDescent="0.35">
      <c r="A38" t="str">
        <f>"2024-01-10"</f>
        <v>2024-01-10</v>
      </c>
      <c r="B38" s="6">
        <f>_xlfn.COTH(A38)</f>
        <v>1</v>
      </c>
      <c r="C38" s="6">
        <f>_xlfn.CSCH(A38)</f>
        <v>0</v>
      </c>
      <c r="D38" s="6">
        <f>_xlfn.SECH(A38)</f>
        <v>0</v>
      </c>
      <c r="E38" t="s">
        <v>14</v>
      </c>
      <c r="I38">
        <v>2</v>
      </c>
    </row>
    <row r="39" spans="1:9" x14ac:dyDescent="0.35">
      <c r="A39" t="str">
        <f>" 2024-01-10 "</f>
        <v xml:space="preserve"> 2024-01-10 </v>
      </c>
      <c r="B39" s="6" t="e">
        <f>_xlfn.COTH(A39)</f>
        <v>#VALUE!</v>
      </c>
      <c r="C39" s="6" t="e">
        <f>_xlfn.CSCH(A39)</f>
        <v>#VALUE!</v>
      </c>
      <c r="D39" s="6" t="e">
        <f>_xlfn.SECH(A39)</f>
        <v>#VALUE!</v>
      </c>
      <c r="E39" t="s">
        <v>15</v>
      </c>
      <c r="I39">
        <v>3</v>
      </c>
    </row>
    <row r="40" spans="1:9" x14ac:dyDescent="0.35">
      <c r="A40" s="4">
        <f>TIME(14,30,0)</f>
        <v>0.60416666666666663</v>
      </c>
      <c r="B40" s="6">
        <f>_xlfn.COTH(A40)</f>
        <v>1.8518249747338074</v>
      </c>
      <c r="C40" s="6">
        <f>_xlfn.CSCH(A40)</f>
        <v>1.558606986076948</v>
      </c>
      <c r="D40" s="6">
        <f>_xlfn.SECH(A40)</f>
        <v>0.8416599880347716</v>
      </c>
      <c r="E40" t="s">
        <v>16</v>
      </c>
      <c r="I40">
        <v>4</v>
      </c>
    </row>
    <row r="41" spans="1:9" x14ac:dyDescent="0.35">
      <c r="B41" s="6">
        <f>_xlfn.COTH(I:I)</f>
        <v>1.0000908039820195</v>
      </c>
      <c r="C41" s="6">
        <f>_xlfn.CSCH(I:I)</f>
        <v>1.3476505830589089E-2</v>
      </c>
      <c r="D41" s="6">
        <f>_xlfn.SECH(I:I)</f>
        <v>1.3475282221304556E-2</v>
      </c>
      <c r="E41" t="s">
        <v>17</v>
      </c>
      <c r="I41">
        <v>5</v>
      </c>
    </row>
    <row r="42" spans="1:9" x14ac:dyDescent="0.35">
      <c r="A42">
        <f>1.05*(0.0284+0.0046)-0.0284</f>
        <v>6.2499999999999986E-3</v>
      </c>
      <c r="B42" s="6">
        <f>_xlfn.COTH(A42)</f>
        <v>160.00208332790808</v>
      </c>
      <c r="C42" s="6">
        <f>_xlfn.CSCH(A42)</f>
        <v>159.99895833808054</v>
      </c>
      <c r="D42" s="6">
        <f>_xlfn.SECH(A42)</f>
        <v>0.99998046906788629</v>
      </c>
      <c r="E42" t="s">
        <v>18</v>
      </c>
      <c r="I42">
        <v>6</v>
      </c>
    </row>
    <row r="43" spans="1:9" x14ac:dyDescent="0.35">
      <c r="A43">
        <f>I44</f>
        <v>1.75</v>
      </c>
      <c r="B43" s="6">
        <f>_xlfn.COTH(A43)</f>
        <v>1.0622753185155998</v>
      </c>
      <c r="C43" s="6">
        <f>_xlfn.CSCH(A43)</f>
        <v>0.35836971457897854</v>
      </c>
      <c r="D43" s="6">
        <f>_xlfn.SECH(A43)</f>
        <v>0.33736048304290506</v>
      </c>
      <c r="E43" t="s">
        <v>19</v>
      </c>
      <c r="I43">
        <v>7</v>
      </c>
    </row>
    <row r="44" spans="1:9" x14ac:dyDescent="0.35">
      <c r="A44" t="s">
        <v>20</v>
      </c>
      <c r="B44" s="6" t="e">
        <f>_xlfn.COTH(A44)</f>
        <v>#VALUE!</v>
      </c>
      <c r="C44" s="6" t="e">
        <f>_xlfn.CSCH(A44)</f>
        <v>#VALUE!</v>
      </c>
      <c r="D44" s="6" t="e">
        <f>_xlfn.SECH(A44)</f>
        <v>#VALUE!</v>
      </c>
      <c r="I44">
        <v>1.75</v>
      </c>
    </row>
    <row r="45" spans="1:9" x14ac:dyDescent="0.35">
      <c r="A45">
        <f>PI() - 0.000000000001</f>
        <v>3.141592653588793</v>
      </c>
      <c r="B45" s="6">
        <f>_xlfn.COTH(A45)</f>
        <v>1.0037418731973289</v>
      </c>
      <c r="C45" s="6">
        <f>_xlfn.CSCH(A45)</f>
        <v>8.6589537530133875E-2</v>
      </c>
      <c r="D45" s="6">
        <f>_xlfn.SECH(A45)</f>
        <v>8.6266738334140364E-2</v>
      </c>
      <c r="E45" t="s">
        <v>21</v>
      </c>
    </row>
    <row r="46" spans="1:9" x14ac:dyDescent="0.35">
      <c r="A46">
        <f>PI()/2 - 0.000000000001</f>
        <v>1.5707963267938965</v>
      </c>
      <c r="B46" s="6">
        <f>_xlfn.COTH(A46)</f>
        <v>1.090331410727557</v>
      </c>
      <c r="C46" s="6">
        <f>_xlfn.CSCH(A46)</f>
        <v>0.43453720809516966</v>
      </c>
      <c r="D46" s="6">
        <f>_xlfn.SECH(A46)</f>
        <v>0.39853681533875229</v>
      </c>
      <c r="E46" t="s">
        <v>22</v>
      </c>
    </row>
    <row r="47" spans="1:9" x14ac:dyDescent="0.35">
      <c r="A47">
        <f>PI()/2 + 0.000000000001</f>
        <v>1.5707963267958966</v>
      </c>
      <c r="B47" s="6">
        <f>_xlfn.COTH(A47)</f>
        <v>1.0903314107271795</v>
      </c>
      <c r="C47" s="6">
        <f>_xlfn.CSCH(A47)</f>
        <v>0.43453720809422197</v>
      </c>
      <c r="D47" s="6">
        <f>_xlfn.SECH(A47)</f>
        <v>0.3985368153380211</v>
      </c>
      <c r="E47" t="s">
        <v>23</v>
      </c>
    </row>
    <row r="48" spans="1:9" x14ac:dyDescent="0.35">
      <c r="A48" s="10">
        <f>PI()</f>
        <v>3.1415926535897931</v>
      </c>
      <c r="B48" s="6">
        <f>_xlfn.COTH(A48)</f>
        <v>1.0037418731973211</v>
      </c>
      <c r="C48" s="6">
        <f>_xlfn.CSCH(A48)</f>
        <v>8.6589537530046945E-2</v>
      </c>
      <c r="D48" s="6">
        <f>_xlfn.SECH(A48)</f>
        <v>8.6266738334054432E-2</v>
      </c>
      <c r="E48" t="s">
        <v>33</v>
      </c>
    </row>
    <row r="49" spans="1:5" x14ac:dyDescent="0.35">
      <c r="A49" s="10">
        <f>PI()/2</f>
        <v>1.5707963267948966</v>
      </c>
      <c r="B49" s="6">
        <f>_xlfn.COTH(A49)</f>
        <v>1.0903314107273683</v>
      </c>
      <c r="C49" s="6">
        <f>_xlfn.CSCH(A49)</f>
        <v>0.43453720809469581</v>
      </c>
      <c r="D49" s="6">
        <f>_xlfn.SECH(A49)</f>
        <v>0.3985368153383867</v>
      </c>
      <c r="E49" t="s">
        <v>28</v>
      </c>
    </row>
    <row r="50" spans="1:5" x14ac:dyDescent="0.35">
      <c r="A50" s="10">
        <f>2*PI()</f>
        <v>6.2831853071795862</v>
      </c>
      <c r="B50" s="6">
        <f>_xlfn.COTH(A50)</f>
        <v>1.0000069747090357</v>
      </c>
      <c r="C50" s="6">
        <f>_xlfn.CSCH(A50)</f>
        <v>3.7348984882856731E-3</v>
      </c>
      <c r="D50" s="6">
        <f>_xlfn.SECH(A50)</f>
        <v>3.7348724386371281E-3</v>
      </c>
      <c r="E50" t="s">
        <v>37</v>
      </c>
    </row>
    <row r="51" spans="1:5" x14ac:dyDescent="0.35">
      <c r="A51" s="10">
        <f>PI()/4</f>
        <v>0.78539816339744828</v>
      </c>
      <c r="B51" s="6">
        <f>_xlfn.COTH(A51)</f>
        <v>1.5248686188220641</v>
      </c>
      <c r="C51" s="6">
        <f>_xlfn.CSCH(A51)</f>
        <v>1.1511838709208486</v>
      </c>
      <c r="D51" s="6">
        <f>_xlfn.SECH(A51)</f>
        <v>0.7549397087141313</v>
      </c>
      <c r="E51" t="s">
        <v>42</v>
      </c>
    </row>
    <row r="52" spans="1:5" x14ac:dyDescent="0.35">
      <c r="A52" s="10">
        <f>PI()/6</f>
        <v>0.52359877559829882</v>
      </c>
      <c r="B52" s="6">
        <f>_xlfn.COTH(A52)</f>
        <v>2.0812833639336374</v>
      </c>
      <c r="C52" s="6">
        <f>_xlfn.CSCH(A52)</f>
        <v>1.8253055746879534</v>
      </c>
      <c r="D52" s="6">
        <f>_xlfn.SECH(A52)</f>
        <v>0.87700964045477936</v>
      </c>
      <c r="E52" t="s">
        <v>43</v>
      </c>
    </row>
    <row r="53" spans="1:5" x14ac:dyDescent="0.35">
      <c r="A53" s="10">
        <v>10</v>
      </c>
      <c r="B53" s="6">
        <f>_xlfn.COTH(A53)</f>
        <v>1.0000000041223074</v>
      </c>
      <c r="C53" s="7">
        <f>_xlfn.CSCH(A53)</f>
        <v>9.0799859712122167E-5</v>
      </c>
      <c r="D53" s="7">
        <f>_xlfn.SECH(A53)</f>
        <v>9.0799859337817237E-5</v>
      </c>
    </row>
    <row r="54" spans="1:5" x14ac:dyDescent="0.35">
      <c r="A54" s="10">
        <v>0.88</v>
      </c>
      <c r="B54" s="6">
        <f>_xlfn.COTH(A54)</f>
        <v>1.4155898219738354</v>
      </c>
      <c r="C54" s="6">
        <f>_xlfn.CSCH(A54)</f>
        <v>1.0019453797867004</v>
      </c>
      <c r="D54" s="6">
        <f>_xlfn.SECH(A54)</f>
        <v>0.70779357426407052</v>
      </c>
      <c r="E54" t="s">
        <v>29</v>
      </c>
    </row>
    <row r="55" spans="1:5" x14ac:dyDescent="0.35">
      <c r="A55" s="10">
        <v>0.44068679999999999</v>
      </c>
      <c r="B55" s="6">
        <f>_xlfn.COTH(A55)</f>
        <v>2.4142135310355002</v>
      </c>
      <c r="C55" s="6">
        <f>_xlfn.CSCH(A55)</f>
        <v>2.1973681925055022</v>
      </c>
      <c r="D55" s="6">
        <f>_xlfn.SECH(A55)</f>
        <v>0.91017971867758152</v>
      </c>
      <c r="E55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77E3-528E-4895-9108-A3ECAED88DFB}">
  <dimension ref="A1:J53"/>
  <sheetViews>
    <sheetView workbookViewId="0">
      <selection activeCell="B41" sqref="B41"/>
    </sheetView>
  </sheetViews>
  <sheetFormatPr defaultRowHeight="14.5" x14ac:dyDescent="0.35"/>
  <cols>
    <col min="1" max="3" width="18.1796875" customWidth="1"/>
    <col min="4" max="4" width="29.08984375" bestFit="1" customWidth="1"/>
  </cols>
  <sheetData>
    <row r="1" spans="1:4" ht="15.5" x14ac:dyDescent="0.35">
      <c r="A1" s="1" t="s">
        <v>0</v>
      </c>
      <c r="B1" s="1" t="s">
        <v>31</v>
      </c>
      <c r="C1" s="1" t="s">
        <v>32</v>
      </c>
      <c r="D1" s="3" t="s">
        <v>4</v>
      </c>
    </row>
    <row r="2" spans="1:4" x14ac:dyDescent="0.35">
      <c r="A2">
        <v>1</v>
      </c>
      <c r="B2" s="6">
        <f>_xlfn.ACOT(A2)</f>
        <v>0.78539816339744828</v>
      </c>
      <c r="C2" s="6" t="e">
        <f>_xlfn.ACOTH(A2)</f>
        <v>#NUM!</v>
      </c>
    </row>
    <row r="3" spans="1:4" x14ac:dyDescent="0.35">
      <c r="A3">
        <v>5</v>
      </c>
      <c r="B3" s="6">
        <f>_xlfn.ACOT(A3)</f>
        <v>0.19739555984988078</v>
      </c>
      <c r="C3" s="6">
        <f>_xlfn.ACOTH(A3)</f>
        <v>0.20273255405408222</v>
      </c>
    </row>
    <row r="4" spans="1:4" x14ac:dyDescent="0.35">
      <c r="A4">
        <v>2.8</v>
      </c>
      <c r="B4" s="6">
        <f>_xlfn.ACOT(A4)</f>
        <v>0.34302394042070339</v>
      </c>
      <c r="C4" s="6">
        <f>_xlfn.ACOTH(A4)</f>
        <v>0.37360720091511057</v>
      </c>
    </row>
    <row r="5" spans="1:4" x14ac:dyDescent="0.35">
      <c r="A5">
        <v>-1</v>
      </c>
      <c r="B5" s="6">
        <f>_xlfn.ACOT(A5)</f>
        <v>2.3561944901923448</v>
      </c>
      <c r="C5" s="6" t="e">
        <f>_xlfn.ACOTH(A5)</f>
        <v>#NUM!</v>
      </c>
    </row>
    <row r="6" spans="1:4" x14ac:dyDescent="0.35">
      <c r="A6">
        <v>-10</v>
      </c>
      <c r="B6" s="6">
        <f>_xlfn.ACOT(A6)</f>
        <v>3.0419240010986313</v>
      </c>
      <c r="C6" s="6">
        <f>_xlfn.ACOTH(A6)</f>
        <v>-0.10033534773107559</v>
      </c>
    </row>
    <row r="7" spans="1:4" x14ac:dyDescent="0.35">
      <c r="A7">
        <v>0</v>
      </c>
      <c r="B7" s="6">
        <f>_xlfn.ACOT(A7)</f>
        <v>1.5707963267948966</v>
      </c>
      <c r="C7" s="6" t="e">
        <f>_xlfn.ACOTH(A7)</f>
        <v>#NUM!</v>
      </c>
      <c r="D7" t="s">
        <v>38</v>
      </c>
    </row>
    <row r="8" spans="1:4" x14ac:dyDescent="0.35">
      <c r="A8">
        <v>7.1</v>
      </c>
      <c r="B8" s="6">
        <f>_xlfn.ACOT(A8)</f>
        <v>0.13992467057411775</v>
      </c>
      <c r="C8" s="6">
        <f>_xlfn.ACOTH(A8)</f>
        <v>0.14178764524956375</v>
      </c>
    </row>
    <row r="9" spans="1:4" x14ac:dyDescent="0.35">
      <c r="A9">
        <v>-7.1</v>
      </c>
      <c r="B9" s="6">
        <f>_xlfn.ACOT(A9)</f>
        <v>3.0016679830156754</v>
      </c>
      <c r="C9" s="6">
        <f>_xlfn.ACOTH(A9)</f>
        <v>-0.14178764524956375</v>
      </c>
    </row>
    <row r="10" spans="1:4" x14ac:dyDescent="0.35">
      <c r="A10">
        <v>0.123</v>
      </c>
      <c r="B10" s="6">
        <f>_xlfn.ACOT(A10)</f>
        <v>1.4484110453230941</v>
      </c>
      <c r="C10" s="6" t="e">
        <f>_xlfn.ACOTH(A10)</f>
        <v>#NUM!</v>
      </c>
    </row>
    <row r="11" spans="1:4" x14ac:dyDescent="0.35">
      <c r="A11">
        <v>-0.5</v>
      </c>
      <c r="B11" s="6">
        <f>_xlfn.ACOT(A11)</f>
        <v>2.0344439357957027</v>
      </c>
      <c r="C11" s="6" t="e">
        <f>_xlfn.ACOTH(A11)</f>
        <v>#NUM!</v>
      </c>
    </row>
    <row r="12" spans="1:4" x14ac:dyDescent="0.35">
      <c r="A12">
        <v>100</v>
      </c>
      <c r="B12" s="6">
        <f>_xlfn.ACOT(A12)</f>
        <v>9.9996666866652376E-3</v>
      </c>
      <c r="C12" s="6">
        <f>_xlfn.ACOTH(A12)</f>
        <v>1.0000333353334763E-2</v>
      </c>
    </row>
    <row r="13" spans="1:4" x14ac:dyDescent="0.35">
      <c r="A13">
        <v>-100</v>
      </c>
      <c r="B13" s="6">
        <f>_xlfn.ACOT(A13)</f>
        <v>3.131592986903128</v>
      </c>
      <c r="C13" s="6">
        <f>_xlfn.ACOTH(A13)</f>
        <v>-1.0000333353334763E-2</v>
      </c>
    </row>
    <row r="14" spans="1:4" x14ac:dyDescent="0.35">
      <c r="A14" s="8">
        <v>1.0000000001</v>
      </c>
      <c r="B14" s="6">
        <f>_xlfn.ACOT(A14)</f>
        <v>0.78539816334744827</v>
      </c>
      <c r="C14" s="6">
        <f>_xlfn.ACOTH(A14)</f>
        <v>11.859499013905017</v>
      </c>
      <c r="D14" t="s">
        <v>53</v>
      </c>
    </row>
    <row r="15" spans="1:4" x14ac:dyDescent="0.35">
      <c r="A15" s="8">
        <v>0.99999999989999999</v>
      </c>
      <c r="B15" s="6">
        <f>_xlfn.ACOT(A15)</f>
        <v>0.78539816344744828</v>
      </c>
      <c r="C15" s="6" t="e">
        <f>_xlfn.ACOTH(A15)</f>
        <v>#NUM!</v>
      </c>
      <c r="D15" t="s">
        <v>53</v>
      </c>
    </row>
    <row r="16" spans="1:4" x14ac:dyDescent="0.35">
      <c r="A16" s="8">
        <v>-1.0000000001</v>
      </c>
      <c r="B16" s="6">
        <f>_xlfn.ACOT(A16)</f>
        <v>2.3561944902423448</v>
      </c>
      <c r="C16" s="6">
        <f>_xlfn.ACOTH(A16)</f>
        <v>-11.859499013905017</v>
      </c>
      <c r="D16" t="s">
        <v>54</v>
      </c>
    </row>
    <row r="17" spans="1:4" x14ac:dyDescent="0.35">
      <c r="A17" s="8">
        <v>-0.99999999989999999</v>
      </c>
      <c r="B17" s="6">
        <f>_xlfn.ACOT(A17)</f>
        <v>2.3561944901423448</v>
      </c>
      <c r="C17" s="6" t="e">
        <f>_xlfn.ACOTH(A17)</f>
        <v>#NUM!</v>
      </c>
      <c r="D17" t="s">
        <v>54</v>
      </c>
    </row>
    <row r="18" spans="1:4" x14ac:dyDescent="0.35">
      <c r="A18" s="5">
        <v>9.9999999999999998E-13</v>
      </c>
      <c r="B18" s="6">
        <f>_xlfn.ACOT(A18)</f>
        <v>1.5707963267938967</v>
      </c>
      <c r="C18" s="6" t="e">
        <f>_xlfn.ACOTH(A18)</f>
        <v>#NUM!</v>
      </c>
      <c r="D18" t="s">
        <v>39</v>
      </c>
    </row>
    <row r="19" spans="1:4" x14ac:dyDescent="0.35">
      <c r="A19" s="5">
        <v>-9.9999999999999998E-13</v>
      </c>
      <c r="B19" s="6">
        <f>_xlfn.ACOT(A19)</f>
        <v>1.5707963267958964</v>
      </c>
      <c r="C19" s="6" t="e">
        <f>_xlfn.ACOTH(A19)</f>
        <v>#NUM!</v>
      </c>
      <c r="D19" t="s">
        <v>40</v>
      </c>
    </row>
    <row r="20" spans="1:4" x14ac:dyDescent="0.35">
      <c r="A20" s="5">
        <v>9999999999999</v>
      </c>
      <c r="B20" s="7">
        <f>_xlfn.ACOT(A20)</f>
        <v>1.0000000000001E-13</v>
      </c>
      <c r="C20" s="7">
        <f>_xlfn.ACOTH(A20)</f>
        <v>1.0000000000001E-13</v>
      </c>
      <c r="D20" t="s">
        <v>27</v>
      </c>
    </row>
    <row r="21" spans="1:4" x14ac:dyDescent="0.35">
      <c r="A21" s="5" t="b">
        <v>1</v>
      </c>
      <c r="B21" s="6">
        <f>_xlfn.ACOT(A21)</f>
        <v>0.78539816339744828</v>
      </c>
      <c r="C21" s="6" t="e">
        <f>_xlfn.ACOTH(A21)</f>
        <v>#NUM!</v>
      </c>
      <c r="D21" t="s">
        <v>5</v>
      </c>
    </row>
    <row r="22" spans="1:4" x14ac:dyDescent="0.35">
      <c r="A22" s="5" t="b">
        <v>0</v>
      </c>
      <c r="B22" s="6">
        <f>_xlfn.ACOT(A22)</f>
        <v>1.5707963267948966</v>
      </c>
      <c r="C22" s="6" t="e">
        <f>_xlfn.ACOTH(A22)</f>
        <v>#NUM!</v>
      </c>
      <c r="D22" t="s">
        <v>5</v>
      </c>
    </row>
    <row r="23" spans="1:4" x14ac:dyDescent="0.35">
      <c r="B23" s="6">
        <f>_xlfn.ACOT(A23)</f>
        <v>1.5707963267948966</v>
      </c>
      <c r="C23" s="6" t="e">
        <f>_xlfn.ACOTH(A23)</f>
        <v>#NUM!</v>
      </c>
      <c r="D23" t="s">
        <v>6</v>
      </c>
    </row>
    <row r="24" spans="1:4" x14ac:dyDescent="0.35">
      <c r="A24" t="str">
        <f>""</f>
        <v/>
      </c>
      <c r="B24" s="6" t="e">
        <f>_xlfn.ACOT(A24)</f>
        <v>#VALUE!</v>
      </c>
      <c r="C24" s="6" t="e">
        <f>_xlfn.ACOTH(A24)</f>
        <v>#VALUE!</v>
      </c>
      <c r="D24" t="s">
        <v>41</v>
      </c>
    </row>
    <row r="25" spans="1:4" x14ac:dyDescent="0.35">
      <c r="A25" t="str">
        <f>"8"</f>
        <v>8</v>
      </c>
      <c r="B25" s="6">
        <f>_xlfn.ACOT(A25)</f>
        <v>0.12435499454676144</v>
      </c>
      <c r="C25" s="6">
        <f>_xlfn.ACOTH(A25)</f>
        <v>0.125657214140453</v>
      </c>
      <c r="D25" t="s">
        <v>7</v>
      </c>
    </row>
    <row r="26" spans="1:4" x14ac:dyDescent="0.35">
      <c r="A26">
        <v>2</v>
      </c>
      <c r="B26" s="6">
        <f>_xlfn.ACOT(A26)</f>
        <v>0.46364760900080609</v>
      </c>
      <c r="C26" s="6">
        <f>_xlfn.ACOTH(A26)</f>
        <v>0.54930614433405489</v>
      </c>
      <c r="D26" t="s">
        <v>7</v>
      </c>
    </row>
    <row r="27" spans="1:4" x14ac:dyDescent="0.35">
      <c r="A27" t="str">
        <f>" 10 "</f>
        <v xml:space="preserve"> 10 </v>
      </c>
      <c r="B27" s="6">
        <f>_xlfn.ACOT(A27)</f>
        <v>9.9668652491162038E-2</v>
      </c>
      <c r="C27" s="6">
        <f>_xlfn.ACOTH(A27)</f>
        <v>0.10033534773107559</v>
      </c>
      <c r="D27" t="s">
        <v>7</v>
      </c>
    </row>
    <row r="28" spans="1:4" x14ac:dyDescent="0.35">
      <c r="A28" t="str">
        <f>"0"</f>
        <v>0</v>
      </c>
      <c r="B28" s="6">
        <f>_xlfn.ACOT(A28)</f>
        <v>1.5707963267948966</v>
      </c>
      <c r="C28" s="6" t="e">
        <f>_xlfn.ACOTH(A28)</f>
        <v>#NUM!</v>
      </c>
      <c r="D28" t="s">
        <v>7</v>
      </c>
    </row>
    <row r="29" spans="1:4" x14ac:dyDescent="0.35">
      <c r="A29" t="s">
        <v>8</v>
      </c>
      <c r="B29" s="6" t="e">
        <f>_xlfn.ACOT(A29)</f>
        <v>#VALUE!</v>
      </c>
      <c r="C29" s="6" t="e">
        <f>_xlfn.ACOTH(A29)</f>
        <v>#VALUE!</v>
      </c>
      <c r="D29" t="s">
        <v>9</v>
      </c>
    </row>
    <row r="30" spans="1:4" x14ac:dyDescent="0.35">
      <c r="A30" s="2" t="e">
        <f>1/0</f>
        <v>#DIV/0!</v>
      </c>
      <c r="B30" s="6" t="e">
        <f>_xlfn.ACOT(A30)</f>
        <v>#DIV/0!</v>
      </c>
      <c r="C30" s="6" t="e">
        <f>_xlfn.ACOTH(A30)</f>
        <v>#DIV/0!</v>
      </c>
      <c r="D30" t="s">
        <v>10</v>
      </c>
    </row>
    <row r="31" spans="1:4" x14ac:dyDescent="0.35">
      <c r="A31" t="e">
        <f>NA()</f>
        <v>#N/A</v>
      </c>
      <c r="B31" s="6" t="e">
        <f>_xlfn.ACOT(A31)</f>
        <v>#N/A</v>
      </c>
      <c r="C31" s="6" t="e">
        <f>_xlfn.ACOTH(A31)</f>
        <v>#N/A</v>
      </c>
      <c r="D31" t="s">
        <v>10</v>
      </c>
    </row>
    <row r="32" spans="1:4" x14ac:dyDescent="0.35">
      <c r="A32" t="e" cm="1">
        <f t="array" ref="A32">HELLO</f>
        <v>#NAME?</v>
      </c>
      <c r="B32" s="6" t="e">
        <f>_xlfn.ACOT(A32)</f>
        <v>#NAME?</v>
      </c>
      <c r="C32" s="6" t="e">
        <f>_xlfn.ACOTH(A32)</f>
        <v>#NAME?</v>
      </c>
      <c r="D32" t="s">
        <v>10</v>
      </c>
    </row>
    <row r="33" spans="1:10" x14ac:dyDescent="0.35">
      <c r="A33" t="e">
        <f>SQRT(-1)</f>
        <v>#NUM!</v>
      </c>
      <c r="B33" s="6" t="e">
        <f>_xlfn.ACOT(A33)</f>
        <v>#NUM!</v>
      </c>
      <c r="C33" s="6" t="e">
        <f>_xlfn.ACOTH(A33)</f>
        <v>#NUM!</v>
      </c>
      <c r="D33" t="s">
        <v>10</v>
      </c>
    </row>
    <row r="34" spans="1:10" x14ac:dyDescent="0.35">
      <c r="A34" t="e">
        <f>"x"+1</f>
        <v>#VALUE!</v>
      </c>
      <c r="B34" s="6" t="e">
        <f>_xlfn.ACOT(A34)</f>
        <v>#VALUE!</v>
      </c>
      <c r="C34" s="6" t="e">
        <f>_xlfn.ACOTH(A34)</f>
        <v>#VALUE!</v>
      </c>
      <c r="D34" t="s">
        <v>10</v>
      </c>
    </row>
    <row r="35" spans="1:10" x14ac:dyDescent="0.35">
      <c r="A35">
        <f>2^20</f>
        <v>1048576</v>
      </c>
      <c r="B35" s="7">
        <f>_xlfn.ACOT(A35)</f>
        <v>9.5367431640596084E-7</v>
      </c>
      <c r="C35" s="7">
        <f>_xlfn.ACOTH(A35)</f>
        <v>9.5367431640653905E-7</v>
      </c>
      <c r="D35" t="s">
        <v>11</v>
      </c>
    </row>
    <row r="36" spans="1:10" x14ac:dyDescent="0.35">
      <c r="A36" t="str">
        <f>"@"</f>
        <v>@</v>
      </c>
      <c r="B36" s="6" t="e">
        <f>_xlfn.ACOT(A36)</f>
        <v>#VALUE!</v>
      </c>
      <c r="C36" s="6" t="e">
        <f>_xlfn.ACOTH(A36)</f>
        <v>#VALUE!</v>
      </c>
      <c r="D36" t="s">
        <v>12</v>
      </c>
    </row>
    <row r="37" spans="1:10" x14ac:dyDescent="0.35">
      <c r="A37" s="2">
        <f>DATE(2024,1,10)</f>
        <v>45301</v>
      </c>
      <c r="B37" s="7">
        <f>_xlfn.ACOT(A37)</f>
        <v>2.2074567886747998E-5</v>
      </c>
      <c r="C37" s="7">
        <f>_xlfn.ACOTH(A37)</f>
        <v>2.2074567893919094E-5</v>
      </c>
      <c r="D37" t="s">
        <v>13</v>
      </c>
      <c r="J37">
        <v>1</v>
      </c>
    </row>
    <row r="38" spans="1:10" x14ac:dyDescent="0.35">
      <c r="A38" t="str">
        <f>"2024-01-10"</f>
        <v>2024-01-10</v>
      </c>
      <c r="B38" s="7">
        <f>_xlfn.ACOT(A38)</f>
        <v>2.2074567886747998E-5</v>
      </c>
      <c r="C38" s="7">
        <f>_xlfn.ACOTH(A38)</f>
        <v>2.2074567893919094E-5</v>
      </c>
      <c r="D38" t="s">
        <v>14</v>
      </c>
      <c r="J38">
        <v>2</v>
      </c>
    </row>
    <row r="39" spans="1:10" x14ac:dyDescent="0.35">
      <c r="A39" t="str">
        <f>" 2024-01-10 "</f>
        <v xml:space="preserve"> 2024-01-10 </v>
      </c>
      <c r="B39" s="6" t="e">
        <f>_xlfn.ACOT(A39)</f>
        <v>#VALUE!</v>
      </c>
      <c r="C39" s="6" t="e">
        <f>_xlfn.ACOTH(A39)</f>
        <v>#VALUE!</v>
      </c>
      <c r="D39" t="s">
        <v>15</v>
      </c>
      <c r="J39">
        <v>3</v>
      </c>
    </row>
    <row r="40" spans="1:10" x14ac:dyDescent="0.35">
      <c r="A40" s="4">
        <f>TIME(14,30,0)</f>
        <v>0.60416666666666663</v>
      </c>
      <c r="B40" s="6">
        <f>_xlfn.ACOT(A40)</f>
        <v>1.0273187320818533</v>
      </c>
      <c r="C40" s="6" t="e">
        <f>_xlfn.ACOTH(A40)</f>
        <v>#NUM!</v>
      </c>
      <c r="D40" t="s">
        <v>16</v>
      </c>
      <c r="J40">
        <v>4</v>
      </c>
    </row>
    <row r="41" spans="1:10" x14ac:dyDescent="0.35">
      <c r="B41" s="6">
        <f>_xlfn.ACOT(J:J)</f>
        <v>0.19739555984988078</v>
      </c>
      <c r="C41" s="6">
        <f>_xlfn.ACOTH(J:J)</f>
        <v>0.20273255405408222</v>
      </c>
      <c r="D41" t="s">
        <v>17</v>
      </c>
      <c r="J41">
        <v>5</v>
      </c>
    </row>
    <row r="42" spans="1:10" x14ac:dyDescent="0.35">
      <c r="A42">
        <f>1.05*(0.0284+0.0046)-0.0284</f>
        <v>6.2499999999999986E-3</v>
      </c>
      <c r="B42" s="6">
        <f>_xlfn.ACOT(A42)</f>
        <v>1.5645464081731977</v>
      </c>
      <c r="C42" s="6" t="e">
        <f>_xlfn.ACOTH(A42)</f>
        <v>#NUM!</v>
      </c>
      <c r="D42" t="s">
        <v>18</v>
      </c>
      <c r="J42">
        <v>6</v>
      </c>
    </row>
    <row r="43" spans="1:10" x14ac:dyDescent="0.35">
      <c r="A43">
        <f>J44</f>
        <v>1.75</v>
      </c>
      <c r="B43" s="6">
        <f>_xlfn.ACOT(A43)</f>
        <v>0.51914611424652291</v>
      </c>
      <c r="C43" s="6">
        <f>_xlfn.ACOTH(A43)</f>
        <v>0.64964149206513044</v>
      </c>
      <c r="D43" t="s">
        <v>19</v>
      </c>
      <c r="J43">
        <v>7</v>
      </c>
    </row>
    <row r="44" spans="1:10" x14ac:dyDescent="0.35">
      <c r="A44" t="s">
        <v>20</v>
      </c>
      <c r="B44" s="6" t="e">
        <f>_xlfn.ACOT(A44)</f>
        <v>#VALUE!</v>
      </c>
      <c r="C44" s="6" t="e">
        <f>_xlfn.ACOTH(A44)</f>
        <v>#VALUE!</v>
      </c>
      <c r="J44">
        <v>1.75</v>
      </c>
    </row>
    <row r="45" spans="1:10" x14ac:dyDescent="0.35">
      <c r="A45">
        <f>PI() - 0.000000000001</f>
        <v>3.141592653588793</v>
      </c>
      <c r="B45" s="6">
        <f>_xlfn.ACOT(A45)</f>
        <v>0.30816907111607694</v>
      </c>
      <c r="C45" s="6">
        <f>_xlfn.ACOTH(A45)</f>
        <v>0.32976531495681188</v>
      </c>
      <c r="D45" t="s">
        <v>21</v>
      </c>
    </row>
    <row r="46" spans="1:10" x14ac:dyDescent="0.35">
      <c r="A46">
        <f>PI()/2 - 0.000000000001</f>
        <v>1.5707963267938965</v>
      </c>
      <c r="B46" s="6">
        <f>_xlfn.ACOT(A46)</f>
        <v>0.56691150494129783</v>
      </c>
      <c r="C46" s="6">
        <f>_xlfn.ACOTH(A46)</f>
        <v>0.75246926714260876</v>
      </c>
      <c r="D46" t="s">
        <v>22</v>
      </c>
    </row>
    <row r="47" spans="1:10" x14ac:dyDescent="0.35">
      <c r="A47">
        <f>PI()/2 + 0.000000000001</f>
        <v>1.5707963267958966</v>
      </c>
      <c r="B47" s="6">
        <f>_xlfn.ACOT(A47)</f>
        <v>0.56691150494072096</v>
      </c>
      <c r="C47" s="6">
        <f>_xlfn.ACOTH(A47)</f>
        <v>0.75246926714124562</v>
      </c>
      <c r="D47" t="s">
        <v>23</v>
      </c>
    </row>
    <row r="48" spans="1:10" x14ac:dyDescent="0.35">
      <c r="A48" s="10">
        <f>PI()</f>
        <v>3.1415926535897931</v>
      </c>
      <c r="B48" s="6">
        <f>_xlfn.ACOT(A48)</f>
        <v>0.30816907111598496</v>
      </c>
      <c r="C48" s="6">
        <f>_xlfn.ACOTH(A48)</f>
        <v>0.32976531495669914</v>
      </c>
      <c r="D48" t="s">
        <v>33</v>
      </c>
    </row>
    <row r="49" spans="1:4" x14ac:dyDescent="0.35">
      <c r="A49" s="10">
        <f>PI()/2</f>
        <v>1.5707963267948966</v>
      </c>
      <c r="B49" s="6">
        <f>_xlfn.ACOT(A49)</f>
        <v>0.56691150494100939</v>
      </c>
      <c r="C49" s="6">
        <f>_xlfn.ACOTH(A49)</f>
        <v>0.75246926714192719</v>
      </c>
      <c r="D49" t="s">
        <v>28</v>
      </c>
    </row>
    <row r="50" spans="1:4" x14ac:dyDescent="0.35">
      <c r="A50" s="10">
        <f>2*PI()</f>
        <v>6.2831853071795862</v>
      </c>
      <c r="B50" s="6">
        <f>_xlfn.ACOT(A50)</f>
        <v>0.15783119028815887</v>
      </c>
      <c r="C50" s="6">
        <f>_xlfn.ACOTH(A50)</f>
        <v>0.16051955750788544</v>
      </c>
      <c r="D50" t="s">
        <v>37</v>
      </c>
    </row>
    <row r="51" spans="1:4" x14ac:dyDescent="0.35">
      <c r="A51" s="10">
        <f>PI()/4</f>
        <v>0.78539816339744828</v>
      </c>
      <c r="B51" s="6">
        <f>_xlfn.ACOT(A51)</f>
        <v>0.90502257676654274</v>
      </c>
      <c r="C51" s="6" t="e">
        <f>_xlfn.ACOTH(A51)</f>
        <v>#NUM!</v>
      </c>
      <c r="D51" t="s">
        <v>42</v>
      </c>
    </row>
    <row r="52" spans="1:4" x14ac:dyDescent="0.35">
      <c r="A52" s="10">
        <f>PI()/6</f>
        <v>0.52359877559829882</v>
      </c>
      <c r="B52" s="6">
        <f>_xlfn.ACOT(A52)</f>
        <v>1.0884484196938717</v>
      </c>
      <c r="C52" s="6" t="e">
        <f>_xlfn.ACOTH(A52)</f>
        <v>#NUM!</v>
      </c>
      <c r="D52" t="s">
        <v>43</v>
      </c>
    </row>
    <row r="53" spans="1:4" x14ac:dyDescent="0.35">
      <c r="A53" s="10">
        <v>10</v>
      </c>
      <c r="B53" s="6">
        <f>_xlfn.ACOT(A53)</f>
        <v>9.9668652491162038E-2</v>
      </c>
      <c r="C53" s="6">
        <f>_xlfn.ACOTH(A53)</f>
        <v>0.10033534773107559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SIN_COS_TAN</vt:lpstr>
      <vt:lpstr>ASIN_ACOS_ATAN</vt:lpstr>
      <vt:lpstr>SINH_COSH_TANH</vt:lpstr>
      <vt:lpstr>ASINH_ACOSH_ATANH</vt:lpstr>
      <vt:lpstr>COT_CSC_SEC</vt:lpstr>
      <vt:lpstr>COTH_CSCH_SECH</vt:lpstr>
      <vt:lpstr>ACOT_ACOTH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2026-09-29T17:11:20Z</dcterms:modified>
  <cp:category/>
  <cp:contentStatus/>
</cp:coreProperties>
</file>