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"/>
    </mc:Choice>
  </mc:AlternateContent>
  <xr:revisionPtr revIDLastSave="0" documentId="8_{0FFAAD97-09A4-47E3-8D39-5601085AEDA7}" xr6:coauthVersionLast="47" xr6:coauthVersionMax="47" xr10:uidLastSave="{00000000-0000-0000-0000-000000000000}"/>
  <bookViews>
    <workbookView xWindow="0" yWindow="740" windowWidth="29400" windowHeight="18380" activeTab="1" xr2:uid="{00000000-000D-0000-FFFF-FFFF00000000}"/>
  </bookViews>
  <sheets>
    <sheet name="Timesheet" sheetId="3" r:id="rId1"/>
    <sheet name="Overview" sheetId="4" r:id="rId2"/>
    <sheet name="METADATA" sheetId="5" state="hidden" r:id="rId3"/>
  </sheets>
  <definedNames>
    <definedName name="start_date">Timesheet!$I$1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F14" i="4" a="1"/>
  <c r="F14" i="4" s="1"/>
  <c r="E14" i="4" a="1"/>
  <c r="E14" i="4" s="1"/>
  <c r="A14" i="4" a="1"/>
  <c r="A14" i="4" s="1"/>
  <c r="F1" i="3"/>
  <c r="A3" i="4" s="1"/>
  <c r="A4" i="4" l="1"/>
  <c r="A3" i="3" a="1"/>
  <c r="A3" i="3" l="1"/>
  <c r="B3" i="3" a="1"/>
  <c r="B3" i="3" s="1"/>
  <c r="E4" i="4" a="1"/>
  <c r="E4" i="4" s="1"/>
  <c r="D4" i="4" a="1"/>
  <c r="D4" i="4" s="1"/>
  <c r="C4" i="4" a="1"/>
  <c r="C4" i="4" s="1"/>
  <c r="F4" i="4" a="1"/>
  <c r="F4" i="4" s="1"/>
  <c r="B4" i="4" a="1"/>
  <c r="B4" i="4" s="1"/>
  <c r="A5" i="4"/>
  <c r="D5" i="4" l="1" a="1"/>
  <c r="D5" i="4" s="1"/>
  <c r="C5" i="4" a="1"/>
  <c r="C5" i="4" s="1"/>
  <c r="A6" i="4"/>
  <c r="F5" i="4" a="1"/>
  <c r="F5" i="4" s="1"/>
  <c r="E5" i="4" a="1"/>
  <c r="E5" i="4" s="1"/>
  <c r="B5" i="4" a="1"/>
  <c r="B5" i="4" s="1"/>
  <c r="C3" i="4" a="1"/>
  <c r="C3" i="4" s="1"/>
  <c r="F3" i="4" a="1"/>
  <c r="F3" i="4" s="1"/>
  <c r="B3" i="4" a="1"/>
  <c r="B3" i="4" s="1"/>
  <c r="E3" i="4" a="1"/>
  <c r="E3" i="4" s="1"/>
  <c r="D3" i="4" a="1"/>
  <c r="D3" i="4" s="1"/>
  <c r="A7" i="4" l="1"/>
  <c r="F6" i="4" a="1"/>
  <c r="F6" i="4" s="1"/>
  <c r="B6" i="4" a="1"/>
  <c r="B6" i="4" s="1"/>
  <c r="E6" i="4" a="1"/>
  <c r="E6" i="4" s="1"/>
  <c r="D6" i="4" a="1"/>
  <c r="D6" i="4" s="1"/>
  <c r="C6" i="4" a="1"/>
  <c r="C6" i="4" s="1"/>
  <c r="E7" i="4" l="1" a="1"/>
  <c r="E7" i="4" s="1"/>
  <c r="D7" i="4" a="1"/>
  <c r="D7" i="4" s="1"/>
  <c r="C7" i="4" a="1"/>
  <c r="C7" i="4" s="1"/>
  <c r="A8" i="4"/>
  <c r="F7" i="4" a="1"/>
  <c r="F7" i="4" s="1"/>
  <c r="B7" i="4" a="1"/>
  <c r="B7" i="4" s="1"/>
  <c r="D8" i="4" l="1" a="1"/>
  <c r="D8" i="4" s="1"/>
  <c r="D9" i="4" s="1"/>
  <c r="C8" i="4" a="1"/>
  <c r="C8" i="4" s="1"/>
  <c r="C9" i="4" s="1"/>
  <c r="B8" i="4" a="1"/>
  <c r="B8" i="4" s="1"/>
  <c r="B9" i="4" s="1"/>
  <c r="F8" i="4" a="1"/>
  <c r="F8" i="4" s="1"/>
  <c r="F9" i="4" s="1"/>
  <c r="E8" i="4" a="1"/>
  <c r="E8" i="4" s="1"/>
  <c r="E9" i="4" s="1"/>
  <c r="F10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<sst xmlns="http://schemas.openxmlformats.org/spreadsheetml/2006/main" count="22" uniqueCount="20">
  <si>
    <t>Weekly Timesheet</t>
  </si>
  <si>
    <t>Start date</t>
  </si>
  <si>
    <t>Date</t>
  </si>
  <si>
    <t>Day</t>
  </si>
  <si>
    <t>Project</t>
  </si>
  <si>
    <t>Task / Description</t>
  </si>
  <si>
    <t>Hours</t>
  </si>
  <si>
    <t>Notes</t>
  </si>
  <si>
    <t>Month overview</t>
  </si>
  <si>
    <t>Week</t>
  </si>
  <si>
    <t>Mon</t>
  </si>
  <si>
    <t>Tue</t>
  </si>
  <si>
    <t>Wed</t>
  </si>
  <si>
    <t>Thu</t>
  </si>
  <si>
    <t>Fri</t>
  </si>
  <si>
    <t>Total</t>
  </si>
  <si>
    <t>Total Monthly</t>
  </si>
  <si>
    <t>By project</t>
  </si>
  <si>
    <t>Share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</si>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</sst>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m\ d\,\ yyyy"/>
    <numFmt numFmtId="165" formatCode="m/d/yy"/>
    <numFmt numFmtId="166" formatCode="#,##0.00;;\–"/>
    <numFmt numFmtId="167" formatCode="dd/mm/yyyy"/>
  </numFmts>
  <fonts count="10">
    <font>
      <sz val="11"/>
      <color rgb="FF000000"/>
      <name val="Aptos Narrow"/>
      <family val="2"/>
      <scheme val="minor"/>
    </font>
    <font>
      <sz val="13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4" fontId="0" fillId="0" borderId="0" xfId="0" applyNumberFormat="1"/>
    <xf numFmtId="0" fontId="4" fillId="0" borderId="0" xfId="0" applyFont="1" applyAlignment="1">
      <alignment horizontal="left" vertical="center"/>
    </xf>
    <xf numFmtId="166" fontId="4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5" fontId="6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4" fontId="6" fillId="2" borderId="0" xfId="0" applyNumberFormat="1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5" fontId="6" fillId="3" borderId="0" xfId="0" applyNumberFormat="1" applyFont="1" applyFill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4" fontId="6" fillId="3" borderId="0" xfId="0" applyNumberFormat="1" applyFont="1" applyFill="1" applyAlignment="1">
      <alignment horizontal="center" vertical="center"/>
    </xf>
    <xf numFmtId="165" fontId="6" fillId="4" borderId="0" xfId="0" applyNumberFormat="1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4" fontId="6" fillId="4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/>
    </xf>
    <xf numFmtId="0" fontId="4" fillId="0" borderId="0" xfId="0" applyFont="1" applyAlignment="1">
      <alignment vertical="center"/>
    </xf>
    <xf numFmtId="9" fontId="8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left" vertical="center"/>
    </xf>
    <xf numFmtId="165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165" fontId="5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9" fillId="0" borderId="1" xfId="0" applyNumberFormat="1" applyFont="1" applyBorder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theme="0" tint="-0.499984740745262"/>
      </font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000000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showGridLines="0" workbookViewId="0">
      <selection activeCell="F1" sqref="F1"/>
    </sheetView>
  </sheetViews>
  <sheetFormatPr defaultColWidth="11.42578125" defaultRowHeight="15.95"/>
  <cols>
    <col min="1" max="1" width="9" style="3" customWidth="1"/>
    <col min="2" max="2" width="9" style="2" customWidth="1"/>
    <col min="3" max="3" width="16.28515625" style="2" customWidth="1"/>
    <col min="4" max="4" width="33.85546875" style="4" customWidth="1"/>
    <col min="5" max="5" width="9.140625" style="5" customWidth="1"/>
    <col min="6" max="6" width="16.28515625" style="2" customWidth="1"/>
  </cols>
  <sheetData>
    <row r="1" spans="1:7" ht="27.75" customHeight="1">
      <c r="A1" s="15" t="s">
        <v>0</v>
      </c>
      <c r="B1" s="16"/>
      <c r="C1" s="16"/>
      <c r="D1" s="32"/>
      <c r="E1" s="17" t="s">
        <v>1</v>
      </c>
      <c r="F1" s="42">
        <f ca="1">TODAY()</f>
        <v>46206</v>
      </c>
    </row>
    <row r="2" spans="1:7" ht="18" customHeight="1">
      <c r="A2" s="33" t="s">
        <v>2</v>
      </c>
      <c r="B2" s="23" t="s">
        <v>3</v>
      </c>
      <c r="C2" s="23" t="s">
        <v>4</v>
      </c>
      <c r="D2" s="34" t="s">
        <v>5</v>
      </c>
      <c r="E2" s="24" t="s">
        <v>6</v>
      </c>
      <c r="F2" s="23" t="s">
        <v>7</v>
      </c>
    </row>
    <row r="3" spans="1:7" ht="18" customHeight="1">
      <c r="A3" s="35" cm="1">
        <f t="array" aca="1" ref="A3:A33" ca="1">F1+_xlfn.SEQUENCE(DAY(EOMONTH(F1,0)))-1</f>
        <v>46206</v>
      </c>
      <c r="B3" s="36" t="str" cm="1">
        <f t="array" aca="1" ref="B3:B33" ca="1">TEXT(_xlfn.ANCHORARRAY(A3),"ddd")</f>
        <v>Fri</v>
      </c>
      <c r="C3" s="36"/>
      <c r="D3" s="37"/>
      <c r="E3" s="38"/>
      <c r="F3" s="36"/>
    </row>
    <row r="4" spans="1:7" ht="18" customHeight="1">
      <c r="A4" s="35">
        <f ca="1"/>
        <v>46207</v>
      </c>
      <c r="B4" s="36" t="str">
        <f ca="1"/>
        <v>Sat</v>
      </c>
      <c r="C4" s="36"/>
      <c r="D4" s="37"/>
      <c r="E4" s="38"/>
      <c r="F4" s="36"/>
      <c r="G4" s="1"/>
    </row>
    <row r="5" spans="1:7" ht="18" customHeight="1">
      <c r="A5" s="35">
        <f ca="1"/>
        <v>46208</v>
      </c>
      <c r="B5" s="36" t="str">
        <f ca="1"/>
        <v>Sun</v>
      </c>
      <c r="C5" s="36"/>
      <c r="D5" s="37"/>
      <c r="E5" s="38"/>
      <c r="F5" s="36"/>
    </row>
    <row r="6" spans="1:7" ht="18" customHeight="1">
      <c r="A6" s="35">
        <f ca="1"/>
        <v>46209</v>
      </c>
      <c r="B6" s="36" t="str">
        <f ca="1"/>
        <v>Mon</v>
      </c>
      <c r="C6" s="36"/>
      <c r="D6" s="37"/>
      <c r="E6" s="38"/>
      <c r="F6" s="36"/>
    </row>
    <row r="7" spans="1:7" ht="18" customHeight="1">
      <c r="A7" s="35">
        <f ca="1"/>
        <v>46210</v>
      </c>
      <c r="B7" s="36" t="str">
        <f ca="1"/>
        <v>Tue</v>
      </c>
      <c r="C7" s="36"/>
      <c r="D7" s="37"/>
      <c r="E7" s="38"/>
      <c r="F7" s="36"/>
    </row>
    <row r="8" spans="1:7" ht="18" customHeight="1">
      <c r="A8" s="35">
        <f ca="1"/>
        <v>46211</v>
      </c>
      <c r="B8" s="36" t="str">
        <f ca="1"/>
        <v>Wed</v>
      </c>
      <c r="C8" s="39"/>
      <c r="D8" s="40"/>
      <c r="E8" s="41"/>
      <c r="F8" s="39"/>
    </row>
    <row r="9" spans="1:7" ht="18" customHeight="1">
      <c r="A9" s="35">
        <f ca="1"/>
        <v>46212</v>
      </c>
      <c r="B9" s="36" t="str">
        <f ca="1"/>
        <v>Thu</v>
      </c>
      <c r="C9" s="39"/>
      <c r="D9" s="40"/>
      <c r="E9" s="41"/>
      <c r="F9" s="39"/>
    </row>
    <row r="10" spans="1:7" ht="18" customHeight="1">
      <c r="A10" s="35">
        <f ca="1"/>
        <v>46213</v>
      </c>
      <c r="B10" s="36" t="str">
        <f ca="1"/>
        <v>Fri</v>
      </c>
      <c r="C10" s="39"/>
      <c r="D10" s="40"/>
      <c r="E10" s="41"/>
      <c r="F10" s="39"/>
    </row>
    <row r="11" spans="1:7" ht="18" customHeight="1">
      <c r="A11" s="35">
        <f ca="1"/>
        <v>46214</v>
      </c>
      <c r="B11" s="36" t="str">
        <f ca="1"/>
        <v>Sat</v>
      </c>
      <c r="C11" s="39"/>
      <c r="D11" s="37"/>
      <c r="E11" s="41"/>
      <c r="F11" s="39"/>
    </row>
    <row r="12" spans="1:7" ht="18" customHeight="1">
      <c r="A12" s="35">
        <f ca="1"/>
        <v>46215</v>
      </c>
      <c r="B12" s="36" t="str">
        <f ca="1"/>
        <v>Sun</v>
      </c>
      <c r="C12" s="39"/>
      <c r="D12" s="40"/>
      <c r="E12" s="41"/>
      <c r="F12" s="39"/>
    </row>
    <row r="13" spans="1:7" ht="18" customHeight="1">
      <c r="A13" s="35">
        <f ca="1"/>
        <v>46216</v>
      </c>
      <c r="B13" s="36" t="str">
        <f ca="1"/>
        <v>Mon</v>
      </c>
      <c r="C13" s="39"/>
      <c r="D13" s="40"/>
      <c r="E13" s="41"/>
      <c r="F13" s="39"/>
    </row>
    <row r="14" spans="1:7" ht="18" customHeight="1">
      <c r="A14" s="35">
        <f ca="1"/>
        <v>46217</v>
      </c>
      <c r="B14" s="36" t="str">
        <f ca="1"/>
        <v>Tue</v>
      </c>
      <c r="C14" s="39"/>
      <c r="D14" s="40"/>
      <c r="E14" s="41"/>
      <c r="F14" s="39"/>
    </row>
    <row r="15" spans="1:7" ht="18" customHeight="1">
      <c r="A15" s="35">
        <f ca="1"/>
        <v>46218</v>
      </c>
      <c r="B15" s="36" t="str">
        <f ca="1"/>
        <v>Wed</v>
      </c>
      <c r="C15" s="39"/>
      <c r="D15" s="40"/>
      <c r="E15" s="41"/>
      <c r="F15" s="39"/>
    </row>
    <row r="16" spans="1:7" ht="18" customHeight="1">
      <c r="A16" s="35">
        <f ca="1"/>
        <v>46219</v>
      </c>
      <c r="B16" s="36" t="str">
        <f ca="1"/>
        <v>Thu</v>
      </c>
      <c r="C16" s="39"/>
      <c r="D16" s="40"/>
      <c r="E16" s="41"/>
      <c r="F16" s="39"/>
    </row>
    <row r="17" spans="1:6" ht="18" customHeight="1">
      <c r="A17" s="35">
        <f ca="1"/>
        <v>46220</v>
      </c>
      <c r="B17" s="36" t="str">
        <f ca="1"/>
        <v>Fri</v>
      </c>
      <c r="C17" s="39"/>
      <c r="D17" s="40"/>
      <c r="E17" s="41"/>
      <c r="F17" s="39"/>
    </row>
    <row r="18" spans="1:6" ht="18" customHeight="1">
      <c r="A18" s="35">
        <f ca="1"/>
        <v>46221</v>
      </c>
      <c r="B18" s="36" t="str">
        <f ca="1"/>
        <v>Sat</v>
      </c>
      <c r="C18" s="39"/>
      <c r="D18" s="40"/>
      <c r="E18" s="41"/>
      <c r="F18" s="39"/>
    </row>
    <row r="19" spans="1:6" ht="18" customHeight="1">
      <c r="A19" s="35">
        <f ca="1"/>
        <v>46222</v>
      </c>
      <c r="B19" s="36" t="str">
        <f ca="1"/>
        <v>Sun</v>
      </c>
      <c r="C19" s="39"/>
      <c r="D19" s="40"/>
      <c r="E19" s="41"/>
      <c r="F19" s="39"/>
    </row>
    <row r="20" spans="1:6" ht="18" customHeight="1">
      <c r="A20" s="35">
        <f ca="1"/>
        <v>46223</v>
      </c>
      <c r="B20" s="36" t="str">
        <f ca="1"/>
        <v>Mon</v>
      </c>
      <c r="C20" s="39"/>
      <c r="D20" s="40"/>
      <c r="E20" s="41"/>
      <c r="F20" s="39"/>
    </row>
    <row r="21" spans="1:6" ht="18" customHeight="1">
      <c r="A21" s="35">
        <f ca="1"/>
        <v>46224</v>
      </c>
      <c r="B21" s="36" t="str">
        <f ca="1"/>
        <v>Tue</v>
      </c>
      <c r="C21" s="39"/>
      <c r="D21" s="40"/>
      <c r="E21" s="41"/>
      <c r="F21" s="39"/>
    </row>
    <row r="22" spans="1:6" ht="18" customHeight="1">
      <c r="A22" s="35">
        <f ca="1"/>
        <v>46225</v>
      </c>
      <c r="B22" s="36" t="str">
        <f ca="1"/>
        <v>Wed</v>
      </c>
      <c r="C22" s="39"/>
      <c r="D22" s="40"/>
      <c r="E22" s="41"/>
      <c r="F22" s="39"/>
    </row>
    <row r="23" spans="1:6" ht="18" customHeight="1">
      <c r="A23" s="35">
        <f ca="1"/>
        <v>46226</v>
      </c>
      <c r="B23" s="36" t="str">
        <f ca="1"/>
        <v>Thu</v>
      </c>
      <c r="C23" s="39"/>
      <c r="D23" s="40"/>
      <c r="E23" s="41"/>
      <c r="F23" s="39"/>
    </row>
    <row r="24" spans="1:6" ht="18" customHeight="1">
      <c r="A24" s="35">
        <f ca="1"/>
        <v>46227</v>
      </c>
      <c r="B24" s="36" t="str">
        <f ca="1"/>
        <v>Fri</v>
      </c>
      <c r="C24" s="39"/>
      <c r="D24" s="40"/>
      <c r="E24" s="41"/>
      <c r="F24" s="39"/>
    </row>
    <row r="25" spans="1:6" ht="18" customHeight="1">
      <c r="A25" s="35">
        <f ca="1"/>
        <v>46228</v>
      </c>
      <c r="B25" s="36" t="str">
        <f ca="1"/>
        <v>Sat</v>
      </c>
      <c r="C25" s="39"/>
      <c r="D25" s="40"/>
      <c r="E25" s="41"/>
      <c r="F25" s="39"/>
    </row>
    <row r="26" spans="1:6" ht="18" customHeight="1">
      <c r="A26" s="35">
        <f ca="1"/>
        <v>46229</v>
      </c>
      <c r="B26" s="36" t="str">
        <f ca="1"/>
        <v>Sun</v>
      </c>
      <c r="C26" s="39"/>
      <c r="D26" s="40"/>
      <c r="E26" s="41"/>
      <c r="F26" s="39"/>
    </row>
    <row r="27" spans="1:6" ht="18" customHeight="1">
      <c r="A27" s="35">
        <f ca="1"/>
        <v>46230</v>
      </c>
      <c r="B27" s="36" t="str">
        <f ca="1"/>
        <v>Mon</v>
      </c>
      <c r="C27" s="39"/>
      <c r="D27" s="40"/>
      <c r="E27" s="41"/>
      <c r="F27" s="39"/>
    </row>
    <row r="28" spans="1:6" ht="18" customHeight="1">
      <c r="A28" s="35">
        <f ca="1"/>
        <v>46231</v>
      </c>
      <c r="B28" s="36" t="str">
        <f ca="1"/>
        <v>Tue</v>
      </c>
      <c r="C28" s="39"/>
      <c r="D28" s="40"/>
      <c r="E28" s="41"/>
      <c r="F28" s="39"/>
    </row>
    <row r="29" spans="1:6" ht="18" customHeight="1">
      <c r="A29" s="35">
        <f ca="1"/>
        <v>46232</v>
      </c>
      <c r="B29" s="36" t="str">
        <f ca="1"/>
        <v>Wed</v>
      </c>
      <c r="C29" s="39"/>
      <c r="D29" s="40"/>
      <c r="E29" s="41"/>
      <c r="F29" s="39"/>
    </row>
    <row r="30" spans="1:6" ht="18" customHeight="1">
      <c r="A30" s="35">
        <f ca="1"/>
        <v>46233</v>
      </c>
      <c r="B30" s="36" t="str">
        <f ca="1"/>
        <v>Thu</v>
      </c>
      <c r="C30" s="39"/>
      <c r="D30" s="40"/>
      <c r="E30" s="41"/>
      <c r="F30" s="39"/>
    </row>
    <row r="31" spans="1:6" ht="18" customHeight="1">
      <c r="A31" s="35">
        <f ca="1"/>
        <v>46234</v>
      </c>
      <c r="B31" s="36" t="str">
        <f ca="1"/>
        <v>Fri</v>
      </c>
      <c r="C31" s="39"/>
      <c r="D31" s="40"/>
      <c r="E31" s="41"/>
      <c r="F31" s="39"/>
    </row>
    <row r="32" spans="1:6" ht="18" customHeight="1">
      <c r="A32" s="35">
        <f ca="1"/>
        <v>46235</v>
      </c>
      <c r="B32" s="36" t="str">
        <f ca="1"/>
        <v>Sat</v>
      </c>
      <c r="C32" s="39"/>
      <c r="D32" s="40"/>
      <c r="E32" s="41"/>
      <c r="F32" s="39"/>
    </row>
    <row r="33" spans="1:6" ht="18" customHeight="1">
      <c r="A33" s="35">
        <f ca="1"/>
        <v>46236</v>
      </c>
      <c r="B33" s="36" t="str">
        <f ca="1"/>
        <v>Sun</v>
      </c>
      <c r="C33" s="39"/>
      <c r="D33" s="40"/>
      <c r="E33" s="41"/>
      <c r="F33" s="39"/>
    </row>
  </sheetData>
  <conditionalFormatting sqref="A3:F33">
    <cfRule type="expression" dxfId="0" priority="1" stopIfTrue="1">
      <formula>WEEKDAY($A3,2)&gt;5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3"/>
  <sheetViews>
    <sheetView showGridLines="0" tabSelected="1" workbookViewId="0">
      <selection activeCell="H24" sqref="H24"/>
    </sheetView>
  </sheetViews>
  <sheetFormatPr defaultColWidth="11.42578125" defaultRowHeight="15.95"/>
  <cols>
    <col min="1" max="1" width="10.28515625" style="6" customWidth="1"/>
    <col min="2" max="6" width="10.28515625" style="7" customWidth="1"/>
  </cols>
  <sheetData>
    <row r="1" spans="1:8" ht="13.7" customHeight="1">
      <c r="A1" s="15" t="s">
        <v>8</v>
      </c>
      <c r="B1" s="16"/>
      <c r="C1" s="16"/>
      <c r="D1" s="16"/>
      <c r="E1" s="17"/>
      <c r="F1" s="18"/>
    </row>
    <row r="2" spans="1:8" ht="13.7" customHeight="1">
      <c r="A2" s="19" t="s">
        <v>9</v>
      </c>
      <c r="B2" s="20" t="s">
        <v>10</v>
      </c>
      <c r="C2" s="20" t="s">
        <v>11</v>
      </c>
      <c r="D2" s="20" t="s">
        <v>12</v>
      </c>
      <c r="E2" s="21" t="s">
        <v>13</v>
      </c>
      <c r="F2" s="20" t="s">
        <v>14</v>
      </c>
    </row>
    <row r="3" spans="1:8" ht="13.7" customHeight="1">
      <c r="A3" s="9">
        <f ca="1">_xlfn.ISOWEEKNUM(Timesheet!F1)</f>
        <v>27</v>
      </c>
      <c r="B3" s="10" cm="1">
        <f t="array" aca="1" ref="B3" ca="1">SUMPRODUCT((_xlfn.ISOWEEKNUM(Timesheet!$A$3:$A$33)=$A3)*(WEEKDAY(Timesheet!$A$3:$A$33,2)=COLUMN()-COLUMN($A3))*Timesheet!$E$3:$E$33)</f>
        <v>0</v>
      </c>
      <c r="C3" s="10" cm="1">
        <f t="array" aca="1" ref="C3" ca="1">SUMPRODUCT((_xlfn.ISOWEEKNUM(Timesheet!$A$3:$A$33)=$A3)*(WEEKDAY(Timesheet!$A$3:$A$33,2)=COLUMN()-COLUMN($A3))*Timesheet!$E$3:$E$33)</f>
        <v>0</v>
      </c>
      <c r="D3" s="10" cm="1">
        <f t="array" aca="1" ref="D3" ca="1">SUMPRODUCT((_xlfn.ISOWEEKNUM(Timesheet!$A$3:$A$33)=$A3)*(WEEKDAY(Timesheet!$A$3:$A$33,2)=COLUMN()-COLUMN($A3))*Timesheet!$E$3:$E$33)</f>
        <v>0</v>
      </c>
      <c r="E3" s="10" cm="1">
        <f t="array" aca="1" ref="E3" ca="1">SUMPRODUCT((_xlfn.ISOWEEKNUM(Timesheet!$A$3:$A$33)=$A3)*(WEEKDAY(Timesheet!$A$3:$A$33,2)=COLUMN()-COLUMN($A3))*Timesheet!$E$3:$E$33)</f>
        <v>0</v>
      </c>
      <c r="F3" s="10" cm="1">
        <f t="array" aca="1" ref="F3" ca="1">SUMPRODUCT((_xlfn.ISOWEEKNUM(Timesheet!$A$3:$A$33)=$A3)*(WEEKDAY(Timesheet!$A$3:$A$33,2)=COLUMN()-COLUMN($A3))*Timesheet!$E$3:$E$33)</f>
        <v>0</v>
      </c>
    </row>
    <row r="4" spans="1:8" ht="13.7" customHeight="1">
      <c r="A4" s="9">
        <f ca="1">A3+1</f>
        <v>28</v>
      </c>
      <c r="B4" s="10" cm="1">
        <f t="array" aca="1" ref="B4" ca="1">SUMPRODUCT((_xlfn.ISOWEEKNUM(Timesheet!$A$3:$A$33)=$A4)*(WEEKDAY(Timesheet!$A$3:$A$33,2)=COLUMN()-COLUMN($A4))*Timesheet!$E$3:$E$33)</f>
        <v>0</v>
      </c>
      <c r="C4" s="10" cm="1">
        <f t="array" aca="1" ref="C4" ca="1">SUMPRODUCT((_xlfn.ISOWEEKNUM(Timesheet!$A$3:$A$33)=$A4)*(WEEKDAY(Timesheet!$A$3:$A$33,2)=COLUMN()-COLUMN($A4))*Timesheet!$E$3:$E$33)</f>
        <v>0</v>
      </c>
      <c r="D4" s="10" cm="1">
        <f t="array" aca="1" ref="D4" ca="1">SUMPRODUCT((_xlfn.ISOWEEKNUM(Timesheet!$A$3:$A$33)=$A4)*(WEEKDAY(Timesheet!$A$3:$A$33,2)=COLUMN()-COLUMN($A4))*Timesheet!$E$3:$E$33)</f>
        <v>0</v>
      </c>
      <c r="E4" s="10" cm="1">
        <f t="array" aca="1" ref="E4" ca="1">SUMPRODUCT((_xlfn.ISOWEEKNUM(Timesheet!$A$3:$A$33)=$A4)*(WEEKDAY(Timesheet!$A$3:$A$33,2)=COLUMN()-COLUMN($A4))*Timesheet!$E$3:$E$33)</f>
        <v>0</v>
      </c>
      <c r="F4" s="10" cm="1">
        <f t="array" aca="1" ref="F4" ca="1">SUMPRODUCT((_xlfn.ISOWEEKNUM(Timesheet!$A$3:$A$33)=$A4)*(WEEKDAY(Timesheet!$A$3:$A$33,2)=COLUMN()-COLUMN($A4))*Timesheet!$E$3:$E$33)</f>
        <v>0</v>
      </c>
      <c r="H4" s="8"/>
    </row>
    <row r="5" spans="1:8" ht="13.7" customHeight="1">
      <c r="A5" s="9">
        <f ca="1">A4+1</f>
        <v>29</v>
      </c>
      <c r="B5" s="10" cm="1">
        <f t="array" aca="1" ref="B5" ca="1">SUMPRODUCT((_xlfn.ISOWEEKNUM(Timesheet!$A$3:$A$33)=$A5)*(WEEKDAY(Timesheet!$A$3:$A$33,2)=COLUMN()-COLUMN($A5))*Timesheet!$E$3:$E$33)</f>
        <v>0</v>
      </c>
      <c r="C5" s="10" cm="1">
        <f t="array" aca="1" ref="C5" ca="1">SUMPRODUCT((_xlfn.ISOWEEKNUM(Timesheet!$A$3:$A$33)=$A5)*(WEEKDAY(Timesheet!$A$3:$A$33,2)=COLUMN()-COLUMN($A5))*Timesheet!$E$3:$E$33)</f>
        <v>0</v>
      </c>
      <c r="D5" s="10" cm="1">
        <f t="array" aca="1" ref="D5" ca="1">SUMPRODUCT((_xlfn.ISOWEEKNUM(Timesheet!$A$3:$A$33)=$A5)*(WEEKDAY(Timesheet!$A$3:$A$33,2)=COLUMN()-COLUMN($A5))*Timesheet!$E$3:$E$33)</f>
        <v>0</v>
      </c>
      <c r="E5" s="10" cm="1">
        <f t="array" aca="1" ref="E5" ca="1">SUMPRODUCT((_xlfn.ISOWEEKNUM(Timesheet!$A$3:$A$33)=$A5)*(WEEKDAY(Timesheet!$A$3:$A$33,2)=COLUMN()-COLUMN($A5))*Timesheet!$E$3:$E$33)</f>
        <v>0</v>
      </c>
      <c r="F5" s="10" cm="1">
        <f t="array" aca="1" ref="F5" ca="1">SUMPRODUCT((_xlfn.ISOWEEKNUM(Timesheet!$A$3:$A$33)=$A5)*(WEEKDAY(Timesheet!$A$3:$A$33,2)=COLUMN()-COLUMN($A5))*Timesheet!$E$3:$E$33)</f>
        <v>0</v>
      </c>
    </row>
    <row r="6" spans="1:8" ht="13.7" customHeight="1">
      <c r="A6" s="9">
        <f ca="1">A5+1</f>
        <v>30</v>
      </c>
      <c r="B6" s="10" cm="1">
        <f t="array" aca="1" ref="B6" ca="1">SUMPRODUCT((_xlfn.ISOWEEKNUM(Timesheet!$A$3:$A$33)=$A6)*(WEEKDAY(Timesheet!$A$3:$A$33,2)=COLUMN()-COLUMN($A6))*Timesheet!$E$3:$E$33)</f>
        <v>0</v>
      </c>
      <c r="C6" s="10" cm="1">
        <f t="array" aca="1" ref="C6" ca="1">SUMPRODUCT((_xlfn.ISOWEEKNUM(Timesheet!$A$3:$A$33)=$A6)*(WEEKDAY(Timesheet!$A$3:$A$33,2)=COLUMN()-COLUMN($A6))*Timesheet!$E$3:$E$33)</f>
        <v>0</v>
      </c>
      <c r="D6" s="10" cm="1">
        <f t="array" aca="1" ref="D6" ca="1">SUMPRODUCT((_xlfn.ISOWEEKNUM(Timesheet!$A$3:$A$33)=$A6)*(WEEKDAY(Timesheet!$A$3:$A$33,2)=COLUMN()-COLUMN($A6))*Timesheet!$E$3:$E$33)</f>
        <v>0</v>
      </c>
      <c r="E6" s="10" cm="1">
        <f t="array" aca="1" ref="E6" ca="1">SUMPRODUCT((_xlfn.ISOWEEKNUM(Timesheet!$A$3:$A$33)=$A6)*(WEEKDAY(Timesheet!$A$3:$A$33,2)=COLUMN()-COLUMN($A6))*Timesheet!$E$3:$E$33)</f>
        <v>0</v>
      </c>
      <c r="F6" s="10" cm="1">
        <f t="array" aca="1" ref="F6" ca="1">SUMPRODUCT((_xlfn.ISOWEEKNUM(Timesheet!$A$3:$A$33)=$A6)*(WEEKDAY(Timesheet!$A$3:$A$33,2)=COLUMN()-COLUMN($A6))*Timesheet!$E$3:$E$33)</f>
        <v>0</v>
      </c>
    </row>
    <row r="7" spans="1:8" ht="13.7" customHeight="1">
      <c r="A7" s="9">
        <f ca="1">A6+1</f>
        <v>31</v>
      </c>
      <c r="B7" s="10" cm="1">
        <f t="array" aca="1" ref="B7" ca="1">SUMPRODUCT((_xlfn.ISOWEEKNUM(Timesheet!$A$3:$A$33)=$A7)*(WEEKDAY(Timesheet!$A$3:$A$33,2)=COLUMN()-COLUMN($A7))*Timesheet!$E$3:$E$33)</f>
        <v>0</v>
      </c>
      <c r="C7" s="10" cm="1">
        <f t="array" aca="1" ref="C7" ca="1">SUMPRODUCT((_xlfn.ISOWEEKNUM(Timesheet!$A$3:$A$33)=$A7)*(WEEKDAY(Timesheet!$A$3:$A$33,2)=COLUMN()-COLUMN($A7))*Timesheet!$E$3:$E$33)</f>
        <v>0</v>
      </c>
      <c r="D7" s="10" cm="1">
        <f t="array" aca="1" ref="D7" ca="1">SUMPRODUCT((_xlfn.ISOWEEKNUM(Timesheet!$A$3:$A$33)=$A7)*(WEEKDAY(Timesheet!$A$3:$A$33,2)=COLUMN()-COLUMN($A7))*Timesheet!$E$3:$E$33)</f>
        <v>0</v>
      </c>
      <c r="E7" s="10" cm="1">
        <f t="array" aca="1" ref="E7" ca="1">SUMPRODUCT((_xlfn.ISOWEEKNUM(Timesheet!$A$3:$A$33)=$A7)*(WEEKDAY(Timesheet!$A$3:$A$33,2)=COLUMN()-COLUMN($A7))*Timesheet!$E$3:$E$33)</f>
        <v>0</v>
      </c>
      <c r="F7" s="10" cm="1">
        <f t="array" aca="1" ref="F7" ca="1">SUMPRODUCT((_xlfn.ISOWEEKNUM(Timesheet!$A$3:$A$33)=$A7)*(WEEKDAY(Timesheet!$A$3:$A$33,2)=COLUMN()-COLUMN($A7))*Timesheet!$E$3:$E$33)</f>
        <v>0</v>
      </c>
    </row>
    <row r="8" spans="1:8" ht="13.7" customHeight="1">
      <c r="A8" s="9">
        <f ca="1">A7+1</f>
        <v>32</v>
      </c>
      <c r="B8" s="10" cm="1">
        <f t="array" aca="1" ref="B8" ca="1">SUMPRODUCT((_xlfn.ISOWEEKNUM(Timesheet!$A$3:$A$33)=$A8)*(WEEKDAY(Timesheet!$A$3:$A$33,2)=COLUMN()-COLUMN($A8))*Timesheet!$E$3:$E$33)</f>
        <v>0</v>
      </c>
      <c r="C8" s="10" cm="1">
        <f t="array" aca="1" ref="C8" ca="1">SUMPRODUCT((_xlfn.ISOWEEKNUM(Timesheet!$A$3:$A$33)=$A8)*(WEEKDAY(Timesheet!$A$3:$A$33,2)=COLUMN()-COLUMN($A8))*Timesheet!$E$3:$E$33)</f>
        <v>0</v>
      </c>
      <c r="D8" s="10" cm="1">
        <f t="array" aca="1" ref="D8" ca="1">SUMPRODUCT((_xlfn.ISOWEEKNUM(Timesheet!$A$3:$A$33)=$A8)*(WEEKDAY(Timesheet!$A$3:$A$33,2)=COLUMN()-COLUMN($A8))*Timesheet!$E$3:$E$33)</f>
        <v>0</v>
      </c>
      <c r="E8" s="10" cm="1">
        <f t="array" aca="1" ref="E8" ca="1">SUMPRODUCT((_xlfn.ISOWEEKNUM(Timesheet!$A$3:$A$33)=$A8)*(WEEKDAY(Timesheet!$A$3:$A$33,2)=COLUMN()-COLUMN($A8))*Timesheet!$E$3:$E$33)</f>
        <v>0</v>
      </c>
      <c r="F8" s="10" cm="1">
        <f t="array" aca="1" ref="F8" ca="1">SUMPRODUCT((_xlfn.ISOWEEKNUM(Timesheet!$A$3:$A$33)=$A8)*(WEEKDAY(Timesheet!$A$3:$A$33,2)=COLUMN()-COLUMN($A8))*Timesheet!$E$3:$E$33)</f>
        <v>0</v>
      </c>
    </row>
    <row r="9" spans="1:8" ht="13.7" customHeight="1">
      <c r="A9" s="11" t="s">
        <v>15</v>
      </c>
      <c r="B9" s="12">
        <f ca="1">SUM(B3:B8)</f>
        <v>0</v>
      </c>
      <c r="C9" s="12">
        <f ca="1">SUM(C3:C8)</f>
        <v>0</v>
      </c>
      <c r="D9" s="12">
        <f ca="1">SUM(D3:D8)</f>
        <v>0</v>
      </c>
      <c r="E9" s="12">
        <f ca="1">SUM(E3:E8)</f>
        <v>0</v>
      </c>
      <c r="F9" s="12">
        <f ca="1">SUM(F3:F8)</f>
        <v>0</v>
      </c>
    </row>
    <row r="10" spans="1:8" ht="13.7" customHeight="1">
      <c r="A10" s="13" t="s">
        <v>16</v>
      </c>
      <c r="B10" s="14"/>
      <c r="C10" s="14"/>
      <c r="D10" s="14"/>
      <c r="E10" s="14"/>
      <c r="F10" s="14">
        <f ca="1">SUM(B9:F9)</f>
        <v>0</v>
      </c>
    </row>
    <row r="11" spans="1:8" ht="13.7" customHeight="1">
      <c r="A11" s="4"/>
      <c r="B11" s="2"/>
      <c r="C11" s="2"/>
      <c r="D11" s="2"/>
      <c r="E11" s="2"/>
      <c r="F11" s="2"/>
    </row>
    <row r="12" spans="1:8" ht="13.7" customHeight="1">
      <c r="A12" s="15" t="s">
        <v>17</v>
      </c>
      <c r="B12" s="16"/>
      <c r="C12" s="16"/>
      <c r="D12" s="16"/>
      <c r="E12" s="17"/>
      <c r="F12" s="18"/>
    </row>
    <row r="13" spans="1:8" ht="13.7" customHeight="1">
      <c r="A13" s="22" t="s">
        <v>4</v>
      </c>
      <c r="B13" s="23"/>
      <c r="C13" s="23"/>
      <c r="D13" s="23"/>
      <c r="E13" s="24" t="s">
        <v>6</v>
      </c>
      <c r="F13" s="23" t="s">
        <v>18</v>
      </c>
    </row>
    <row r="14" spans="1:8" ht="14.1" customHeight="1">
      <c r="A14" s="9" t="str" cm="1">
        <f t="array" ref="A14">_xlfn.UNIQUE(_xlfn._xlws.FILTER(Timesheet!C3:C33,Timesheet!C3:C33&lt;&gt;"","No entries yet"))</f>
        <v>No entries yet</v>
      </c>
      <c r="B14" s="25"/>
      <c r="C14" s="25"/>
      <c r="D14" s="25"/>
      <c r="E14" s="26" t="str" cm="1">
        <f t="array" ref="E14">IF(COUNTA(Timesheet!$C$3:$C$33)=0,"",SUMIF(Timesheet!$C$3:$C$33,_xlfn.ANCHORARRAY(A14),Timesheet!$E$3:$E$33))</f>
        <v/>
      </c>
      <c r="F14" s="27" t="str" cm="1">
        <f t="array" ref="F14">IF(SUM(Timesheet!$E$3:$E$33)=0,"",_xlfn.ANCHORARRAY(E14)/SUM(Timesheet!$E$3:$E$33))</f>
        <v/>
      </c>
    </row>
    <row r="15" spans="1:8" ht="14.1" customHeight="1">
      <c r="A15" s="28"/>
      <c r="B15" s="25"/>
      <c r="C15" s="25"/>
      <c r="D15" s="25"/>
      <c r="E15" s="26"/>
      <c r="F15" s="27"/>
    </row>
    <row r="16" spans="1:8">
      <c r="A16" s="9"/>
      <c r="B16" s="25"/>
      <c r="C16" s="25"/>
      <c r="D16" s="25"/>
      <c r="E16" s="26"/>
      <c r="F16" s="27"/>
    </row>
    <row r="17" spans="1:6">
      <c r="A17" s="9"/>
      <c r="B17" s="25"/>
      <c r="C17" s="25"/>
      <c r="D17" s="25"/>
      <c r="E17" s="25"/>
      <c r="F17" s="29"/>
    </row>
    <row r="18" spans="1:6">
      <c r="A18" s="9"/>
      <c r="B18" s="25"/>
      <c r="C18" s="25"/>
      <c r="D18" s="25"/>
      <c r="E18" s="25"/>
      <c r="F18" s="29"/>
    </row>
    <row r="19" spans="1:6">
      <c r="A19" s="9"/>
      <c r="B19" s="25"/>
      <c r="C19" s="25"/>
      <c r="D19" s="25"/>
      <c r="E19" s="25"/>
      <c r="F19" s="29"/>
    </row>
    <row r="20" spans="1:6">
      <c r="A20" s="9"/>
      <c r="B20" s="25"/>
      <c r="C20" s="25"/>
      <c r="D20" s="25"/>
      <c r="E20" s="25"/>
      <c r="F20" s="29"/>
    </row>
    <row r="21" spans="1:6">
      <c r="A21" s="9"/>
      <c r="B21" s="25"/>
      <c r="C21" s="25"/>
      <c r="D21" s="25"/>
      <c r="E21" s="25"/>
      <c r="F21" s="29"/>
    </row>
    <row r="22" spans="1:6">
      <c r="A22" s="9"/>
      <c r="B22" s="25"/>
      <c r="C22" s="25"/>
      <c r="D22" s="25"/>
      <c r="E22" s="25"/>
      <c r="F22" s="29"/>
    </row>
    <row r="23" spans="1:6">
      <c r="A23" s="9"/>
      <c r="B23" s="25"/>
      <c r="C23" s="25"/>
      <c r="D23" s="25"/>
      <c r="E23" s="25"/>
      <c r="F23" s="29"/>
    </row>
    <row r="24" spans="1:6">
      <c r="A24" s="30"/>
      <c r="B24" s="31"/>
      <c r="C24" s="31"/>
      <c r="D24" s="31"/>
      <c r="E24" s="31"/>
      <c r="F24" s="29"/>
    </row>
    <row r="25" spans="1:6">
      <c r="A25" s="30"/>
      <c r="B25" s="31"/>
      <c r="C25" s="31"/>
      <c r="D25" s="31"/>
      <c r="E25" s="31"/>
      <c r="F25" s="29"/>
    </row>
    <row r="26" spans="1:6">
      <c r="A26" s="30"/>
      <c r="B26" s="31"/>
      <c r="C26" s="31"/>
      <c r="D26" s="31"/>
      <c r="E26" s="31"/>
      <c r="F26" s="29"/>
    </row>
    <row r="27" spans="1:6">
      <c r="A27" s="30"/>
      <c r="B27" s="31"/>
      <c r="C27" s="31"/>
      <c r="D27" s="31"/>
      <c r="E27" s="31"/>
      <c r="F27" s="29"/>
    </row>
    <row r="28" spans="1:6">
      <c r="A28" s="30"/>
      <c r="B28" s="31"/>
      <c r="C28" s="31"/>
      <c r="D28" s="31"/>
      <c r="E28" s="31"/>
      <c r="F28" s="29"/>
    </row>
    <row r="29" spans="1:6">
      <c r="A29" s="30"/>
      <c r="B29" s="31"/>
      <c r="C29" s="31"/>
      <c r="D29" s="31"/>
      <c r="E29" s="31"/>
      <c r="F29" s="29"/>
    </row>
    <row r="30" spans="1:6">
      <c r="A30" s="30"/>
      <c r="B30" s="31"/>
      <c r="C30" s="31"/>
      <c r="D30" s="31"/>
      <c r="E30" s="31"/>
      <c r="F30" s="29"/>
    </row>
    <row r="31" spans="1:6">
      <c r="A31" s="30"/>
      <c r="B31" s="31"/>
      <c r="C31" s="31"/>
      <c r="D31" s="31"/>
      <c r="E31" s="31"/>
      <c r="F31" s="29"/>
    </row>
    <row r="32" spans="1:6">
      <c r="A32" s="30"/>
      <c r="B32" s="31"/>
      <c r="C32" s="31"/>
      <c r="D32" s="31"/>
      <c r="E32" s="31"/>
      <c r="F32" s="29"/>
    </row>
    <row r="33" spans="1:6">
      <c r="A33" s="30"/>
      <c r="B33" s="31"/>
      <c r="C33" s="31"/>
      <c r="D33" s="31"/>
      <c r="E33" s="31"/>
      <c r="F33" s="29"/>
    </row>
    <row r="34" spans="1:6">
      <c r="A34" s="30"/>
      <c r="B34" s="31"/>
      <c r="C34" s="31"/>
      <c r="D34" s="31"/>
      <c r="E34" s="31"/>
      <c r="F34" s="29"/>
    </row>
    <row r="35" spans="1:6">
      <c r="A35" s="30"/>
      <c r="B35" s="31"/>
      <c r="C35" s="31"/>
      <c r="D35" s="31"/>
      <c r="E35" s="31"/>
      <c r="F35" s="31"/>
    </row>
    <row r="36" spans="1:6">
      <c r="A36" s="30"/>
      <c r="B36" s="31"/>
      <c r="C36" s="31"/>
      <c r="D36" s="31"/>
      <c r="E36" s="31"/>
      <c r="F36" s="31"/>
    </row>
    <row r="37" spans="1:6">
      <c r="A37" s="30"/>
      <c r="B37" s="31"/>
      <c r="C37" s="31"/>
      <c r="D37" s="31"/>
      <c r="E37" s="31"/>
      <c r="F37" s="31"/>
    </row>
    <row r="38" spans="1:6">
      <c r="A38" s="30"/>
      <c r="B38" s="31"/>
      <c r="C38" s="31"/>
      <c r="D38" s="31"/>
      <c r="E38" s="31"/>
      <c r="F38" s="31"/>
    </row>
    <row r="39" spans="1:6">
      <c r="A39" s="30"/>
      <c r="B39" s="31"/>
      <c r="C39" s="31"/>
      <c r="D39" s="31"/>
      <c r="E39" s="31"/>
      <c r="F39" s="31"/>
    </row>
    <row r="40" spans="1:6">
      <c r="A40" s="30"/>
      <c r="B40" s="31"/>
      <c r="C40" s="31"/>
      <c r="D40" s="31"/>
      <c r="E40" s="31"/>
      <c r="F40" s="31"/>
    </row>
    <row r="41" spans="1:6">
      <c r="A41" s="30"/>
      <c r="B41" s="31"/>
      <c r="C41" s="31"/>
      <c r="D41" s="31"/>
      <c r="E41" s="31"/>
      <c r="F41" s="31"/>
    </row>
    <row r="42" spans="1:6">
      <c r="A42" s="30"/>
      <c r="B42" s="31"/>
      <c r="C42" s="31"/>
      <c r="D42" s="31"/>
      <c r="E42" s="31"/>
      <c r="F42" s="31"/>
    </row>
    <row r="43" spans="1:6">
      <c r="A43" s="30"/>
      <c r="B43" s="31"/>
      <c r="C43" s="31"/>
      <c r="D43" s="31"/>
      <c r="E43" s="31"/>
      <c r="F43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EAD8-52A0-4F93-AD5A-CD57472B9353}">
  <dimension ref="A2:B2"/>
  <sheetViews>
    <sheetView workbookViewId="0">
      <selection activeCell="B2" sqref="B2"/>
    </sheetView>
  </sheetViews>
  <sheetFormatPr defaultRowHeight="15"/>
  <cols>
    <col min="2" max="2" width="16.42578125" customWidth="1"/>
  </cols>
  <sheetData>
    <row r="2" spans="1:2">
      <c r="A2" t="s">
        <v>19</v>
      </c>
      <c r="B2">
        <f ca="1">NOW()</f>
        <v>46206.472726736109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2026-06-02T17:02:41Z</dcterms:created>
  <dcterms:modified xsi:type="dcterms:W3CDTF">2026-07-03T09:21:16Z</dcterms:modified>
  <cp:category/>
  <cp:contentStatus/>
</cp:coreProperties>
</file>