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Yearly calendar" sheetId="1" r:id="rId1"/>
  </sheets>
  <definedNames/>
  <calcPr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<sst xmlns="http://schemas.openxmlformats.org/spreadsheetml/2006/main" count="16" uniqueCount="16">
  <si>
    <t>M</t>
  </si>
  <si>
    <t>T</t>
  </si>
  <si>
    <t>W</t>
  </si>
  <si>
    <t>F</t>
  </si>
  <si>
    <t>S</t>
  </si>
  <si>
    <t>Events</t>
  </si>
  <si>
    <t>Date</t>
  </si>
  <si>
    <t>David Attenborough's birthday</t>
  </si>
  <si>
    <t>Isaac Newton's birthday</t>
  </si>
  <si>
    <t>Albert Einstein's birthday</t>
  </si>
  <si>
    <t>Niels Bohr's birthday</t>
  </si>
  <si>
    <t>James Watson's birthday</t>
  </si>
  <si>
    <t>Enrico Fermi's birthday</t>
  </si>
  <si>
    <t>Jane Goodall's birthday</t>
  </si>
  <si>
    <t>Elsa</t>
  </si>
  <si>
    <t/>
  </si>
</sst>
</file>

<file path=xl/styles.xml><?xml version="1.0" encoding="utf-8"?>
<styleSheet xmlns="http://schemas.openxmlformats.org/spreadsheetml/2006/main">
  <numFmts count="1">
    <numFmt numFmtId="164" formatCode="d"/>
  </numFmts>
  <fonts count="10">
    <font>
      <sz val="11"/>
      <color theme="1"/>
      <name val="Inter"/>
      <family val="2"/>
      <scheme val="minor"/>
    </font>
    <font>
      <sz val="28"/>
      <color rgb="FF8C3A1B"/>
      <name val="Inter"/>
      <b/>
      <family val="2"/>
      <scheme val="minor"/>
    </font>
    <font>
      <sz val="14"/>
      <color rgb="FF8C3A1B"/>
      <name val="Inter"/>
      <b/>
      <family val="2"/>
      <scheme val="minor"/>
    </font>
    <font>
      <sz val="11"/>
      <color rgb="FFFFFFFF"/>
      <name val="Inter"/>
      <b/>
      <family val="2"/>
      <scheme val="minor"/>
    </font>
    <font>
      <sz val="11"/>
      <color rgb="FF3A2A1A"/>
      <name val="Inter"/>
      <family val="2"/>
      <scheme val="minor"/>
    </font>
    <font>
      <sz val="14"/>
      <color theme="4"/>
      <name val="Inter"/>
      <b/>
      <family val="2"/>
      <scheme val="minor"/>
    </font>
    <font>
      <sz val="11"/>
      <color theme="4"/>
      <name val="Inter"/>
      <family val="2"/>
      <scheme val="minor"/>
    </font>
    <font>
      <sz val="28"/>
      <color theme="4"/>
      <name val="Inter"/>
      <b/>
      <family val="2"/>
      <scheme val="minor"/>
    </font>
    <font>
      <sz val="12"/>
      <color rgb="FF3A2A1A"/>
      <name val="Inter"/>
      <family val="2"/>
      <scheme val="minor"/>
    </font>
    <font>
      <sz val="12"/>
      <color theme="1"/>
      <name val="Inter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BF6EE"/>
        <bgColor indexed="64"/>
      </patternFill>
    </fill>
    <fill>
      <patternFill patternType="solid">
        <fgColor rgb="FFC2541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E2D0"/>
        <bgColor indexed="64"/>
      </patternFill>
    </fill>
    <fill>
      <patternFill patternType="solid">
        <fgColor rgb="FF9E3F1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6000000000000000"/>
        <bgColor indexed="64"/>
      </patternFill>
    </fill>
    <fill>
      <patternFill patternType="solid">
        <fgColor theme="4" tint="0.8000000000000000"/>
        <bgColor indexed="64"/>
      </patternFill>
    </fill>
    <fill>
      <patternFill patternType="solid">
        <fgColor theme="2" tint="-0.1000000000000000"/>
        <bgColor indexed="64"/>
      </patternFill>
    </fill>
    <fill>
      <patternFill patternType="solid">
        <fgColor theme="4" tint="-0.2500000000000000"/>
        <bgColor indexed="64"/>
      </patternFill>
    </fill>
  </fills>
  <borders count="22">
    <border>
      <left/>
      <right/>
      <top/>
      <bottom/>
      <diagonal/>
    </border>
    <border>
      <left style="thin">
        <color rgb="FFE3C9AE"/>
      </left>
      <right style="thin">
        <color rgb="FFE3C9AE"/>
      </right>
      <top style="thin">
        <color rgb="FFE3C9AE"/>
      </top>
      <bottom style="thin">
        <color rgb="FFE3C9AE"/>
      </bottom>
      <diagonal/>
    </border>
    <border>
      <left/>
      <right/>
      <top style="thin">
        <color rgb="FFE3C9AE"/>
      </top>
      <bottom style="thin">
        <color rgb="FFE3C9AE"/>
      </bottom>
      <diagonal/>
    </border>
    <border>
      <left style="thin">
        <color rgb="FFE3C9AE"/>
      </left>
      <right/>
      <top style="thin">
        <color rgb="FFE3C9AE"/>
      </top>
      <bottom style="thin">
        <color rgb="FFE3C9AE"/>
      </bottom>
      <diagonal/>
    </border>
    <border>
      <left style="thin">
        <color rgb="FFE3C9AE"/>
      </left>
      <right/>
      <top/>
      <bottom style="thin">
        <color rgb="FFE3C9AE"/>
      </bottom>
      <diagonal/>
    </border>
    <border>
      <left/>
      <right style="thin">
        <color rgb="FFE3C9AE"/>
      </right>
      <top style="thin">
        <color rgb="FFE3C9AE"/>
      </top>
      <bottom style="thin">
        <color rgb="FFE3C9AE"/>
      </bottom>
      <diagonal/>
    </border>
    <border>
      <left style="thin">
        <color rgb="FFC2541B"/>
      </left>
      <right style="thin">
        <color rgb="FFC2541B"/>
      </right>
      <top style="thin">
        <color rgb="FFC2541B"/>
      </top>
      <bottom style="thin">
        <color rgb="FFC2541B"/>
      </bottom>
      <diagonal/>
    </border>
    <border>
      <left style="thin">
        <color rgb="FFC2541B"/>
      </left>
      <right/>
      <top style="thin">
        <color rgb="FFC2541B"/>
      </top>
      <bottom style="thin">
        <color rgb="FFC2541B"/>
      </bottom>
      <diagonal/>
    </border>
    <border>
      <left/>
      <right/>
      <top style="thin">
        <color rgb="FFC2541B"/>
      </top>
      <bottom style="thin">
        <color rgb="FFC2541B"/>
      </bottom>
      <diagonal/>
    </border>
    <border>
      <left/>
      <right style="thin">
        <color rgb="FFC2541B"/>
      </right>
      <top style="thin">
        <color rgb="FFC2541B"/>
      </top>
      <bottom style="thin">
        <color rgb="FFC2541B"/>
      </bottom>
      <diagonal/>
    </border>
    <border>
      <left/>
      <right style="thin">
        <color rgb="FFC2541B"/>
      </right>
      <top/>
      <bottom/>
      <diagonal/>
    </border>
    <border>
      <left style="thin">
        <color rgb="FFC2541B"/>
      </left>
      <right/>
      <top style="thin">
        <color rgb="FFC2541B"/>
      </top>
      <bottom/>
      <diagonal/>
    </border>
    <border>
      <left/>
      <right/>
      <top style="thin">
        <color rgb="FFC2541B"/>
      </top>
      <bottom/>
      <diagonal/>
    </border>
    <border>
      <left/>
      <right style="thin">
        <color rgb="FFC2541B"/>
      </right>
      <top style="thin">
        <color rgb="FFC2541B"/>
      </top>
      <bottom/>
      <diagonal/>
    </border>
    <border>
      <left style="thin">
        <color rgb="FF272525"/>
      </left>
      <right style="thin">
        <color rgb="FF272525"/>
      </right>
      <top style="thin">
        <color rgb="FF272525"/>
      </top>
      <bottom style="thin">
        <color rgb="FF272525"/>
      </bottom>
      <diagonal/>
    </border>
    <border>
      <left style="thin">
        <color theme="4" tint="0.8000000000000000"/>
      </left>
      <right style="thin">
        <color theme="4" tint="0.8000000000000000"/>
      </right>
      <top style="thin">
        <color theme="4" tint="0.8000000000000000"/>
      </top>
      <bottom style="thin">
        <color theme="4" tint="0.8000000000000000"/>
      </bottom>
      <diagonal/>
    </border>
    <border>
      <left style="thin">
        <color rgb="FF272525"/>
      </left>
      <right/>
      <top style="thin">
        <color rgb="FF272525"/>
      </top>
      <bottom style="thin">
        <color rgb="FF272525"/>
      </bottom>
      <diagonal/>
    </border>
    <border>
      <left/>
      <right/>
      <top style="thin">
        <color rgb="FF272525"/>
      </top>
      <bottom style="thin">
        <color rgb="FF272525"/>
      </bottom>
      <diagonal/>
    </border>
    <border>
      <left/>
      <right style="thin">
        <color rgb="FF272525"/>
      </right>
      <top style="thin">
        <color rgb="FF272525"/>
      </top>
      <bottom style="thin">
        <color rgb="FF272525"/>
      </bottom>
      <diagonal/>
    </border>
    <border>
      <left style="thin">
        <color theme="4" tint="0.8000000000000000"/>
      </left>
      <right/>
      <top style="thin">
        <color theme="4" tint="0.8000000000000000"/>
      </top>
      <bottom style="thin">
        <color theme="4" tint="0.8000000000000000"/>
      </bottom>
      <diagonal/>
    </border>
    <border>
      <left/>
      <right/>
      <top style="thin">
        <color theme="4" tint="0.8000000000000000"/>
      </top>
      <bottom style="thin">
        <color theme="4" tint="0.8000000000000000"/>
      </bottom>
      <diagonal/>
    </border>
    <border>
      <left/>
      <right style="thin">
        <color theme="4" tint="0.8000000000000000"/>
      </right>
      <top style="thin">
        <color theme="4" tint="0.8000000000000000"/>
      </top>
      <bottom style="thin">
        <color theme="4" tint="0.8000000000000000"/>
      </bottom>
      <diagonal/>
    </border>
  </borders>
  <cellStyleXfs count="1">
    <xf borderId="0" fillId="0" fontId="0" numFmtId="0"/>
  </cellStyleXfs>
  <cellXfs count="88">
    <xf xfId="0" borderId="0" fillId="0" fontId="0" numFmtId="0"/>
    <xf xfId="0" borderId="0" fillId="0" fontId="0" numFmtId="0" applyAlignment="1">
      <alignment horizontal="left"/>
    </xf>
    <xf xfId="0" borderId="0" fillId="2" fontId="0" numFmtId="0" applyAlignment="1" applyFill="1">
      <alignment horizontal="left" vertical="center"/>
    </xf>
    <xf xfId="0" borderId="0" fillId="2" fontId="1" numFmtId="0" applyAlignment="1" applyFont="1" applyFill="1">
      <alignment horizontal="left" vertical="center"/>
    </xf>
    <xf xfId="0" borderId="0" fillId="2" fontId="0" numFmtId="14" applyAlignment="1" applyFill="1" applyNumberFormat="1">
      <alignment horizontal="left" vertical="center"/>
    </xf>
    <xf xfId="0" borderId="0" fillId="2" fontId="2" numFmtId="0" applyAlignment="1" applyFont="1" applyFill="1">
      <alignment horizontal="left" vertical="center"/>
    </xf>
    <xf xfId="0" borderId="1" fillId="3" fontId="3" numFmtId="0" applyAlignment="1" applyFont="1" applyFill="1" applyBorder="1">
      <alignment horizontal="center" vertical="center"/>
    </xf>
    <xf xfId="0" borderId="1" fillId="6" fontId="3" numFmtId="0" applyAlignment="1" applyFont="1" applyFill="1" applyBorder="1">
      <alignment horizontal="center" vertical="center"/>
    </xf>
    <xf xfId="0" borderId="1" fillId="4" fontId="4" numFmtId="0" applyAlignment="1" applyFont="1" applyFill="1" applyBorder="1">
      <alignment horizontal="center" vertical="center"/>
    </xf>
    <xf xfId="0" borderId="1" fillId="5" fontId="4" numFmtId="0" applyAlignment="1" applyFont="1" applyFill="1" applyBorder="1">
      <alignment horizontal="center" vertical="center"/>
    </xf>
    <xf xfId="0" borderId="0" fillId="2" fontId="2" numFmtId="0" applyAlignment="1" applyFont="1" applyFill="1">
      <alignment vertical="center"/>
    </xf>
    <xf xfId="0" borderId="0" fillId="2" fontId="0" numFmtId="0" applyAlignment="1" applyFill="1">
      <alignment vertical="center"/>
    </xf>
    <xf xfId="0" borderId="10" fillId="2" fontId="0" numFmtId="0" applyAlignment="1" applyFill="1" applyBorder="1">
      <alignment vertical="center"/>
    </xf>
    <xf xfId="0" borderId="6" fillId="3" fontId="3" numFmtId="0" applyAlignment="1" applyFont="1" applyFill="1" applyBorder="1">
      <alignment horizontal="center" vertical="center"/>
    </xf>
    <xf xfId="0" borderId="11" fillId="3" fontId="3" numFmtId="0" applyAlignment="1" applyFont="1" applyFill="1" applyBorder="1">
      <alignment horizontal="left" vertical="center"/>
    </xf>
    <xf xfId="0" borderId="12" fillId="3" fontId="3" numFmtId="0" applyAlignment="1" applyFont="1" applyFill="1" applyBorder="1">
      <alignment horizontal="left" vertical="center"/>
    </xf>
    <xf xfId="0" borderId="13" fillId="3" fontId="3" numFmtId="0" applyAlignment="1" applyFont="1" applyFill="1" applyBorder="1">
      <alignment horizontal="left" vertical="center"/>
    </xf>
    <xf xfId="0" borderId="7" fillId="3" fontId="3" numFmtId="0" applyAlignment="1" applyFont="1" applyFill="1" applyBorder="1">
      <alignment horizontal="left" vertical="center"/>
    </xf>
    <xf xfId="0" borderId="8" fillId="3" fontId="3" numFmtId="0" applyAlignment="1" applyFont="1" applyFill="1" applyBorder="1">
      <alignment horizontal="left" vertical="center"/>
    </xf>
    <xf xfId="0" borderId="9" fillId="3" fontId="3" numFmtId="0" applyAlignment="1" applyFont="1" applyFill="1" applyBorder="1">
      <alignment horizontal="left" vertical="center"/>
    </xf>
    <xf xfId="0" borderId="0" fillId="0" fontId="0" numFmtId="0" applyAlignment="1">
      <alignment vertical="center"/>
    </xf>
    <xf xfId="0" borderId="4" fillId="5" fontId="4" numFmtId="164" applyAlignment="1" applyFont="1" applyFill="1" applyNumberFormat="1" applyBorder="1">
      <alignment horizontal="center" vertical="center"/>
    </xf>
    <xf xfId="0" borderId="3" fillId="4" fontId="0" numFmtId="0" applyAlignment="1" applyFill="1" applyBorder="1">
      <alignment vertical="center"/>
    </xf>
    <xf xfId="0" borderId="2" fillId="0" fontId="0" numFmtId="0" applyAlignment="1" applyBorder="1">
      <alignment vertical="center"/>
    </xf>
    <xf xfId="0" borderId="5" fillId="0" fontId="0" numFmtId="0" applyAlignment="1" applyBorder="1">
      <alignment vertical="center"/>
    </xf>
    <xf xfId="0" borderId="1" fillId="5" fontId="4" numFmtId="164" applyAlignment="1" applyFont="1" applyFill="1" applyNumberFormat="1" applyBorder="1">
      <alignment horizontal="center" vertical="center"/>
    </xf>
    <xf xfId="0" borderId="0" fillId="2" fontId="1" numFmtId="0">
      <alignment horizontal="left" vertical="top"/>
    </xf>
    <xf xfId="0" borderId="0" fillId="2" fontId="5" numFmtId="0">
      <alignment horizontal="left" vertical="center"/>
    </xf>
    <xf xfId="0" borderId="0" fillId="2" fontId="6" numFmtId="0">
      <alignment horizontal="left" vertical="center"/>
    </xf>
    <xf xfId="0" borderId="0" fillId="2" fontId="6" numFmtId="14">
      <alignment horizontal="left" vertical="center"/>
    </xf>
    <xf xfId="0" borderId="0" fillId="2" fontId="5" numFmtId="0">
      <alignment vertical="center"/>
    </xf>
    <xf xfId="0" borderId="0" fillId="2" fontId="6" numFmtId="0">
      <alignment vertical="center"/>
    </xf>
    <xf xfId="0" borderId="0" fillId="2" fontId="7" numFmtId="0">
      <alignment horizontal="left" vertical="top"/>
    </xf>
    <xf xfId="0" borderId="14" fillId="3" fontId="3" numFmtId="0">
      <alignment horizontal="center" vertical="center"/>
    </xf>
    <xf xfId="0" borderId="14" fillId="6" fontId="3" numFmtId="0">
      <alignment horizontal="center" vertical="center"/>
    </xf>
    <xf xfId="0" borderId="14" fillId="4" fontId="4" numFmtId="0">
      <alignment horizontal="center" vertical="center"/>
    </xf>
    <xf xfId="0" borderId="14" fillId="5" fontId="4" numFmtId="0">
      <alignment horizontal="center" vertical="center"/>
    </xf>
    <xf xfId="0" borderId="15" fillId="3" fontId="3" numFmtId="0">
      <alignment horizontal="center" vertical="center"/>
    </xf>
    <xf xfId="0" borderId="15" fillId="6" fontId="3" numFmtId="0">
      <alignment horizontal="center" vertical="center"/>
    </xf>
    <xf xfId="0" borderId="15" fillId="4" fontId="4" numFmtId="0">
      <alignment horizontal="center" vertical="center"/>
    </xf>
    <xf xfId="0" borderId="15" fillId="5" fontId="4" numFmtId="0">
      <alignment horizontal="center" vertical="center"/>
    </xf>
    <xf xfId="0" borderId="0" fillId="7" fontId="0" numFmtId="0">
      <alignment horizontal="left" vertical="center"/>
    </xf>
    <xf xfId="0" borderId="0" fillId="7" fontId="7" numFmtId="0">
      <alignment horizontal="left" vertical="top"/>
    </xf>
    <xf xfId="0" borderId="0" fillId="7" fontId="0" numFmtId="14">
      <alignment horizontal="left" vertical="center"/>
    </xf>
    <xf xfId="0" borderId="0" fillId="7" fontId="5" numFmtId="0">
      <alignment horizontal="left" vertical="center"/>
    </xf>
    <xf xfId="0" borderId="0" fillId="7" fontId="6" numFmtId="0">
      <alignment horizontal="left" vertical="center"/>
    </xf>
    <xf xfId="0" borderId="0" fillId="7" fontId="6" numFmtId="14">
      <alignment horizontal="left" vertical="center"/>
    </xf>
    <xf xfId="0" borderId="0" fillId="7" fontId="0" numFmtId="0">
      <alignment vertical="center"/>
    </xf>
    <xf xfId="0" borderId="10" fillId="7" fontId="0" numFmtId="0">
      <alignment vertical="center"/>
    </xf>
    <xf xfId="0" borderId="0" fillId="7" fontId="5" numFmtId="0">
      <alignment vertical="center"/>
    </xf>
    <xf xfId="0" borderId="0" fillId="7" fontId="6" numFmtId="0">
      <alignment vertical="center"/>
    </xf>
    <xf xfId="0" borderId="6" fillId="8" fontId="3" numFmtId="0">
      <alignment horizontal="center" vertical="center"/>
    </xf>
    <xf xfId="0" borderId="11" fillId="8" fontId="3" numFmtId="0">
      <alignment horizontal="left" vertical="center"/>
    </xf>
    <xf xfId="0" borderId="12" fillId="8" fontId="3" numFmtId="0">
      <alignment horizontal="left" vertical="center"/>
    </xf>
    <xf xfId="0" borderId="13" fillId="8" fontId="3" numFmtId="0">
      <alignment horizontal="left" vertical="center"/>
    </xf>
    <xf xfId="0" borderId="6" fillId="9" fontId="3" numFmtId="0">
      <alignment horizontal="center" vertical="center"/>
    </xf>
    <xf xfId="0" borderId="11" fillId="9" fontId="3" numFmtId="0">
      <alignment horizontal="left" vertical="center"/>
    </xf>
    <xf xfId="0" borderId="12" fillId="9" fontId="3" numFmtId="0">
      <alignment horizontal="left" vertical="center"/>
    </xf>
    <xf xfId="0" borderId="13" fillId="9" fontId="3" numFmtId="0">
      <alignment horizontal="left" vertical="center"/>
    </xf>
    <xf xfId="0" borderId="14" fillId="9" fontId="3" numFmtId="0">
      <alignment horizontal="center" vertical="center"/>
    </xf>
    <xf xfId="0" borderId="14" fillId="5" fontId="4" numFmtId="164">
      <alignment horizontal="center" vertical="center"/>
    </xf>
    <xf xfId="0" borderId="15" fillId="9" fontId="3" numFmtId="0">
      <alignment horizontal="center" vertical="center"/>
    </xf>
    <xf xfId="0" borderId="15" fillId="5" fontId="4" numFmtId="164">
      <alignment horizontal="center" vertical="center"/>
    </xf>
    <xf xfId="0" borderId="15" fillId="10" fontId="4" numFmtId="164">
      <alignment horizontal="center" vertical="center"/>
    </xf>
    <xf xfId="0" borderId="15" fillId="11" fontId="4" numFmtId="164">
      <alignment horizontal="center" vertical="center"/>
    </xf>
    <xf xfId="0" borderId="15" fillId="12" fontId="4" numFmtId="164">
      <alignment horizontal="center" vertical="center"/>
    </xf>
    <xf xfId="0" borderId="16" fillId="4" fontId="0" numFmtId="0">
      <alignment vertical="center"/>
    </xf>
    <xf xfId="0" borderId="17" fillId="0" fontId="0" numFmtId="0">
      <alignment vertical="center"/>
    </xf>
    <xf xfId="0" borderId="18" fillId="0" fontId="0" numFmtId="0">
      <alignment vertical="center"/>
    </xf>
    <xf xfId="0" borderId="19" fillId="4" fontId="0" numFmtId="0">
      <alignment vertical="center"/>
    </xf>
    <xf xfId="0" borderId="20" fillId="0" fontId="0" numFmtId="0">
      <alignment vertical="center"/>
    </xf>
    <xf xfId="0" borderId="21" fillId="0" fontId="0" numFmtId="0">
      <alignment vertical="center"/>
    </xf>
    <xf xfId="0" borderId="16" fillId="9" fontId="3" numFmtId="0">
      <alignment horizontal="left" vertical="center"/>
    </xf>
    <xf xfId="0" borderId="17" fillId="9" fontId="3" numFmtId="0">
      <alignment horizontal="left" vertical="center"/>
    </xf>
    <xf xfId="0" borderId="18" fillId="9" fontId="3" numFmtId="0">
      <alignment horizontal="left" vertical="center"/>
    </xf>
    <xf xfId="0" borderId="19" fillId="9" fontId="3" numFmtId="0">
      <alignment horizontal="left" vertical="center"/>
    </xf>
    <xf xfId="0" borderId="20" fillId="9" fontId="3" numFmtId="0">
      <alignment horizontal="left" vertical="center"/>
    </xf>
    <xf xfId="0" borderId="21" fillId="9" fontId="3" numFmtId="0">
      <alignment horizontal="left" vertical="center"/>
    </xf>
    <xf xfId="0" borderId="1" fillId="7" fontId="4" numFmtId="164">
      <alignment horizontal="center" vertical="center"/>
    </xf>
    <xf xfId="0" borderId="1" fillId="12" fontId="4" numFmtId="164">
      <alignment horizontal="center" vertical="center"/>
    </xf>
    <xf xfId="0" borderId="14" fillId="12" fontId="4" numFmtId="164">
      <alignment horizontal="center" vertical="center"/>
    </xf>
    <xf xfId="0" borderId="15" fillId="13" fontId="3" numFmtId="0">
      <alignment horizontal="center" vertical="center"/>
    </xf>
    <xf xfId="0" borderId="15" fillId="12" fontId="4" numFmtId="0">
      <alignment horizontal="center" vertical="center"/>
    </xf>
    <xf xfId="0" borderId="15" fillId="12" fontId="8" numFmtId="164">
      <alignment horizontal="center" vertical="center"/>
    </xf>
    <xf xfId="0" borderId="19" fillId="4" fontId="9" numFmtId="0">
      <alignment vertical="center"/>
    </xf>
    <xf xfId="0" borderId="20" fillId="0" fontId="9" numFmtId="0">
      <alignment vertical="center"/>
    </xf>
    <xf xfId="0" borderId="21" fillId="0" fontId="9" numFmtId="0">
      <alignment vertical="center"/>
    </xf>
    <xf xfId="0" borderId="0" fillId="7" fontId="9" numFmtId="0">
      <alignment vertical="center"/>
    </xf>
  </cellXfs>
  <cellStyles count="1">
    <cellStyle xfId="0" name="Normal" builtinId="0"/>
  </cellStyles>
  <dxfs count="108"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ont>
        <b/>
        <i/>
        <color rgb="FFC2541B"/>
      </font>
      <fill>
        <patternFill>
          <bgColor rgb="FFFBF6EE"/>
        </patternFill>
      </fill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ont>
        <b/>
        <i/>
        <color rgb="FFC2541B"/>
      </font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C2541B"/>
      </font>
      <fill>
        <patternFill/>
      </fill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ont>
        <b/>
        <i/>
        <color rgb="FFC2541B"/>
      </font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ont>
        <b/>
        <i/>
        <color rgb="FFC2541B"/>
      </font>
    </dxf>
    <dxf>
      <fill>
        <patternFill>
          <bgColor rgb="FFF8D9C0"/>
        </patternFill>
      </fill>
    </dxf>
    <dxf>
      <fill>
        <patternFill>
          <bgColor rgb="FFF8D9C0"/>
        </patternFill>
      </fill>
    </dxf>
    <dxf>
      <fill>
        <patternFill>
          <bgColor rgb="FFF8D9C0"/>
        </patternFill>
      </fill>
    </dxf>
    <dxf>
      <fill>
        <patternFill>
          <bgColor rgb="FFF8D9C0"/>
        </patternFill>
      </fill>
    </dxf>
    <dxf>
      <fill>
        <patternFill>
          <bgColor rgb="FFF8D9C0"/>
        </patternFill>
      </fill>
    </dxf>
    <dxf>
      <fill>
        <patternFill>
          <bgColor rgb="FFF8D9C0"/>
        </patternFill>
      </fill>
    </dxf>
    <dxf>
      <font>
        <b/>
        <i/>
        <color rgb="FFC2541B"/>
      </font>
    </dxf>
    <dxf>
      <font>
        <b/>
        <i/>
        <color rgb="FFC2541B"/>
      </font>
    </dxf>
    <dxf>
      <font>
        <b/>
        <i/>
        <color rgb="FFC2541B"/>
      </font>
    </dxf>
    <dxf>
      <font>
        <b/>
        <i/>
        <color rgb="FFC2541B"/>
      </font>
    </dxf>
    <dxf>
      <font>
        <b/>
        <i/>
        <color rgb="FFC2541B"/>
      </font>
    </dxf>
    <dxf>
      <font>
        <b/>
        <i/>
        <color rgb="FFC2541B"/>
      </font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i/>
        <color rgb="FFFFFFFF"/>
      </font>
      <fill>
        <patternFill>
          <bgColor rgb="FF8C3A1B"/>
        </patternFill>
      </fill>
    </dxf>
    <dxf>
      <font>
        <b/>
        <color theme="2"/>
      </font>
      <fill>
        <patternFill>
          <bgColor theme="5"/>
        </patternFill>
      </fill>
    </dxf>
    <dxf>
      <font>
        <b/>
        <color theme="0"/>
      </font>
      <fill>
        <patternFill>
          <bgColor theme="5"/>
        </patternFill>
      </fill>
    </dxf>
    <dxf>
      <font>
        <b/>
        <color theme="0"/>
      </font>
      <fill>
        <patternFill>
          <bgColor theme="5"/>
        </patternFill>
      </fill>
    </dxf>
    <dxf>
      <font>
        <b/>
        <color theme="0"/>
      </font>
      <fill>
        <patternFill>
          <bgColor theme="5"/>
        </patternFill>
      </fill>
    </dxf>
    <dxf>
      <font>
        <b/>
        <color theme="0"/>
      </font>
      <fill>
        <patternFill>
          <bgColor theme="5"/>
        </patternFill>
      </fill>
    </dxf>
    <dxf>
      <font>
        <b/>
        <color theme="0"/>
      </font>
      <fill>
        <patternFill>
          <bgColor theme="5"/>
        </patternFill>
      </fill>
    </dxf>
    <dxf>
      <font>
        <b/>
        <color theme="0"/>
      </font>
      <fill>
        <patternFill>
          <bgColor theme="5"/>
        </patternFill>
      </fill>
    </dxf>
    <dxf>
      <font>
        <b/>
        <color theme="0"/>
      </font>
      <fill>
        <patternFill>
          <bgColor theme="5"/>
        </patternFill>
      </fill>
    </dxf>
    <dxf>
      <font>
        <b/>
        <color theme="0"/>
      </font>
      <fill>
        <patternFill>
          <bgColor theme="5"/>
        </patternFill>
      </fill>
    </dxf>
    <dxf>
      <font>
        <b/>
        <color theme="0"/>
      </font>
      <fill>
        <patternFill>
          <bgColor theme="5"/>
        </patternFill>
      </fill>
    </dxf>
    <dxf>
      <font>
        <b/>
        <color theme="0"/>
      </font>
      <fill>
        <patternFill>
          <bgColor theme="5"/>
        </patternFill>
      </fill>
    </dxf>
    <dxf>
      <font>
        <b/>
        <color theme="0"/>
      </font>
      <fill>
        <patternFill>
          <bgColor theme="5"/>
        </patternFill>
      </fill>
    </dxf>
    <dxf>
      <font>
        <b/>
        <color theme="0"/>
      </font>
      <fill>
        <patternFill>
          <bgColor rgb="FF92d050"/>
        </patternFill>
      </fill>
    </dxf>
    <dxf>
      <font>
        <b/>
        <color theme="0"/>
      </font>
      <fill>
        <patternFill>
          <bgColor rgb="FF92d050"/>
        </patternFill>
      </fill>
    </dxf>
    <dxf>
      <font>
        <b/>
        <color theme="0"/>
      </font>
      <fill>
        <patternFill>
          <bgColor rgb="FF92d050"/>
        </patternFill>
      </fill>
    </dxf>
    <dxf>
      <font>
        <b/>
        <color theme="0"/>
      </font>
      <fill>
        <patternFill>
          <bgColor rgb="FF92d050"/>
        </patternFill>
      </fill>
    </dxf>
    <dxf>
      <font>
        <b/>
        <color theme="0"/>
      </font>
      <fill>
        <patternFill>
          <bgColor rgb="FF92d050"/>
        </patternFill>
      </fill>
    </dxf>
    <dxf>
      <font>
        <b/>
        <color theme="0"/>
      </font>
      <fill>
        <patternFill>
          <bgColor rgb="FF92d050"/>
        </patternFill>
      </fill>
    </dxf>
    <dxf>
      <font>
        <b/>
        <color theme="0"/>
      </font>
      <fill>
        <patternFill>
          <bgColor rgb="FF92d050"/>
        </patternFill>
      </fill>
    </dxf>
    <dxf>
      <font>
        <b/>
        <color theme="0"/>
      </font>
      <fill>
        <patternFill>
          <bgColor rgb="FF92d050"/>
        </patternFill>
      </fill>
    </dxf>
    <dxf>
      <font>
        <b/>
        <color theme="0"/>
      </font>
      <fill>
        <patternFill>
          <bgColor rgb="FF92d050"/>
        </patternFill>
      </fill>
    </dxf>
    <dxf>
      <font>
        <b/>
        <color theme="0"/>
      </font>
      <fill>
        <patternFill>
          <bgColor rgb="FF92d050"/>
        </patternFill>
      </fill>
    </dxf>
    <dxf>
      <font>
        <b/>
        <color theme="0"/>
      </font>
      <fill>
        <patternFill>
          <bgColor rgb="FF92d050"/>
        </patternFill>
      </fill>
    </dxf>
    <dxf>
      <font>
        <b/>
        <color theme="0"/>
      </font>
      <fill>
        <patternFill>
          <bgColor rgb="FF92d050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sheetMetadata" Target="metadata.xml"/><Relationship Id="rId5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arm Theme">
  <a:themeElements>
    <a:clrScheme name="Warm">
      <a:dk1>
        <a:sysClr val="windowText" lastClr="272525"/>
      </a:dk1>
      <a:lt1>
        <a:sysClr val="window" lastClr="FFFFFF"/>
      </a:lt1>
      <a:dk2>
        <a:srgbClr val="2E1D0B"/>
      </a:dk2>
      <a:lt2>
        <a:srgbClr val="FDFAF6"/>
      </a:lt2>
      <a:accent1>
        <a:srgbClr val="C1440E"/>
      </a:accent1>
      <a:accent2>
        <a:srgbClr val="F26800"/>
      </a:accent2>
      <a:accent3>
        <a:srgbClr val="F89D13"/>
      </a:accent3>
      <a:accent4>
        <a:srgbClr val="FFD56F"/>
      </a:accent4>
      <a:accent5>
        <a:srgbClr val="DDA15E"/>
      </a:accent5>
      <a:accent6>
        <a:srgbClr val="8D4B1F"/>
      </a:accent6>
      <a:hlink>
        <a:srgbClr val="4C4B63"/>
      </a:hlink>
      <a:folHlink>
        <a:srgbClr val="9190AD"/>
      </a:folHlink>
    </a:clrScheme>
    <a:fontScheme name="Warm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Warm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Warm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CS419"/>
  <sheetViews>
    <sheetView workbookViewId="0" showGridLines="0" tabSelected="1">
      <selection activeCell="B2" sqref="B2"/>
    </sheetView>
  </sheetViews>
  <cols>
    <col min="1" max="1" width="3.3333333333333335" customWidth="1" style="1"/>
    <col min="2" max="2" width="3.3333333333333335" customWidth="1" style="1"/>
    <col min="3" max="3" width="3.3333333333333335" customWidth="1" style="1"/>
    <col min="4" max="4" width="3.3333333333333335" customWidth="1" style="1"/>
    <col min="5" max="5" width="3.3333333333333335" customWidth="1" style="1"/>
    <col min="6" max="6" width="3.3333333333333335" customWidth="1" style="1"/>
    <col min="7" max="7" width="3.3333333333333335" customWidth="1" style="1"/>
    <col min="8" max="8" width="3.3333333333333335" customWidth="1" style="1"/>
    <col min="9" max="9" width="3.3333333333333335" customWidth="1" style="1"/>
    <col min="10" max="10" width="3.3333333333333335" customWidth="1" style="1"/>
    <col min="11" max="11" width="3.3333333333333335" customWidth="1" style="1"/>
    <col min="12" max="12" width="3.3333333333333335" customWidth="1" style="1"/>
    <col min="13" max="13" width="3.3333333333333335" customWidth="1" style="1"/>
    <col min="14" max="14" width="3.3333333333333335" customWidth="1" style="1"/>
    <col min="15" max="15" width="3.3333333333333335" customWidth="1" style="1"/>
    <col min="16" max="16" width="3.3333333333333335" customWidth="1" style="1"/>
    <col min="17" max="17" width="3.3333333333333335" customWidth="1" style="1"/>
    <col min="18" max="18" width="3.3333333333333335" customWidth="1" style="1"/>
    <col min="19" max="19" width="3.3333333333333335" customWidth="1" style="1"/>
    <col min="20" max="20" width="3.3333333333333335" customWidth="1" style="1"/>
    <col min="21" max="21" width="3.3333333333333335" customWidth="1" style="1"/>
    <col min="22" max="22" width="3.3333333333333335" customWidth="1" style="1"/>
    <col min="23" max="23" width="3.3333333333333335" customWidth="1" style="1"/>
    <col min="24" max="24" width="3.3333333333333335" customWidth="1" style="1"/>
    <col min="25" max="25" width="3.3333333333333335" customWidth="1" style="1"/>
    <col min="26" max="26" width="3.3333333333333335" customWidth="1" style="1"/>
    <col min="27" max="27" width="3.3333333333333335" customWidth="1" style="1"/>
    <col min="28" max="28" width="3.3333333333333335" customWidth="1" style="1"/>
    <col min="29" max="29" width="3.3333333333333335" customWidth="1" style="1"/>
    <col min="30" max="30" width="3.3333333333333335" customWidth="1" style="1"/>
    <col min="31" max="31" width="3.3333333333333335" customWidth="1" style="1"/>
    <col min="32" max="32" width="3.3333333333333335" customWidth="1" style="1"/>
    <col min="33" max="33" width="3.3333333333333335" customWidth="1" style="1"/>
    <col min="34" max="34" width="3.3333333333333335" customWidth="1" style="1"/>
    <col min="35" max="35" width="3.3333333333333335" customWidth="1" style="1"/>
    <col min="36" max="36" width="3.3333333333333335" customWidth="1" style="1"/>
    <col min="37" max="37" width="3.3333333333333335" customWidth="1" style="1"/>
    <col min="38" max="38" width="3.3333333333333335" customWidth="1" style="1"/>
    <col min="39" max="39" width="3.3333333333333335" customWidth="1" style="1"/>
    <col min="40" max="40" width="3.3333333333333335" customWidth="1" style="1"/>
    <col min="41" max="41" width="3.3333333333333335" customWidth="1" style="1"/>
    <col min="42" max="42" width="3.3333333333333335" customWidth="1" style="1"/>
    <col min="43" max="43" width="3.3333333333333335" customWidth="1" style="1"/>
    <col min="44" max="44" width="3.3333333333333335" customWidth="1" style="1"/>
    <col min="45" max="45" width="3.3333333333333335" customWidth="1" style="1"/>
    <col min="46" max="46" width="3.3333333333333335" customWidth="1" style="1"/>
    <col min="47" max="47" width="3.3333333333333335" customWidth="1" style="1"/>
    <col min="48" max="48" width="3.3333333333333335" customWidth="1" style="1"/>
    <col min="49" max="49" width="3.3333333333333335" customWidth="1" style="1"/>
    <col min="50" max="50" width="3.3333333333333335" customWidth="1" style="1"/>
    <col min="51" max="51" width="3.3333333333333335" customWidth="1" style="1"/>
    <col min="52" max="52" width="3.3333333333333335" customWidth="1" style="1"/>
    <col min="53" max="53" width="3.3333333333333335" customWidth="1" style="1"/>
    <col min="54" max="54" width="3.3333333333333335" customWidth="1" style="1"/>
    <col min="55" max="55" width="3.3333333333333335" customWidth="1" style="1"/>
    <col min="56" max="56" width="3.3333333333333335" customWidth="1" style="1"/>
    <col min="57" max="57" width="3.3333333333333335" customWidth="1" style="1"/>
    <col min="58" max="58" width="3.3333333333333335" customWidth="1" style="1"/>
    <col min="59" max="59" width="3.3333333333333335" customWidth="1" style="1"/>
    <col min="60" max="60" width="3.3333333333333335" customWidth="1" style="1"/>
    <col min="61" max="61" width="3.3333333333333335" customWidth="1" style="1"/>
    <col min="62" max="62" width="3.3333333333333335" customWidth="1" style="1"/>
    <col min="63" max="63" width="3.3333333333333335" customWidth="1" style="1"/>
    <col min="64" max="64" width="3.3333333333333335" customWidth="1" style="1"/>
    <col min="65" max="65" width="3.3333333333333335" customWidth="1" style="1"/>
    <col min="66" max="66" width="3.3333333333333335" customWidth="1" style="1"/>
    <col min="67" max="67" width="3.3333333333333335" customWidth="1" style="1"/>
    <col min="68" max="68" width="3.3333333333333335" customWidth="1" style="1"/>
    <col min="69" max="69" width="3.3333333333333335" customWidth="1" style="1"/>
    <col min="70" max="70" width="3.3333333333333335" customWidth="1" style="1"/>
    <col min="71" max="71" width="3.3333333333333335" customWidth="1" style="1"/>
    <col min="72" max="72" width="3.3333333333333335" customWidth="1" style="1"/>
    <col min="73" max="73" width="3.3333333333333335" customWidth="1" style="1"/>
    <col min="74" max="74" width="3.3333333333333335" customWidth="1" style="1"/>
    <col min="75" max="75" width="3.3333333333333335" customWidth="1" style="1"/>
    <col min="76" max="76" width="3.3333333333333335" customWidth="1" style="1"/>
    <col min="77" max="77" width="3.3333333333333335" customWidth="1" style="1"/>
    <col min="78" max="78" width="3.3333333333333335" customWidth="1" style="1"/>
    <col min="79" max="79" width="3.3333333333333335" customWidth="1" style="1"/>
    <col min="80" max="80" width="3.3333333333333335" customWidth="1" style="1"/>
    <col min="81" max="81" width="3.3333333333333335" customWidth="1" style="1"/>
    <col min="82" max="82" width="3.3333333333333335" customWidth="1" style="1"/>
    <col min="83" max="83" width="3.3333333333333335" customWidth="1" style="1"/>
    <col min="84" max="84" width="3.3333333333333335" customWidth="1" style="1"/>
    <col min="85" max="85" width="3.3333333333333335" customWidth="1" style="1"/>
    <col min="86" max="86" width="3.3333333333333335" customWidth="1" style="1"/>
    <col min="87" max="87" width="3.3333333333333335" customWidth="1" style="1"/>
    <col min="88" max="88" width="3.3333333333333335" customWidth="1" style="1"/>
    <col min="89" max="89" width="3.3333333333333335" customWidth="1" style="1"/>
    <col min="90" max="90" width="3.3333333333333335" customWidth="1" style="1"/>
    <col min="91" max="91" width="3.3333333333333335" customWidth="1" style="1"/>
    <col min="92" max="92" width="3.3333333333333335" customWidth="1" style="1"/>
    <col min="93" max="93" width="3.3333333333333335" customWidth="1" style="1"/>
    <col min="94" max="94" width="3.3333333333333335" customWidth="1" style="1"/>
    <col min="95" max="95" width="3.3333333333333335" customWidth="1" style="1"/>
    <col min="96" max="96" width="3.3333333333333335" customWidth="1" style="1"/>
    <col min="97" max="97" width="3.3333333333333335" customWidth="1" style="1"/>
    <col min="98" max="16384" width="4.33203125" customWidth="0" style="1"/>
  </cols>
  <sheetData>
    <row r="1" s="0" ht="19.2" customHeight="1" customFormat="0">
      <c r="A1" s="41"/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41"/>
      <c r="CD1" s="41"/>
      <c r="CE1" s="41"/>
      <c r="CF1" s="41"/>
      <c r="CG1" s="41"/>
      <c r="CH1" s="41"/>
      <c r="CI1" s="41"/>
      <c r="CJ1" s="41"/>
      <c r="CK1" s="41"/>
      <c r="CL1" s="41"/>
      <c r="CM1" s="41"/>
      <c r="CN1" s="41"/>
      <c r="CO1" s="41"/>
      <c r="CP1" s="41"/>
      <c r="CQ1" s="41"/>
      <c r="CR1" s="41"/>
      <c r="CS1" s="41"/>
    </row>
    <row r="2" s="0" ht="23.04" customHeight="1" customFormat="0">
      <c r="A2" s="41"/>
      <c r="B2" s="42">
        <f>YEAR(TODAY())</f>
        <v>2026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1"/>
      <c r="AL2" s="41"/>
      <c r="AM2" s="41"/>
      <c r="AN2" s="41"/>
      <c r="AO2" s="41"/>
      <c r="AP2" s="41"/>
      <c r="AQ2" s="41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41"/>
      <c r="CH2" s="41"/>
      <c r="CI2" s="41"/>
      <c r="CJ2" s="41"/>
      <c r="CK2" s="41"/>
      <c r="CL2" s="41"/>
      <c r="CM2" s="41"/>
      <c r="CN2" s="41"/>
      <c r="CO2" s="41"/>
      <c r="CP2" s="41"/>
      <c r="CQ2" s="41"/>
      <c r="CR2" s="41"/>
      <c r="CS2" s="41"/>
    </row>
    <row r="3" s="0" ht="19.2" customHeight="1" customFormat="0">
      <c r="A3" s="41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  <c r="CD3" s="41"/>
      <c r="CE3" s="41"/>
      <c r="CF3" s="41"/>
      <c r="CG3" s="41"/>
      <c r="CH3" s="41"/>
      <c r="CI3" s="41"/>
      <c r="CJ3" s="41"/>
      <c r="CK3" s="41"/>
      <c r="CL3" s="41"/>
      <c r="CM3" s="41"/>
      <c r="CN3" s="41"/>
      <c r="CO3" s="41"/>
      <c r="CP3" s="41"/>
      <c r="CQ3" s="41"/>
      <c r="CR3" s="41"/>
      <c r="CS3" s="41"/>
    </row>
    <row r="4" s="0" ht="19.2" customHeight="1" customFormat="0">
      <c r="A4" s="43"/>
      <c r="B4" t="str" s="44">
        <f>CHOOSE(1,"January","February","March","April","May","June","July","August","September","October","November","December")</f>
        <v>January</v>
      </c>
      <c r="C4" s="44"/>
      <c r="D4" s="44"/>
      <c r="E4" s="44"/>
      <c r="F4" s="44"/>
      <c r="G4" s="44"/>
      <c r="H4" s="44"/>
      <c r="I4" s="45"/>
      <c r="J4" t="str" s="44">
        <f>CHOOSE(2,"January","February","March","April","May","June","July","August","September","October","November","December")</f>
        <v>February</v>
      </c>
      <c r="K4" s="44"/>
      <c r="L4" s="44"/>
      <c r="M4" s="44"/>
      <c r="N4" s="44"/>
      <c r="O4" s="44"/>
      <c r="P4" s="44"/>
      <c r="Q4" s="45"/>
      <c r="R4" t="str" s="44">
        <f>CHOOSE(3,"January","February","March","April","May","June","July","August","September","October","November","December")</f>
        <v>March</v>
      </c>
      <c r="S4" s="44"/>
      <c r="T4" s="44"/>
      <c r="U4" s="44"/>
      <c r="V4" s="44"/>
      <c r="W4" s="44"/>
      <c r="X4" s="44"/>
      <c r="Y4" s="45"/>
      <c r="Z4" t="str" s="44">
        <f>CHOOSE(4,"January","February","March","April","May","June","July","August","September","October","November","December")</f>
        <v>April</v>
      </c>
      <c r="AA4" s="44"/>
      <c r="AB4" s="44"/>
      <c r="AC4" s="44"/>
      <c r="AD4" s="44"/>
      <c r="AE4" s="44"/>
      <c r="AF4" s="44"/>
      <c r="AG4" s="46"/>
      <c r="AH4" t="str" s="44">
        <f>CHOOSE(5,"January","February","March","April","May","June","July","August","September","October","November","December")</f>
        <v>May</v>
      </c>
      <c r="AI4" s="44"/>
      <c r="AJ4" s="44"/>
      <c r="AK4" s="44"/>
      <c r="AL4" s="44"/>
      <c r="AM4" s="44"/>
      <c r="AN4" s="44"/>
      <c r="AO4" s="45"/>
      <c r="AP4" t="str" s="44">
        <f>CHOOSE(6,"January","February","March","April","May","June","July","August","September","October","November","December")</f>
        <v>June</v>
      </c>
      <c r="AQ4" s="44"/>
      <c r="AR4" s="44"/>
      <c r="AS4" s="44"/>
      <c r="AT4" s="44"/>
      <c r="AU4" s="44"/>
      <c r="AV4" s="44"/>
      <c r="AW4" s="45"/>
      <c r="AX4" t="str" s="44">
        <f>CHOOSE(7,"January","February","March","April","May","June","July","August","September","October","November","December")</f>
        <v>July</v>
      </c>
      <c r="AY4" s="44"/>
      <c r="AZ4" s="44"/>
      <c r="BA4" s="44"/>
      <c r="BB4" s="44"/>
      <c r="BC4" s="44"/>
      <c r="BD4" s="44"/>
      <c r="BE4" s="45"/>
      <c r="BF4" t="str" s="44">
        <f>CHOOSE(8,"January","February","March","April","May","June","July","August","September","October","November","December")</f>
        <v>August</v>
      </c>
      <c r="BG4" s="44"/>
      <c r="BH4" s="44"/>
      <c r="BI4" s="44"/>
      <c r="BJ4" s="44"/>
      <c r="BK4" s="44"/>
      <c r="BL4" s="44"/>
      <c r="BM4" s="45"/>
      <c r="BN4" t="str" s="44">
        <f>CHOOSE(9,"January","February","March","April","May","June","July","August","September","October","November","December")</f>
        <v>September</v>
      </c>
      <c r="BO4" s="44"/>
      <c r="BP4" s="44"/>
      <c r="BQ4" s="44"/>
      <c r="BR4" s="44"/>
      <c r="BS4" s="44"/>
      <c r="BT4" s="44"/>
      <c r="BU4" s="45"/>
      <c r="BV4" t="str" s="44">
        <f>CHOOSE(10,"January","February","March","April","May","June","July","August","September","October","November","December")</f>
        <v>October</v>
      </c>
      <c r="BW4" s="44"/>
      <c r="BX4" s="44"/>
      <c r="BY4" s="44"/>
      <c r="BZ4" s="44"/>
      <c r="CA4" s="44"/>
      <c r="CB4" s="44"/>
      <c r="CC4" s="45"/>
      <c r="CD4" t="str" s="44">
        <f>CHOOSE(11,"January","February","March","April","May","June","July","August","September","October","November","December")</f>
        <v>November</v>
      </c>
      <c r="CE4" s="44"/>
      <c r="CF4" s="44"/>
      <c r="CG4" s="44"/>
      <c r="CH4" s="44"/>
      <c r="CI4" s="44"/>
      <c r="CJ4" s="44"/>
      <c r="CK4" s="45"/>
      <c r="CL4" t="str" s="44">
        <f>CHOOSE(12,"January","February","March","April","May","June","July","August","September","October","November","December")</f>
        <v>December</v>
      </c>
      <c r="CM4" s="44"/>
      <c r="CN4" s="44"/>
      <c r="CO4" s="44"/>
      <c r="CP4" s="44"/>
      <c r="CQ4" s="44"/>
      <c r="CR4" s="44"/>
      <c r="CS4" s="41"/>
    </row>
    <row r="5" s="0" ht="19.2" customHeight="1" customFormat="0">
      <c r="A5" s="41"/>
      <c r="B5" t="s" s="61">
        <v>0</v>
      </c>
      <c r="C5" t="s" s="61">
        <v>1</v>
      </c>
      <c r="D5" t="s" s="61">
        <v>2</v>
      </c>
      <c r="E5" t="s" s="61">
        <v>1</v>
      </c>
      <c r="F5" t="s" s="61">
        <v>3</v>
      </c>
      <c r="G5" t="s" s="81">
        <v>4</v>
      </c>
      <c r="H5" t="s" s="81">
        <v>4</v>
      </c>
      <c r="I5" s="41"/>
      <c r="J5" t="s" s="61">
        <v>0</v>
      </c>
      <c r="K5" t="s" s="61">
        <v>1</v>
      </c>
      <c r="L5" t="s" s="61">
        <v>2</v>
      </c>
      <c r="M5" t="s" s="61">
        <v>1</v>
      </c>
      <c r="N5" t="s" s="61">
        <v>3</v>
      </c>
      <c r="O5" t="s" s="81">
        <v>4</v>
      </c>
      <c r="P5" t="s" s="81">
        <v>4</v>
      </c>
      <c r="Q5" s="41"/>
      <c r="R5" t="s" s="61">
        <v>0</v>
      </c>
      <c r="S5" t="s" s="61">
        <v>1</v>
      </c>
      <c r="T5" t="s" s="61">
        <v>2</v>
      </c>
      <c r="U5" t="s" s="61">
        <v>1</v>
      </c>
      <c r="V5" t="s" s="61">
        <v>3</v>
      </c>
      <c r="W5" t="s" s="81">
        <v>4</v>
      </c>
      <c r="X5" t="s" s="81">
        <v>4</v>
      </c>
      <c r="Y5" s="41"/>
      <c r="Z5" t="s" s="61">
        <v>0</v>
      </c>
      <c r="AA5" t="s" s="61">
        <v>1</v>
      </c>
      <c r="AB5" t="s" s="61">
        <v>2</v>
      </c>
      <c r="AC5" t="s" s="61">
        <v>1</v>
      </c>
      <c r="AD5" t="s" s="61">
        <v>3</v>
      </c>
      <c r="AE5" t="s" s="81">
        <v>4</v>
      </c>
      <c r="AF5" t="s" s="81">
        <v>4</v>
      </c>
      <c r="AG5" s="41"/>
      <c r="AH5" t="s" s="61">
        <v>0</v>
      </c>
      <c r="AI5" t="s" s="61">
        <v>1</v>
      </c>
      <c r="AJ5" t="s" s="61">
        <v>2</v>
      </c>
      <c r="AK5" t="s" s="61">
        <v>1</v>
      </c>
      <c r="AL5" t="s" s="61">
        <v>3</v>
      </c>
      <c r="AM5" t="s" s="81">
        <v>4</v>
      </c>
      <c r="AN5" t="s" s="81">
        <v>4</v>
      </c>
      <c r="AO5" s="41"/>
      <c r="AP5" t="s" s="61">
        <v>0</v>
      </c>
      <c r="AQ5" t="s" s="61">
        <v>1</v>
      </c>
      <c r="AR5" t="s" s="61">
        <v>2</v>
      </c>
      <c r="AS5" t="s" s="61">
        <v>1</v>
      </c>
      <c r="AT5" t="s" s="61">
        <v>3</v>
      </c>
      <c r="AU5" t="s" s="81">
        <v>4</v>
      </c>
      <c r="AV5" t="s" s="81">
        <v>4</v>
      </c>
      <c r="AW5" s="41"/>
      <c r="AX5" t="s" s="61">
        <v>0</v>
      </c>
      <c r="AY5" t="s" s="61">
        <v>1</v>
      </c>
      <c r="AZ5" t="s" s="61">
        <v>2</v>
      </c>
      <c r="BA5" t="s" s="61">
        <v>1</v>
      </c>
      <c r="BB5" t="s" s="61">
        <v>3</v>
      </c>
      <c r="BC5" t="s" s="81">
        <v>4</v>
      </c>
      <c r="BD5" t="s" s="81">
        <v>4</v>
      </c>
      <c r="BE5" s="41"/>
      <c r="BF5" t="s" s="61">
        <v>0</v>
      </c>
      <c r="BG5" t="s" s="61">
        <v>1</v>
      </c>
      <c r="BH5" t="s" s="61">
        <v>2</v>
      </c>
      <c r="BI5" t="s" s="61">
        <v>1</v>
      </c>
      <c r="BJ5" t="s" s="61">
        <v>3</v>
      </c>
      <c r="BK5" t="s" s="81">
        <v>4</v>
      </c>
      <c r="BL5" t="s" s="81">
        <v>4</v>
      </c>
      <c r="BM5" s="41"/>
      <c r="BN5" t="s" s="61">
        <v>0</v>
      </c>
      <c r="BO5" t="s" s="61">
        <v>1</v>
      </c>
      <c r="BP5" t="s" s="61">
        <v>2</v>
      </c>
      <c r="BQ5" t="s" s="61">
        <v>1</v>
      </c>
      <c r="BR5" t="s" s="61">
        <v>3</v>
      </c>
      <c r="BS5" t="s" s="81">
        <v>4</v>
      </c>
      <c r="BT5" t="s" s="81">
        <v>4</v>
      </c>
      <c r="BU5" s="41"/>
      <c r="BV5" t="s" s="61">
        <v>0</v>
      </c>
      <c r="BW5" t="s" s="61">
        <v>1</v>
      </c>
      <c r="BX5" t="s" s="61">
        <v>2</v>
      </c>
      <c r="BY5" t="s" s="61">
        <v>1</v>
      </c>
      <c r="BZ5" t="s" s="61">
        <v>3</v>
      </c>
      <c r="CA5" t="s" s="81">
        <v>4</v>
      </c>
      <c r="CB5" t="s" s="81">
        <v>4</v>
      </c>
      <c r="CC5" s="41"/>
      <c r="CD5" t="s" s="61">
        <v>0</v>
      </c>
      <c r="CE5" t="s" s="61">
        <v>1</v>
      </c>
      <c r="CF5" t="s" s="61">
        <v>2</v>
      </c>
      <c r="CG5" t="s" s="61">
        <v>1</v>
      </c>
      <c r="CH5" t="s" s="61">
        <v>3</v>
      </c>
      <c r="CI5" t="s" s="81">
        <v>4</v>
      </c>
      <c r="CJ5" t="s" s="81">
        <v>4</v>
      </c>
      <c r="CK5" s="41"/>
      <c r="CL5" t="s" s="61">
        <v>0</v>
      </c>
      <c r="CM5" t="s" s="61">
        <v>1</v>
      </c>
      <c r="CN5" t="s" s="61">
        <v>2</v>
      </c>
      <c r="CO5" t="s" s="61">
        <v>1</v>
      </c>
      <c r="CP5" t="s" s="61">
        <v>3</v>
      </c>
      <c r="CQ5" t="s" s="81">
        <v>4</v>
      </c>
      <c r="CR5" t="s" s="81">
        <v>4</v>
      </c>
      <c r="CS5" s="41"/>
    </row>
    <row r="6" s="0" ht="19.2" customHeight="1" customFormat="0">
      <c r="A6" s="43"/>
      <c r="B6" s="39" t="str" cm="1">
        <f t="array" ref="B6:H11">_xlfn.LET(mo,1,yr,$B$2,anchor,DATE(yr,mo,1),first_mon,anchor-(WEEKDAY(anchor,2)-1),grid,_xlfn.SEQUENCE(6,7,0),d,first_mon+grid,IF(MONTH(d)=mo,DAY(d),""))</f>
        <v/>
      </c>
      <c r="C6" t="str" s="39">
        <v/>
      </c>
      <c r="D6" t="str" s="39">
        <v/>
      </c>
      <c r="E6" s="39">
        <v>1</v>
      </c>
      <c r="F6" s="39">
        <v>2</v>
      </c>
      <c r="G6" s="82">
        <v>3</v>
      </c>
      <c r="H6" s="82">
        <v>4</v>
      </c>
      <c r="I6" s="41"/>
      <c r="J6" s="39" t="str" cm="1">
        <f t="array" ref="J6:P11">_xlfn.LET(mo,2,yr,$B$2,anchor,DATE(yr,mo,1),first_mon,anchor-(WEEKDAY(anchor,2)-1),grid,_xlfn.SEQUENCE(6,7,0),d,first_mon+grid,IF(MONTH(d)=mo,DAY(d),""))</f>
        <v/>
      </c>
      <c r="K6" t="str" s="39">
        <v/>
      </c>
      <c r="L6" t="str" s="39">
        <v/>
      </c>
      <c r="M6" t="str" s="39">
        <v/>
      </c>
      <c r="N6" t="str" s="39">
        <v/>
      </c>
      <c r="O6" t="str" s="82">
        <v/>
      </c>
      <c r="P6" s="82">
        <v>1</v>
      </c>
      <c r="Q6" s="41"/>
      <c r="R6" s="39" t="str" cm="1">
        <f t="array" ref="R6:X11">_xlfn.LET(mo,3,yr,$B$2,anchor,DATE(yr,mo,1),first_mon,anchor-(WEEKDAY(anchor,2)-1),grid,_xlfn.SEQUENCE(6,7,0),d,first_mon+grid,IF(MONTH(d)=mo,DAY(d),""))</f>
        <v/>
      </c>
      <c r="S6" t="str" s="39">
        <v/>
      </c>
      <c r="T6" t="str" s="39">
        <v/>
      </c>
      <c r="U6" t="str" s="39">
        <v/>
      </c>
      <c r="V6" t="str" s="39">
        <v/>
      </c>
      <c r="W6" t="str" s="82">
        <v/>
      </c>
      <c r="X6" s="82">
        <v>1</v>
      </c>
      <c r="Y6" s="41"/>
      <c r="Z6" s="39" t="str" cm="1">
        <f t="array" ref="Z6:AF11">_xlfn.LET(mo,4,yr,$B$2,anchor,DATE(yr,mo,1),first_mon,anchor-(WEEKDAY(anchor,2)-1),grid,_xlfn.SEQUENCE(6,7,0),d,first_mon+grid,IF(MONTH(d)=mo,DAY(d),""))</f>
        <v/>
      </c>
      <c r="AA6" t="str" s="39">
        <v/>
      </c>
      <c r="AB6" s="39">
        <v>1</v>
      </c>
      <c r="AC6" s="39">
        <v>2</v>
      </c>
      <c r="AD6" s="39">
        <v>3</v>
      </c>
      <c r="AE6" s="82">
        <v>4</v>
      </c>
      <c r="AF6" s="82">
        <v>5</v>
      </c>
      <c r="AG6" s="43"/>
      <c r="AH6" s="39" t="str" cm="1">
        <f t="array" ref="AH6:AN11">_xlfn.LET(mo,5,yr,$B$2,anchor,DATE(yr,mo,1),first_mon,anchor-(WEEKDAY(anchor,2)-1),grid,_xlfn.SEQUENCE(6,7,0),d,first_mon+grid,IF(MONTH(d)=mo,DAY(d),""))</f>
        <v/>
      </c>
      <c r="AI6" t="str" s="39">
        <v/>
      </c>
      <c r="AJ6" t="str" s="39">
        <v/>
      </c>
      <c r="AK6" t="str" s="39">
        <v/>
      </c>
      <c r="AL6" s="39">
        <v>1</v>
      </c>
      <c r="AM6" s="82">
        <v>2</v>
      </c>
      <c r="AN6" s="82">
        <v>3</v>
      </c>
      <c r="AO6" s="41"/>
      <c r="AP6" s="39" cm="1">
        <f t="array" ref="AP6:AV11">_xlfn.LET(mo,6,yr,$B$2,anchor,DATE(yr,mo,1),first_mon,anchor-(WEEKDAY(anchor,2)-1),grid,_xlfn.SEQUENCE(6,7,0),d,first_mon+grid,IF(MONTH(d)=mo,DAY(d),""))</f>
        <v>1</v>
      </c>
      <c r="AQ6" s="39">
        <v>2</v>
      </c>
      <c r="AR6" s="39">
        <v>3</v>
      </c>
      <c r="AS6" s="39">
        <v>4</v>
      </c>
      <c r="AT6" s="39">
        <v>5</v>
      </c>
      <c r="AU6" s="82">
        <v>6</v>
      </c>
      <c r="AV6" s="82">
        <v>7</v>
      </c>
      <c r="AW6" s="41"/>
      <c r="AX6" s="39" t="str" cm="1">
        <f t="array" ref="AX6:BD11">_xlfn.LET(mo,7,yr,$B$2,anchor,DATE(yr,mo,1),first_mon,anchor-(WEEKDAY(anchor,2)-1),grid,_xlfn.SEQUENCE(6,7,0),d,first_mon+grid,IF(MONTH(d)=mo,DAY(d),""))</f>
        <v/>
      </c>
      <c r="AY6" t="str" s="39">
        <v/>
      </c>
      <c r="AZ6" s="39">
        <v>1</v>
      </c>
      <c r="BA6" s="39">
        <v>2</v>
      </c>
      <c r="BB6" s="39">
        <v>3</v>
      </c>
      <c r="BC6" s="82">
        <v>4</v>
      </c>
      <c r="BD6" s="82">
        <v>5</v>
      </c>
      <c r="BE6" s="41"/>
      <c r="BF6" s="39" t="str" cm="1">
        <f t="array" ref="BF6:BL11">_xlfn.LET(mo,8,yr,$B$2,anchor,DATE(yr,mo,1),first_mon,anchor-(WEEKDAY(anchor,2)-1),grid,_xlfn.SEQUENCE(6,7,0),d,first_mon+grid,IF(MONTH(d)=mo,DAY(d),""))</f>
        <v/>
      </c>
      <c r="BG6" t="str" s="39">
        <v/>
      </c>
      <c r="BH6" t="str" s="39">
        <v/>
      </c>
      <c r="BI6" t="str" s="39">
        <v/>
      </c>
      <c r="BJ6" t="str" s="39">
        <v/>
      </c>
      <c r="BK6" s="82">
        <v>1</v>
      </c>
      <c r="BL6" s="82">
        <v>2</v>
      </c>
      <c r="BM6" s="41"/>
      <c r="BN6" s="39" t="str" cm="1">
        <f t="array" ref="BN6:BT11">_xlfn.LET(mo,9,yr,$B$2,anchor,DATE(yr,mo,1),first_mon,anchor-(WEEKDAY(anchor,2)-1),grid,_xlfn.SEQUENCE(6,7,0),d,first_mon+grid,IF(MONTH(d)=mo,DAY(d),""))</f>
        <v/>
      </c>
      <c r="BO6" s="39">
        <v>1</v>
      </c>
      <c r="BP6" s="39">
        <v>2</v>
      </c>
      <c r="BQ6" s="39">
        <v>3</v>
      </c>
      <c r="BR6" s="39">
        <v>4</v>
      </c>
      <c r="BS6" s="82">
        <v>5</v>
      </c>
      <c r="BT6" s="82">
        <v>6</v>
      </c>
      <c r="BU6" s="41"/>
      <c r="BV6" s="39" t="str" cm="1">
        <f t="array" ref="BV6:CB11">_xlfn.LET(mo,10,yr,$B$2,anchor,DATE(yr,mo,1),first_mon,anchor-(WEEKDAY(anchor,2)-1),grid,_xlfn.SEQUENCE(6,7,0),d,first_mon+grid,IF(MONTH(d)=mo,DAY(d),""))</f>
        <v/>
      </c>
      <c r="BW6" t="str" s="39">
        <v/>
      </c>
      <c r="BX6" t="str" s="39">
        <v/>
      </c>
      <c r="BY6" s="39">
        <v>1</v>
      </c>
      <c r="BZ6" s="39">
        <v>2</v>
      </c>
      <c r="CA6" s="82">
        <v>3</v>
      </c>
      <c r="CB6" s="82">
        <v>4</v>
      </c>
      <c r="CC6" s="41"/>
      <c r="CD6" s="39" t="str" cm="1">
        <f t="array" ref="CD6:CJ11">_xlfn.LET(mo,11,yr,$B$2,anchor,DATE(yr,mo,1),first_mon,anchor-(WEEKDAY(anchor,2)-1),grid,_xlfn.SEQUENCE(6,7,0),d,first_mon+grid,IF(MONTH(d)=mo,DAY(d),""))</f>
        <v/>
      </c>
      <c r="CE6" t="str" s="39">
        <v/>
      </c>
      <c r="CF6" t="str" s="39">
        <v/>
      </c>
      <c r="CG6" t="str" s="39">
        <v/>
      </c>
      <c r="CH6" t="str" s="39">
        <v/>
      </c>
      <c r="CI6" t="str" s="82">
        <v/>
      </c>
      <c r="CJ6" s="82">
        <v>1</v>
      </c>
      <c r="CK6" s="41"/>
      <c r="CL6" s="39" t="str" cm="1">
        <f t="array" ref="CL6:CR11">_xlfn.LET(mo,12,yr,$B$2,anchor,DATE(yr,mo,1),first_mon,anchor-(WEEKDAY(anchor,2)-1),grid,_xlfn.SEQUENCE(6,7,0),d,first_mon+grid,IF(MONTH(d)=mo,DAY(d),""))</f>
        <v/>
      </c>
      <c r="CM6" s="39">
        <v>1</v>
      </c>
      <c r="CN6" s="39">
        <v>2</v>
      </c>
      <c r="CO6" s="39">
        <v>3</v>
      </c>
      <c r="CP6" s="39">
        <v>4</v>
      </c>
      <c r="CQ6" s="82">
        <v>5</v>
      </c>
      <c r="CR6" s="82">
        <v>6</v>
      </c>
      <c r="CS6" s="41"/>
    </row>
    <row r="7" s="0" ht="19.2" customHeight="1" customFormat="0">
      <c r="A7" s="41"/>
      <c r="B7" s="39">
        <v>5</v>
      </c>
      <c r="C7" s="39">
        <v>6</v>
      </c>
      <c r="D7" s="39">
        <v>7</v>
      </c>
      <c r="E7" s="39">
        <v>8</v>
      </c>
      <c r="F7" s="39">
        <v>9</v>
      </c>
      <c r="G7" s="82">
        <v>10</v>
      </c>
      <c r="H7" s="82">
        <v>11</v>
      </c>
      <c r="I7" s="41"/>
      <c r="J7" s="39">
        <v>2</v>
      </c>
      <c r="K7" s="39">
        <v>3</v>
      </c>
      <c r="L7" s="39">
        <v>4</v>
      </c>
      <c r="M7" s="39">
        <v>5</v>
      </c>
      <c r="N7" s="39">
        <v>6</v>
      </c>
      <c r="O7" s="82">
        <v>7</v>
      </c>
      <c r="P7" s="82">
        <v>8</v>
      </c>
      <c r="Q7" s="41"/>
      <c r="R7" s="39">
        <v>2</v>
      </c>
      <c r="S7" s="39">
        <v>3</v>
      </c>
      <c r="T7" s="39">
        <v>4</v>
      </c>
      <c r="U7" s="39">
        <v>5</v>
      </c>
      <c r="V7" s="39">
        <v>6</v>
      </c>
      <c r="W7" s="82">
        <v>7</v>
      </c>
      <c r="X7" s="82">
        <v>8</v>
      </c>
      <c r="Y7" s="41"/>
      <c r="Z7" s="39">
        <v>6</v>
      </c>
      <c r="AA7" s="39">
        <v>7</v>
      </c>
      <c r="AB7" s="39">
        <v>8</v>
      </c>
      <c r="AC7" s="39">
        <v>9</v>
      </c>
      <c r="AD7" s="39">
        <v>10</v>
      </c>
      <c r="AE7" s="82">
        <v>11</v>
      </c>
      <c r="AF7" s="82">
        <v>12</v>
      </c>
      <c r="AG7" s="41"/>
      <c r="AH7" s="39">
        <v>4</v>
      </c>
      <c r="AI7" s="39">
        <v>5</v>
      </c>
      <c r="AJ7" s="39">
        <v>6</v>
      </c>
      <c r="AK7" s="39">
        <v>7</v>
      </c>
      <c r="AL7" s="39">
        <v>8</v>
      </c>
      <c r="AM7" s="82">
        <v>9</v>
      </c>
      <c r="AN7" s="82">
        <v>10</v>
      </c>
      <c r="AO7" s="41"/>
      <c r="AP7" s="39">
        <v>8</v>
      </c>
      <c r="AQ7" s="39">
        <v>9</v>
      </c>
      <c r="AR7" s="39">
        <v>10</v>
      </c>
      <c r="AS7" s="39">
        <v>11</v>
      </c>
      <c r="AT7" s="39">
        <v>12</v>
      </c>
      <c r="AU7" s="82">
        <v>13</v>
      </c>
      <c r="AV7" s="82">
        <v>14</v>
      </c>
      <c r="AW7" s="41"/>
      <c r="AX7" s="39">
        <v>6</v>
      </c>
      <c r="AY7" s="39">
        <v>7</v>
      </c>
      <c r="AZ7" s="39">
        <v>8</v>
      </c>
      <c r="BA7" s="39">
        <v>9</v>
      </c>
      <c r="BB7" s="39">
        <v>10</v>
      </c>
      <c r="BC7" s="82">
        <v>11</v>
      </c>
      <c r="BD7" s="82">
        <v>12</v>
      </c>
      <c r="BE7" s="41"/>
      <c r="BF7" s="39">
        <v>3</v>
      </c>
      <c r="BG7" s="39">
        <v>4</v>
      </c>
      <c r="BH7" s="39">
        <v>5</v>
      </c>
      <c r="BI7" s="39">
        <v>6</v>
      </c>
      <c r="BJ7" s="39">
        <v>7</v>
      </c>
      <c r="BK7" s="82">
        <v>8</v>
      </c>
      <c r="BL7" s="82">
        <v>9</v>
      </c>
      <c r="BM7" s="41"/>
      <c r="BN7" s="39">
        <v>7</v>
      </c>
      <c r="BO7" s="39">
        <v>8</v>
      </c>
      <c r="BP7" s="39">
        <v>9</v>
      </c>
      <c r="BQ7" s="39">
        <v>10</v>
      </c>
      <c r="BR7" s="39">
        <v>11</v>
      </c>
      <c r="BS7" s="82">
        <v>12</v>
      </c>
      <c r="BT7" s="82">
        <v>13</v>
      </c>
      <c r="BU7" s="41"/>
      <c r="BV7" s="39">
        <v>5</v>
      </c>
      <c r="BW7" s="39">
        <v>6</v>
      </c>
      <c r="BX7" s="39">
        <v>7</v>
      </c>
      <c r="BY7" s="39">
        <v>8</v>
      </c>
      <c r="BZ7" s="39">
        <v>9</v>
      </c>
      <c r="CA7" s="82">
        <v>10</v>
      </c>
      <c r="CB7" s="82">
        <v>11</v>
      </c>
      <c r="CC7" s="41"/>
      <c r="CD7" s="39">
        <v>2</v>
      </c>
      <c r="CE7" s="39">
        <v>3</v>
      </c>
      <c r="CF7" s="39">
        <v>4</v>
      </c>
      <c r="CG7" s="39">
        <v>5</v>
      </c>
      <c r="CH7" s="39">
        <v>6</v>
      </c>
      <c r="CI7" s="82">
        <v>7</v>
      </c>
      <c r="CJ7" s="82">
        <v>8</v>
      </c>
      <c r="CK7" s="41"/>
      <c r="CL7" s="39">
        <v>7</v>
      </c>
      <c r="CM7" s="39">
        <v>8</v>
      </c>
      <c r="CN7" s="39">
        <v>9</v>
      </c>
      <c r="CO7" s="39">
        <v>10</v>
      </c>
      <c r="CP7" s="39">
        <v>11</v>
      </c>
      <c r="CQ7" s="82">
        <v>12</v>
      </c>
      <c r="CR7" s="82">
        <v>13</v>
      </c>
      <c r="CS7" s="41"/>
    </row>
    <row r="8" s="0" ht="19.2" customHeight="1" customFormat="0">
      <c r="A8" s="41"/>
      <c r="B8" s="39">
        <v>12</v>
      </c>
      <c r="C8" s="39">
        <v>13</v>
      </c>
      <c r="D8" s="39">
        <v>14</v>
      </c>
      <c r="E8" s="39">
        <v>15</v>
      </c>
      <c r="F8" s="39">
        <v>16</v>
      </c>
      <c r="G8" s="82">
        <v>17</v>
      </c>
      <c r="H8" s="82">
        <v>18</v>
      </c>
      <c r="I8" s="41"/>
      <c r="J8" s="39">
        <v>9</v>
      </c>
      <c r="K8" s="39">
        <v>10</v>
      </c>
      <c r="L8" s="39">
        <v>11</v>
      </c>
      <c r="M8" s="39">
        <v>12</v>
      </c>
      <c r="N8" s="39">
        <v>13</v>
      </c>
      <c r="O8" s="82">
        <v>14</v>
      </c>
      <c r="P8" s="82">
        <v>15</v>
      </c>
      <c r="Q8" s="41"/>
      <c r="R8" s="39">
        <v>9</v>
      </c>
      <c r="S8" s="39">
        <v>10</v>
      </c>
      <c r="T8" s="39">
        <v>11</v>
      </c>
      <c r="U8" s="39">
        <v>12</v>
      </c>
      <c r="V8" s="39">
        <v>13</v>
      </c>
      <c r="W8" s="82">
        <v>14</v>
      </c>
      <c r="X8" s="82">
        <v>15</v>
      </c>
      <c r="Y8" s="41"/>
      <c r="Z8" s="39">
        <v>13</v>
      </c>
      <c r="AA8" s="39">
        <v>14</v>
      </c>
      <c r="AB8" s="39">
        <v>15</v>
      </c>
      <c r="AC8" s="39">
        <v>16</v>
      </c>
      <c r="AD8" s="39">
        <v>17</v>
      </c>
      <c r="AE8" s="82">
        <v>18</v>
      </c>
      <c r="AF8" s="82">
        <v>19</v>
      </c>
      <c r="AG8" s="41"/>
      <c r="AH8" s="39">
        <v>11</v>
      </c>
      <c r="AI8" s="39">
        <v>12</v>
      </c>
      <c r="AJ8" s="39">
        <v>13</v>
      </c>
      <c r="AK8" s="39">
        <v>14</v>
      </c>
      <c r="AL8" s="39">
        <v>15</v>
      </c>
      <c r="AM8" s="82">
        <v>16</v>
      </c>
      <c r="AN8" s="82">
        <v>17</v>
      </c>
      <c r="AO8" s="41"/>
      <c r="AP8" s="39">
        <v>15</v>
      </c>
      <c r="AQ8" s="39">
        <v>16</v>
      </c>
      <c r="AR8" s="39">
        <v>17</v>
      </c>
      <c r="AS8" s="39">
        <v>18</v>
      </c>
      <c r="AT8" s="39">
        <v>19</v>
      </c>
      <c r="AU8" s="82">
        <v>20</v>
      </c>
      <c r="AV8" s="82">
        <v>21</v>
      </c>
      <c r="AW8" s="41"/>
      <c r="AX8" s="39">
        <v>13</v>
      </c>
      <c r="AY8" s="39">
        <v>14</v>
      </c>
      <c r="AZ8" s="39">
        <v>15</v>
      </c>
      <c r="BA8" s="39">
        <v>16</v>
      </c>
      <c r="BB8" s="39">
        <v>17</v>
      </c>
      <c r="BC8" s="82">
        <v>18</v>
      </c>
      <c r="BD8" s="82">
        <v>19</v>
      </c>
      <c r="BE8" s="41"/>
      <c r="BF8" s="39">
        <v>10</v>
      </c>
      <c r="BG8" s="39">
        <v>11</v>
      </c>
      <c r="BH8" s="39">
        <v>12</v>
      </c>
      <c r="BI8" s="39">
        <v>13</v>
      </c>
      <c r="BJ8" s="39">
        <v>14</v>
      </c>
      <c r="BK8" s="82">
        <v>15</v>
      </c>
      <c r="BL8" s="82">
        <v>16</v>
      </c>
      <c r="BM8" s="41"/>
      <c r="BN8" s="39">
        <v>14</v>
      </c>
      <c r="BO8" s="39">
        <v>15</v>
      </c>
      <c r="BP8" s="39">
        <v>16</v>
      </c>
      <c r="BQ8" s="39">
        <v>17</v>
      </c>
      <c r="BR8" s="39">
        <v>18</v>
      </c>
      <c r="BS8" s="82">
        <v>19</v>
      </c>
      <c r="BT8" s="82">
        <v>20</v>
      </c>
      <c r="BU8" s="41"/>
      <c r="BV8" s="39">
        <v>12</v>
      </c>
      <c r="BW8" s="39">
        <v>13</v>
      </c>
      <c r="BX8" s="39">
        <v>14</v>
      </c>
      <c r="BY8" s="39">
        <v>15</v>
      </c>
      <c r="BZ8" s="39">
        <v>16</v>
      </c>
      <c r="CA8" s="82">
        <v>17</v>
      </c>
      <c r="CB8" s="82">
        <v>18</v>
      </c>
      <c r="CC8" s="41"/>
      <c r="CD8" s="39">
        <v>9</v>
      </c>
      <c r="CE8" s="39">
        <v>10</v>
      </c>
      <c r="CF8" s="39">
        <v>11</v>
      </c>
      <c r="CG8" s="39">
        <v>12</v>
      </c>
      <c r="CH8" s="39">
        <v>13</v>
      </c>
      <c r="CI8" s="82">
        <v>14</v>
      </c>
      <c r="CJ8" s="82">
        <v>15</v>
      </c>
      <c r="CK8" s="41"/>
      <c r="CL8" s="39">
        <v>14</v>
      </c>
      <c r="CM8" s="39">
        <v>15</v>
      </c>
      <c r="CN8" s="39">
        <v>16</v>
      </c>
      <c r="CO8" s="39">
        <v>17</v>
      </c>
      <c r="CP8" s="39">
        <v>18</v>
      </c>
      <c r="CQ8" s="82">
        <v>19</v>
      </c>
      <c r="CR8" s="82">
        <v>20</v>
      </c>
      <c r="CS8" s="41"/>
    </row>
    <row r="9" s="0" ht="19.2" customHeight="1" customFormat="0">
      <c r="A9" s="41"/>
      <c r="B9" s="39">
        <v>19</v>
      </c>
      <c r="C9" s="39">
        <v>20</v>
      </c>
      <c r="D9" s="39">
        <v>21</v>
      </c>
      <c r="E9" s="39">
        <v>22</v>
      </c>
      <c r="F9" s="39">
        <v>23</v>
      </c>
      <c r="G9" s="82">
        <v>24</v>
      </c>
      <c r="H9" s="82">
        <v>25</v>
      </c>
      <c r="I9" s="41"/>
      <c r="J9" s="39">
        <v>16</v>
      </c>
      <c r="K9" s="39">
        <v>17</v>
      </c>
      <c r="L9" s="39">
        <v>18</v>
      </c>
      <c r="M9" s="39">
        <v>19</v>
      </c>
      <c r="N9" s="39">
        <v>20</v>
      </c>
      <c r="O9" s="82">
        <v>21</v>
      </c>
      <c r="P9" s="82">
        <v>22</v>
      </c>
      <c r="Q9" s="41"/>
      <c r="R9" s="39">
        <v>16</v>
      </c>
      <c r="S9" s="39">
        <v>17</v>
      </c>
      <c r="T9" s="39">
        <v>18</v>
      </c>
      <c r="U9" s="39">
        <v>19</v>
      </c>
      <c r="V9" s="39">
        <v>20</v>
      </c>
      <c r="W9" s="82">
        <v>21</v>
      </c>
      <c r="X9" s="82">
        <v>22</v>
      </c>
      <c r="Y9" s="41"/>
      <c r="Z9" s="39">
        <v>20</v>
      </c>
      <c r="AA9" s="39">
        <v>21</v>
      </c>
      <c r="AB9" s="39">
        <v>22</v>
      </c>
      <c r="AC9" s="39">
        <v>23</v>
      </c>
      <c r="AD9" s="39">
        <v>24</v>
      </c>
      <c r="AE9" s="82">
        <v>25</v>
      </c>
      <c r="AF9" s="82">
        <v>26</v>
      </c>
      <c r="AG9" s="41"/>
      <c r="AH9" s="39">
        <v>18</v>
      </c>
      <c r="AI9" s="39">
        <v>19</v>
      </c>
      <c r="AJ9" s="39">
        <v>20</v>
      </c>
      <c r="AK9" s="39">
        <v>21</v>
      </c>
      <c r="AL9" s="39">
        <v>22</v>
      </c>
      <c r="AM9" s="82">
        <v>23</v>
      </c>
      <c r="AN9" s="82">
        <v>24</v>
      </c>
      <c r="AO9" s="41"/>
      <c r="AP9" s="39">
        <v>22</v>
      </c>
      <c r="AQ9" s="39">
        <v>23</v>
      </c>
      <c r="AR9" s="39">
        <v>24</v>
      </c>
      <c r="AS9" s="39">
        <v>25</v>
      </c>
      <c r="AT9" s="39">
        <v>26</v>
      </c>
      <c r="AU9" s="82">
        <v>27</v>
      </c>
      <c r="AV9" s="82">
        <v>28</v>
      </c>
      <c r="AW9" s="41"/>
      <c r="AX9" s="39">
        <v>20</v>
      </c>
      <c r="AY9" s="39">
        <v>21</v>
      </c>
      <c r="AZ9" s="39">
        <v>22</v>
      </c>
      <c r="BA9" s="39">
        <v>23</v>
      </c>
      <c r="BB9" s="39">
        <v>24</v>
      </c>
      <c r="BC9" s="82">
        <v>25</v>
      </c>
      <c r="BD9" s="82">
        <v>26</v>
      </c>
      <c r="BE9" s="41"/>
      <c r="BF9" s="39">
        <v>17</v>
      </c>
      <c r="BG9" s="39">
        <v>18</v>
      </c>
      <c r="BH9" s="39">
        <v>19</v>
      </c>
      <c r="BI9" s="39">
        <v>20</v>
      </c>
      <c r="BJ9" s="39">
        <v>21</v>
      </c>
      <c r="BK9" s="82">
        <v>22</v>
      </c>
      <c r="BL9" s="82">
        <v>23</v>
      </c>
      <c r="BM9" s="41"/>
      <c r="BN9" s="39">
        <v>21</v>
      </c>
      <c r="BO9" s="39">
        <v>22</v>
      </c>
      <c r="BP9" s="39">
        <v>23</v>
      </c>
      <c r="BQ9" s="39">
        <v>24</v>
      </c>
      <c r="BR9" s="39">
        <v>25</v>
      </c>
      <c r="BS9" s="82">
        <v>26</v>
      </c>
      <c r="BT9" s="82">
        <v>27</v>
      </c>
      <c r="BU9" s="41"/>
      <c r="BV9" s="39">
        <v>19</v>
      </c>
      <c r="BW9" s="39">
        <v>20</v>
      </c>
      <c r="BX9" s="39">
        <v>21</v>
      </c>
      <c r="BY9" s="39">
        <v>22</v>
      </c>
      <c r="BZ9" s="39">
        <v>23</v>
      </c>
      <c r="CA9" s="82">
        <v>24</v>
      </c>
      <c r="CB9" s="82">
        <v>25</v>
      </c>
      <c r="CC9" s="41"/>
      <c r="CD9" s="39">
        <v>16</v>
      </c>
      <c r="CE9" s="39">
        <v>17</v>
      </c>
      <c r="CF9" s="39">
        <v>18</v>
      </c>
      <c r="CG9" s="39">
        <v>19</v>
      </c>
      <c r="CH9" s="39">
        <v>20</v>
      </c>
      <c r="CI9" s="82">
        <v>21</v>
      </c>
      <c r="CJ9" s="82">
        <v>22</v>
      </c>
      <c r="CK9" s="41"/>
      <c r="CL9" s="39">
        <v>21</v>
      </c>
      <c r="CM9" s="39">
        <v>22</v>
      </c>
      <c r="CN9" s="39">
        <v>23</v>
      </c>
      <c r="CO9" s="39">
        <v>24</v>
      </c>
      <c r="CP9" s="39">
        <v>25</v>
      </c>
      <c r="CQ9" s="82">
        <v>26</v>
      </c>
      <c r="CR9" s="82">
        <v>27</v>
      </c>
      <c r="CS9" s="41"/>
    </row>
    <row r="10" s="0" ht="19.2" customHeight="1" customFormat="0">
      <c r="A10" s="41"/>
      <c r="B10" s="39">
        <v>26</v>
      </c>
      <c r="C10" s="39">
        <v>27</v>
      </c>
      <c r="D10" s="39">
        <v>28</v>
      </c>
      <c r="E10" s="39">
        <v>29</v>
      </c>
      <c r="F10" s="39">
        <v>30</v>
      </c>
      <c r="G10" s="82">
        <v>31</v>
      </c>
      <c r="H10" t="str" s="82">
        <v/>
      </c>
      <c r="I10" s="41"/>
      <c r="J10" s="39">
        <v>23</v>
      </c>
      <c r="K10" s="39">
        <v>24</v>
      </c>
      <c r="L10" s="39">
        <v>25</v>
      </c>
      <c r="M10" s="39">
        <v>26</v>
      </c>
      <c r="N10" s="39">
        <v>27</v>
      </c>
      <c r="O10" s="82">
        <v>28</v>
      </c>
      <c r="P10" t="str" s="82">
        <v/>
      </c>
      <c r="Q10" s="41"/>
      <c r="R10" s="39">
        <v>23</v>
      </c>
      <c r="S10" s="39">
        <v>24</v>
      </c>
      <c r="T10" s="39">
        <v>25</v>
      </c>
      <c r="U10" s="39">
        <v>26</v>
      </c>
      <c r="V10" s="39">
        <v>27</v>
      </c>
      <c r="W10" s="82">
        <v>28</v>
      </c>
      <c r="X10" s="82">
        <v>29</v>
      </c>
      <c r="Y10" s="41"/>
      <c r="Z10" s="39">
        <v>27</v>
      </c>
      <c r="AA10" s="39">
        <v>28</v>
      </c>
      <c r="AB10" s="39">
        <v>29</v>
      </c>
      <c r="AC10" s="39">
        <v>30</v>
      </c>
      <c r="AD10" t="str" s="39">
        <v/>
      </c>
      <c r="AE10" t="str" s="82">
        <v/>
      </c>
      <c r="AF10" t="str" s="82">
        <v/>
      </c>
      <c r="AG10" s="41"/>
      <c r="AH10" s="39">
        <v>25</v>
      </c>
      <c r="AI10" s="39">
        <v>26</v>
      </c>
      <c r="AJ10" s="39">
        <v>27</v>
      </c>
      <c r="AK10" s="39">
        <v>28</v>
      </c>
      <c r="AL10" s="39">
        <v>29</v>
      </c>
      <c r="AM10" s="82">
        <v>30</v>
      </c>
      <c r="AN10" s="82">
        <v>31</v>
      </c>
      <c r="AO10" s="41"/>
      <c r="AP10" s="39">
        <v>29</v>
      </c>
      <c r="AQ10" s="39">
        <v>30</v>
      </c>
      <c r="AR10" t="str" s="39">
        <v/>
      </c>
      <c r="AS10" t="str" s="39">
        <v/>
      </c>
      <c r="AT10" t="str" s="39">
        <v/>
      </c>
      <c r="AU10" t="str" s="82">
        <v/>
      </c>
      <c r="AV10" t="str" s="82">
        <v/>
      </c>
      <c r="AW10" s="41"/>
      <c r="AX10" s="39">
        <v>27</v>
      </c>
      <c r="AY10" s="39">
        <v>28</v>
      </c>
      <c r="AZ10" s="39">
        <v>29</v>
      </c>
      <c r="BA10" s="39">
        <v>30</v>
      </c>
      <c r="BB10" s="39">
        <v>31</v>
      </c>
      <c r="BC10" t="str" s="82">
        <v/>
      </c>
      <c r="BD10" t="str" s="82">
        <v/>
      </c>
      <c r="BE10" s="41"/>
      <c r="BF10" s="39">
        <v>24</v>
      </c>
      <c r="BG10" s="39">
        <v>25</v>
      </c>
      <c r="BH10" s="39">
        <v>26</v>
      </c>
      <c r="BI10" s="39">
        <v>27</v>
      </c>
      <c r="BJ10" s="39">
        <v>28</v>
      </c>
      <c r="BK10" s="82">
        <v>29</v>
      </c>
      <c r="BL10" s="82">
        <v>30</v>
      </c>
      <c r="BM10" s="41"/>
      <c r="BN10" s="39">
        <v>28</v>
      </c>
      <c r="BO10" s="39">
        <v>29</v>
      </c>
      <c r="BP10" s="39">
        <v>30</v>
      </c>
      <c r="BQ10" t="str" s="39">
        <v/>
      </c>
      <c r="BR10" t="str" s="39">
        <v/>
      </c>
      <c r="BS10" t="str" s="82">
        <v/>
      </c>
      <c r="BT10" t="str" s="82">
        <v/>
      </c>
      <c r="BU10" s="41"/>
      <c r="BV10" s="39">
        <v>26</v>
      </c>
      <c r="BW10" s="39">
        <v>27</v>
      </c>
      <c r="BX10" s="39">
        <v>28</v>
      </c>
      <c r="BY10" s="39">
        <v>29</v>
      </c>
      <c r="BZ10" s="39">
        <v>30</v>
      </c>
      <c r="CA10" s="82">
        <v>31</v>
      </c>
      <c r="CB10" t="str" s="82">
        <v/>
      </c>
      <c r="CC10" s="41"/>
      <c r="CD10" s="39">
        <v>23</v>
      </c>
      <c r="CE10" s="39">
        <v>24</v>
      </c>
      <c r="CF10" s="39">
        <v>25</v>
      </c>
      <c r="CG10" s="39">
        <v>26</v>
      </c>
      <c r="CH10" s="39">
        <v>27</v>
      </c>
      <c r="CI10" s="82">
        <v>28</v>
      </c>
      <c r="CJ10" s="82">
        <v>29</v>
      </c>
      <c r="CK10" s="41"/>
      <c r="CL10" s="39">
        <v>28</v>
      </c>
      <c r="CM10" s="39">
        <v>29</v>
      </c>
      <c r="CN10" s="39">
        <v>30</v>
      </c>
      <c r="CO10" s="39">
        <v>31</v>
      </c>
      <c r="CP10" t="str" s="39">
        <v/>
      </c>
      <c r="CQ10" t="str" s="82">
        <v/>
      </c>
      <c r="CR10" t="str" s="82">
        <v/>
      </c>
      <c r="CS10" s="41"/>
    </row>
    <row r="11" s="0" ht="19.2" customHeight="1" customFormat="0">
      <c r="A11" s="41"/>
      <c r="B11" t="str" s="39">
        <v/>
      </c>
      <c r="C11" t="str" s="39">
        <v/>
      </c>
      <c r="D11" t="str" s="39">
        <v/>
      </c>
      <c r="E11" t="str" s="39">
        <v/>
      </c>
      <c r="F11" t="str" s="39">
        <v/>
      </c>
      <c r="G11" t="str" s="82">
        <v/>
      </c>
      <c r="H11" t="str" s="82">
        <v/>
      </c>
      <c r="I11" s="41"/>
      <c r="J11" t="str" s="39">
        <v/>
      </c>
      <c r="K11" t="str" s="39">
        <v/>
      </c>
      <c r="L11" t="str" s="39">
        <v/>
      </c>
      <c r="M11" t="str" s="39">
        <v/>
      </c>
      <c r="N11" t="str" s="39">
        <v/>
      </c>
      <c r="O11" t="str" s="82">
        <v/>
      </c>
      <c r="P11" t="str" s="82">
        <v/>
      </c>
      <c r="Q11" s="41"/>
      <c r="R11" s="39">
        <v>30</v>
      </c>
      <c r="S11" s="39">
        <v>31</v>
      </c>
      <c r="T11" t="str" s="39">
        <v/>
      </c>
      <c r="U11" t="str" s="39">
        <v/>
      </c>
      <c r="V11" t="str" s="39">
        <v/>
      </c>
      <c r="W11" t="str" s="82">
        <v/>
      </c>
      <c r="X11" t="str" s="82">
        <v/>
      </c>
      <c r="Y11" s="41"/>
      <c r="Z11" t="str" s="39">
        <v/>
      </c>
      <c r="AA11" t="str" s="39">
        <v/>
      </c>
      <c r="AB11" t="str" s="39">
        <v/>
      </c>
      <c r="AC11" t="str" s="39">
        <v/>
      </c>
      <c r="AD11" t="str" s="39">
        <v/>
      </c>
      <c r="AE11" t="str" s="82">
        <v/>
      </c>
      <c r="AF11" t="str" s="82">
        <v/>
      </c>
      <c r="AG11" s="41"/>
      <c r="AH11" t="str" s="39">
        <v/>
      </c>
      <c r="AI11" t="str" s="39">
        <v/>
      </c>
      <c r="AJ11" t="str" s="39">
        <v/>
      </c>
      <c r="AK11" t="str" s="39">
        <v/>
      </c>
      <c r="AL11" t="str" s="39">
        <v/>
      </c>
      <c r="AM11" t="str" s="82">
        <v/>
      </c>
      <c r="AN11" t="str" s="82">
        <v/>
      </c>
      <c r="AO11" s="41"/>
      <c r="AP11" t="str" s="39">
        <v/>
      </c>
      <c r="AQ11" t="str" s="39">
        <v/>
      </c>
      <c r="AR11" t="str" s="39">
        <v/>
      </c>
      <c r="AS11" t="str" s="39">
        <v/>
      </c>
      <c r="AT11" t="str" s="39">
        <v/>
      </c>
      <c r="AU11" t="str" s="82">
        <v/>
      </c>
      <c r="AV11" t="str" s="82">
        <v/>
      </c>
      <c r="AW11" s="41"/>
      <c r="AX11" t="str" s="39">
        <v/>
      </c>
      <c r="AY11" t="str" s="39">
        <v/>
      </c>
      <c r="AZ11" t="str" s="39">
        <v/>
      </c>
      <c r="BA11" t="str" s="39">
        <v/>
      </c>
      <c r="BB11" t="str" s="39">
        <v/>
      </c>
      <c r="BC11" t="str" s="82">
        <v/>
      </c>
      <c r="BD11" t="str" s="82">
        <v/>
      </c>
      <c r="BE11" s="41"/>
      <c r="BF11" s="39">
        <v>31</v>
      </c>
      <c r="BG11" t="str" s="39">
        <v/>
      </c>
      <c r="BH11" t="str" s="39">
        <v/>
      </c>
      <c r="BI11" t="str" s="39">
        <v/>
      </c>
      <c r="BJ11" t="str" s="39">
        <v/>
      </c>
      <c r="BK11" t="str" s="82">
        <v/>
      </c>
      <c r="BL11" t="str" s="82">
        <v/>
      </c>
      <c r="BM11" s="41"/>
      <c r="BN11" t="str" s="39">
        <v/>
      </c>
      <c r="BO11" t="str" s="39">
        <v/>
      </c>
      <c r="BP11" t="str" s="39">
        <v/>
      </c>
      <c r="BQ11" t="str" s="39">
        <v/>
      </c>
      <c r="BR11" t="str" s="39">
        <v/>
      </c>
      <c r="BS11" t="str" s="82">
        <v/>
      </c>
      <c r="BT11" t="str" s="82">
        <v/>
      </c>
      <c r="BU11" s="41"/>
      <c r="BV11" t="str" s="39">
        <v/>
      </c>
      <c r="BW11" t="str" s="39">
        <v/>
      </c>
      <c r="BX11" t="str" s="39">
        <v/>
      </c>
      <c r="BY11" t="str" s="39">
        <v/>
      </c>
      <c r="BZ11" t="str" s="39">
        <v/>
      </c>
      <c r="CA11" t="str" s="82">
        <v/>
      </c>
      <c r="CB11" t="str" s="82">
        <v/>
      </c>
      <c r="CC11" s="41"/>
      <c r="CD11" s="39">
        <v>30</v>
      </c>
      <c r="CE11" t="str" s="39">
        <v/>
      </c>
      <c r="CF11" t="str" s="39">
        <v/>
      </c>
      <c r="CG11" t="str" s="39">
        <v/>
      </c>
      <c r="CH11" t="str" s="39">
        <v/>
      </c>
      <c r="CI11" t="str" s="82">
        <v/>
      </c>
      <c r="CJ11" t="str" s="82">
        <v/>
      </c>
      <c r="CK11" s="41"/>
      <c r="CL11" t="str" s="39">
        <v/>
      </c>
      <c r="CM11" t="str" s="39">
        <v/>
      </c>
      <c r="CN11" t="str" s="39">
        <v/>
      </c>
      <c r="CO11" t="str" s="39">
        <v/>
      </c>
      <c r="CP11" t="str" s="39">
        <v/>
      </c>
      <c r="CQ11" t="str" s="82">
        <v/>
      </c>
      <c r="CR11" t="str" s="82">
        <v/>
      </c>
      <c r="CS11" s="41"/>
    </row>
    <row r="12" s="0" ht="19.2" customHeight="1" customFormat="0">
      <c r="A12" s="41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  <c r="AB12" s="41"/>
      <c r="AC12" s="41"/>
      <c r="AD12" s="41"/>
      <c r="AE12" s="41"/>
      <c r="AF12" s="41"/>
      <c r="AG12" s="41"/>
      <c r="AH12" s="41"/>
      <c r="AI12" s="41"/>
      <c r="AJ12" s="41"/>
      <c r="AK12" s="41"/>
      <c r="AL12" s="41"/>
      <c r="AM12" s="41"/>
      <c r="AN12" s="41"/>
      <c r="AO12" s="41"/>
      <c r="AP12" s="41"/>
      <c r="AQ12" s="41"/>
      <c r="AR12" s="41"/>
      <c r="AS12" s="41"/>
      <c r="AT12" s="41"/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  <c r="CD12" s="41"/>
      <c r="CE12" s="41"/>
      <c r="CF12" s="41"/>
      <c r="CG12" s="41"/>
      <c r="CH12" s="41"/>
      <c r="CI12" s="41"/>
      <c r="CJ12" s="41"/>
      <c r="CK12" s="41"/>
      <c r="CL12" s="41"/>
      <c r="CM12" s="41"/>
      <c r="CN12" s="41"/>
      <c r="CO12" s="41"/>
      <c r="CP12" s="41"/>
      <c r="CQ12" s="41"/>
      <c r="CR12" s="41"/>
      <c r="CS12" s="41"/>
    </row>
    <row r="13" s="0" ht="19.2" customHeight="1" customFormat="0">
      <c r="A13" s="47"/>
      <c r="B13" t="str" s="49">
        <f>CHOOSE(1,"January","February","March","April","May","June","July","August","September","October","November","December")&amp;" "&amp;$B$2</f>
        <v>January 2026</v>
      </c>
      <c r="C13" s="50"/>
      <c r="D13" s="50"/>
      <c r="E13" s="50"/>
      <c r="F13" s="50"/>
      <c r="G13" s="50"/>
      <c r="H13" s="50"/>
      <c r="I13" s="50"/>
      <c r="J13" t="str" s="49">
        <f>CHOOSE(2,"January","February","March","April","May","June","July","August","September","October","November","December")&amp;" "&amp;$B$2</f>
        <v>February 2026</v>
      </c>
      <c r="K13" s="50"/>
      <c r="L13" s="50"/>
      <c r="M13" s="50"/>
      <c r="N13" s="50"/>
      <c r="O13" s="50"/>
      <c r="P13" s="50"/>
      <c r="Q13" s="50"/>
      <c r="R13" t="str" s="49">
        <f>CHOOSE(3,"January","February","March","April","May","June","July","August","September","October","November","December")&amp;" "&amp;$B$2</f>
        <v>March 2026</v>
      </c>
      <c r="S13" s="50"/>
      <c r="T13" s="50"/>
      <c r="U13" s="50"/>
      <c r="V13" s="50"/>
      <c r="W13" s="50"/>
      <c r="X13" s="50"/>
      <c r="Y13" s="50"/>
      <c r="Z13" t="str" s="49">
        <f>CHOOSE(4,"January","February","March","April","May","June","July","August","September","October","November","December")&amp;" "&amp;$B$2</f>
        <v>April 2026</v>
      </c>
      <c r="AA13" s="50"/>
      <c r="AB13" s="50"/>
      <c r="AC13" s="50"/>
      <c r="AD13" s="50"/>
      <c r="AE13" s="50"/>
      <c r="AF13" s="50"/>
      <c r="AG13" s="50"/>
      <c r="AH13" t="str" s="49">
        <f>CHOOSE(5,"January","February","March","April","May","June","July","August","September","October","November","December")&amp;" "&amp;$B$2</f>
        <v>May 2026</v>
      </c>
      <c r="AI13" s="50"/>
      <c r="AJ13" s="50"/>
      <c r="AK13" s="50"/>
      <c r="AL13" s="50"/>
      <c r="AM13" s="50"/>
      <c r="AN13" s="50"/>
      <c r="AO13" s="50"/>
      <c r="AP13" t="str" s="49">
        <f>CHOOSE(6,"January","February","March","April","May","June","July","August","September","October","November","December")&amp;" "&amp;$B$2</f>
        <v>June 2026</v>
      </c>
      <c r="AQ13" s="50"/>
      <c r="AR13" s="50"/>
      <c r="AS13" s="50"/>
      <c r="AT13" s="50"/>
      <c r="AU13" s="50"/>
      <c r="AV13" s="50"/>
      <c r="AW13" s="50"/>
      <c r="AX13" t="str" s="49">
        <f>CHOOSE(7,"January","February","March","April","May","June","July","August","September","October","November","December")&amp;" "&amp;$B$2</f>
        <v>July 2026</v>
      </c>
      <c r="AY13" s="50"/>
      <c r="AZ13" s="50"/>
      <c r="BA13" s="50"/>
      <c r="BB13" s="50"/>
      <c r="BC13" s="50"/>
      <c r="BD13" s="50"/>
      <c r="BE13" s="50"/>
      <c r="BF13" t="str" s="49">
        <f>CHOOSE(8,"January","February","March","April","May","June","July","August","September","October","November","December")&amp;" "&amp;$B$2</f>
        <v>August 2026</v>
      </c>
      <c r="BG13" s="50"/>
      <c r="BH13" s="50"/>
      <c r="BI13" s="50"/>
      <c r="BJ13" s="50"/>
      <c r="BK13" s="50"/>
      <c r="BL13" s="50"/>
      <c r="BM13" s="50"/>
      <c r="BN13" t="str" s="49">
        <f>CHOOSE(9,"January","February","March","April","May","June","July","August","September","October","November","December")&amp;" "&amp;$B$2</f>
        <v>September 2026</v>
      </c>
      <c r="BO13" s="50"/>
      <c r="BP13" s="50"/>
      <c r="BQ13" s="50"/>
      <c r="BR13" s="50"/>
      <c r="BS13" s="50"/>
      <c r="BT13" s="50"/>
      <c r="BU13" s="50"/>
      <c r="BV13" t="str" s="49">
        <f>CHOOSE(10,"January","February","March","April","May","June","July","August","September","October","November","December")&amp;" "&amp;$B$2</f>
        <v>October 2026</v>
      </c>
      <c r="BW13" s="50"/>
      <c r="BX13" s="50"/>
      <c r="BY13" s="50"/>
      <c r="BZ13" s="50"/>
      <c r="CA13" s="50"/>
      <c r="CB13" s="50"/>
      <c r="CC13" s="50"/>
      <c r="CD13" t="str" s="49">
        <f>CHOOSE(11,"January","February","March","April","May","June","July","August","September","October","November","December")&amp;" "&amp;$B$2</f>
        <v>November 2026</v>
      </c>
      <c r="CE13" s="50"/>
      <c r="CF13" s="50"/>
      <c r="CG13" s="50"/>
      <c r="CH13" s="50"/>
      <c r="CI13" s="50"/>
      <c r="CJ13" s="50"/>
      <c r="CK13" s="50"/>
      <c r="CL13" t="str" s="49">
        <f>CHOOSE(12,"January","February","March","April","May","June","July","August","September","October","November","December")&amp;" "&amp;$B$2</f>
        <v>December 2026</v>
      </c>
      <c r="CM13" s="50"/>
      <c r="CN13" s="50"/>
      <c r="CO13" s="50"/>
      <c r="CP13" s="50"/>
      <c r="CQ13" s="50"/>
      <c r="CR13" s="50"/>
      <c r="CS13" s="41"/>
    </row>
    <row r="14" s="0" ht="19.2" customHeight="1" customFormat="0">
      <c r="A14" s="48"/>
      <c r="B14" t="s" s="61">
        <v>6</v>
      </c>
      <c r="C14" t="s" s="75">
        <v>5</v>
      </c>
      <c r="D14" s="76"/>
      <c r="E14" s="76"/>
      <c r="F14" s="76"/>
      <c r="G14" s="76"/>
      <c r="H14" s="77"/>
      <c r="I14" s="47"/>
      <c r="J14" t="s" s="61">
        <v>6</v>
      </c>
      <c r="K14" t="s" s="75">
        <v>5</v>
      </c>
      <c r="L14" s="76"/>
      <c r="M14" s="76"/>
      <c r="N14" s="76"/>
      <c r="O14" s="76"/>
      <c r="P14" s="77"/>
      <c r="Q14" s="47"/>
      <c r="R14" t="s" s="61">
        <v>6</v>
      </c>
      <c r="S14" t="s" s="75">
        <v>5</v>
      </c>
      <c r="T14" s="76"/>
      <c r="U14" s="76"/>
      <c r="V14" s="76"/>
      <c r="W14" s="76"/>
      <c r="X14" s="77"/>
      <c r="Y14" s="47"/>
      <c r="Z14" t="s" s="61">
        <v>6</v>
      </c>
      <c r="AA14" t="s" s="75">
        <v>5</v>
      </c>
      <c r="AB14" s="76"/>
      <c r="AC14" s="76"/>
      <c r="AD14" s="76"/>
      <c r="AE14" s="76"/>
      <c r="AF14" s="77"/>
      <c r="AG14" s="47"/>
      <c r="AH14" t="s" s="61">
        <v>6</v>
      </c>
      <c r="AI14" t="s" s="75">
        <v>5</v>
      </c>
      <c r="AJ14" s="76"/>
      <c r="AK14" s="76"/>
      <c r="AL14" s="76"/>
      <c r="AM14" s="76"/>
      <c r="AN14" s="77"/>
      <c r="AO14" s="47"/>
      <c r="AP14" t="s" s="61">
        <v>6</v>
      </c>
      <c r="AQ14" t="s" s="75">
        <v>5</v>
      </c>
      <c r="AR14" s="76"/>
      <c r="AS14" s="76"/>
      <c r="AT14" s="76"/>
      <c r="AU14" s="76"/>
      <c r="AV14" s="77"/>
      <c r="AW14" s="47"/>
      <c r="AX14" t="s" s="61">
        <v>6</v>
      </c>
      <c r="AY14" t="s" s="75">
        <v>5</v>
      </c>
      <c r="AZ14" s="76"/>
      <c r="BA14" s="76"/>
      <c r="BB14" s="76"/>
      <c r="BC14" s="76"/>
      <c r="BD14" s="77"/>
      <c r="BE14" s="47"/>
      <c r="BF14" t="s" s="61">
        <v>6</v>
      </c>
      <c r="BG14" t="s" s="75">
        <v>5</v>
      </c>
      <c r="BH14" s="76"/>
      <c r="BI14" s="76"/>
      <c r="BJ14" s="76"/>
      <c r="BK14" s="76"/>
      <c r="BL14" s="77"/>
      <c r="BM14" s="47"/>
      <c r="BN14" t="s" s="61">
        <v>6</v>
      </c>
      <c r="BO14" t="s" s="75">
        <v>5</v>
      </c>
      <c r="BP14" s="76"/>
      <c r="BQ14" s="76"/>
      <c r="BR14" s="76"/>
      <c r="BS14" s="76"/>
      <c r="BT14" s="77"/>
      <c r="BU14" s="47"/>
      <c r="BV14" t="s" s="61">
        <v>6</v>
      </c>
      <c r="BW14" t="s" s="75">
        <v>5</v>
      </c>
      <c r="BX14" s="76"/>
      <c r="BY14" s="76"/>
      <c r="BZ14" s="76"/>
      <c r="CA14" s="76"/>
      <c r="CB14" s="77"/>
      <c r="CC14" s="47"/>
      <c r="CD14" t="s" s="61">
        <v>6</v>
      </c>
      <c r="CE14" t="s" s="75">
        <v>5</v>
      </c>
      <c r="CF14" s="76"/>
      <c r="CG14" s="76"/>
      <c r="CH14" s="76"/>
      <c r="CI14" s="76"/>
      <c r="CJ14" s="77"/>
      <c r="CK14" s="47"/>
      <c r="CL14" t="s" s="61">
        <v>6</v>
      </c>
      <c r="CM14" t="s" s="75">
        <v>5</v>
      </c>
      <c r="CN14" s="76"/>
      <c r="CO14" s="76"/>
      <c r="CP14" s="76"/>
      <c r="CQ14" s="76"/>
      <c r="CR14" s="77"/>
      <c r="CS14" s="41"/>
    </row>
    <row r="15" s="0" ht="19.2" customHeight="1" customFormat="0">
      <c r="A15" s="47"/>
      <c r="B15" s="83">
        <f>IF(MONTH(DATE($B$2,1,1))=1,DATE($B$2,1,1),"")</f>
        <v>46023</v>
      </c>
      <c r="C15" s="84"/>
      <c r="D15" s="85"/>
      <c r="E15" s="85"/>
      <c r="F15" s="85"/>
      <c r="G15" s="85"/>
      <c r="H15" s="86"/>
      <c r="I15" s="87"/>
      <c r="J15" s="83">
        <f>IF(MONTH(DATE($B$2,2,1))=2,DATE($B$2,2,1),"")</f>
        <v>46054</v>
      </c>
      <c r="K15" s="84"/>
      <c r="L15" s="85"/>
      <c r="M15" s="85"/>
      <c r="N15" s="85"/>
      <c r="O15" s="85"/>
      <c r="P15" s="86"/>
      <c r="Q15" s="87"/>
      <c r="R15" s="83">
        <f>IF(MONTH(DATE($B$2,3,1))=3,DATE($B$2,3,1),"")</f>
        <v>46082</v>
      </c>
      <c r="S15" s="84"/>
      <c r="T15" s="85"/>
      <c r="U15" s="85"/>
      <c r="V15" s="85"/>
      <c r="W15" s="85"/>
      <c r="X15" s="86"/>
      <c r="Y15" s="87"/>
      <c r="Z15" s="83">
        <f>IF(MONTH(DATE($B$2,4,1))=4,DATE($B$2,4,1),"")</f>
        <v>46113</v>
      </c>
      <c r="AA15" s="84"/>
      <c r="AB15" s="85"/>
      <c r="AC15" s="85"/>
      <c r="AD15" s="85"/>
      <c r="AE15" s="85"/>
      <c r="AF15" s="86"/>
      <c r="AG15" s="87"/>
      <c r="AH15" s="83">
        <f>IF(MONTH(DATE($B$2,5,1))=5,DATE($B$2,5,1),"")</f>
        <v>46143</v>
      </c>
      <c r="AI15" s="84"/>
      <c r="AJ15" s="85"/>
      <c r="AK15" s="85"/>
      <c r="AL15" s="85"/>
      <c r="AM15" s="85"/>
      <c r="AN15" s="86"/>
      <c r="AO15" s="87"/>
      <c r="AP15" s="83">
        <f>IF(MONTH(DATE($B$2,6,1))=6,DATE($B$2,6,1),"")</f>
        <v>46174</v>
      </c>
      <c r="AQ15" s="84"/>
      <c r="AR15" s="85"/>
      <c r="AS15" s="85"/>
      <c r="AT15" s="85"/>
      <c r="AU15" s="85"/>
      <c r="AV15" s="86"/>
      <c r="AW15" s="87"/>
      <c r="AX15" s="83">
        <f>IF(MONTH(DATE($B$2,7,1))=7,DATE($B$2,7,1),"")</f>
        <v>46204</v>
      </c>
      <c r="AY15" s="84"/>
      <c r="AZ15" s="85"/>
      <c r="BA15" s="85"/>
      <c r="BB15" s="85"/>
      <c r="BC15" s="85"/>
      <c r="BD15" s="86"/>
      <c r="BE15" s="87"/>
      <c r="BF15" s="83">
        <f>IF(MONTH(DATE($B$2,8,1))=8,DATE($B$2,8,1),"")</f>
        <v>46235</v>
      </c>
      <c r="BG15" s="84"/>
      <c r="BH15" s="85"/>
      <c r="BI15" s="85"/>
      <c r="BJ15" s="85"/>
      <c r="BK15" s="85"/>
      <c r="BL15" s="86"/>
      <c r="BM15" s="87"/>
      <c r="BN15" s="83">
        <f>IF(MONTH(DATE($B$2,9,1))=9,DATE($B$2,9,1),"")</f>
        <v>46266</v>
      </c>
      <c r="BO15" s="84"/>
      <c r="BP15" s="85"/>
      <c r="BQ15" s="85"/>
      <c r="BR15" s="85"/>
      <c r="BS15" s="85"/>
      <c r="BT15" s="86"/>
      <c r="BU15" s="87"/>
      <c r="BV15" s="83">
        <f>IF(MONTH(DATE($B$2,10,1))=10,DATE($B$2,10,1),"")</f>
        <v>46296</v>
      </c>
      <c r="BW15" s="84"/>
      <c r="BX15" s="85"/>
      <c r="BY15" s="85"/>
      <c r="BZ15" s="85"/>
      <c r="CA15" s="85"/>
      <c r="CB15" s="86"/>
      <c r="CC15" s="87"/>
      <c r="CD15" s="83">
        <f>IF(MONTH(DATE($B$2,11,1))=11,DATE($B$2,11,1),"")</f>
        <v>46327</v>
      </c>
      <c r="CE15" s="84"/>
      <c r="CF15" s="85"/>
      <c r="CG15" s="85"/>
      <c r="CH15" s="85"/>
      <c r="CI15" s="85"/>
      <c r="CJ15" s="86"/>
      <c r="CK15" s="87"/>
      <c r="CL15" s="83">
        <f>IF(MONTH(DATE($B$2,12,1))=12,DATE($B$2,12,1),"")</f>
        <v>46357</v>
      </c>
      <c r="CM15" s="84"/>
      <c r="CN15" s="85"/>
      <c r="CO15" s="85"/>
      <c r="CP15" s="85"/>
      <c r="CQ15" s="85"/>
      <c r="CR15" s="86"/>
      <c r="CS15" s="41"/>
    </row>
    <row r="16" s="0" ht="19.2" customHeight="1" customFormat="0">
      <c r="A16" s="47"/>
      <c r="B16" s="83">
        <f>IF(MONTH(DATE($B$2,1,2))=1,DATE($B$2,1,2),"")</f>
        <v>46024</v>
      </c>
      <c r="C16" s="84"/>
      <c r="D16" s="85"/>
      <c r="E16" s="85"/>
      <c r="F16" s="85"/>
      <c r="G16" s="85"/>
      <c r="H16" s="86"/>
      <c r="I16" s="87"/>
      <c r="J16" s="83">
        <f>IF(MONTH(DATE($B$2,2,2))=2,DATE($B$2,2,2),"")</f>
        <v>46055</v>
      </c>
      <c r="K16" s="84"/>
      <c r="L16" s="85"/>
      <c r="M16" s="85"/>
      <c r="N16" s="85"/>
      <c r="O16" s="85"/>
      <c r="P16" s="86"/>
      <c r="Q16" s="87"/>
      <c r="R16" s="83">
        <f>IF(MONTH(DATE($B$2,3,2))=3,DATE($B$2,3,2),"")</f>
        <v>46083</v>
      </c>
      <c r="S16" s="84"/>
      <c r="T16" s="85"/>
      <c r="U16" s="85"/>
      <c r="V16" s="85"/>
      <c r="W16" s="85"/>
      <c r="X16" s="86"/>
      <c r="Y16" s="87"/>
      <c r="Z16" s="83">
        <f>IF(MONTH(DATE($B$2,4,2))=4,DATE($B$2,4,2),"")</f>
        <v>46114</v>
      </c>
      <c r="AA16" s="84"/>
      <c r="AB16" s="85"/>
      <c r="AC16" s="85"/>
      <c r="AD16" s="85"/>
      <c r="AE16" s="85"/>
      <c r="AF16" s="86"/>
      <c r="AG16" s="87"/>
      <c r="AH16" s="83">
        <f>IF(MONTH(DATE($B$2,5,2))=5,DATE($B$2,5,2),"")</f>
        <v>46144</v>
      </c>
      <c r="AI16" s="84"/>
      <c r="AJ16" s="85"/>
      <c r="AK16" s="85"/>
      <c r="AL16" s="85"/>
      <c r="AM16" s="85"/>
      <c r="AN16" s="86"/>
      <c r="AO16" s="87"/>
      <c r="AP16" s="83">
        <f>IF(MONTH(DATE($B$2,6,2))=6,DATE($B$2,6,2),"")</f>
        <v>46175</v>
      </c>
      <c r="AQ16" s="84"/>
      <c r="AR16" s="85"/>
      <c r="AS16" s="85"/>
      <c r="AT16" s="85"/>
      <c r="AU16" s="85"/>
      <c r="AV16" s="86"/>
      <c r="AW16" s="87"/>
      <c r="AX16" s="83">
        <f>IF(MONTH(DATE($B$2,7,2))=7,DATE($B$2,7,2),"")</f>
        <v>46205</v>
      </c>
      <c r="AY16" s="84"/>
      <c r="AZ16" s="85"/>
      <c r="BA16" s="85"/>
      <c r="BB16" s="85"/>
      <c r="BC16" s="85"/>
      <c r="BD16" s="86"/>
      <c r="BE16" s="87"/>
      <c r="BF16" s="83">
        <f>IF(MONTH(DATE($B$2,8,2))=8,DATE($B$2,8,2),"")</f>
        <v>46236</v>
      </c>
      <c r="BG16" s="84"/>
      <c r="BH16" s="85"/>
      <c r="BI16" s="85"/>
      <c r="BJ16" s="85"/>
      <c r="BK16" s="85"/>
      <c r="BL16" s="86"/>
      <c r="BM16" s="87"/>
      <c r="BN16" s="83">
        <f>IF(MONTH(DATE($B$2,9,2))=9,DATE($B$2,9,2),"")</f>
        <v>46267</v>
      </c>
      <c r="BO16" s="84"/>
      <c r="BP16" s="85"/>
      <c r="BQ16" s="85"/>
      <c r="BR16" s="85"/>
      <c r="BS16" s="85"/>
      <c r="BT16" s="86"/>
      <c r="BU16" s="87"/>
      <c r="BV16" s="83">
        <f>IF(MONTH(DATE($B$2,10,2))=10,DATE($B$2,10,2),"")</f>
        <v>46297</v>
      </c>
      <c r="BW16" s="84"/>
      <c r="BX16" s="85"/>
      <c r="BY16" s="85"/>
      <c r="BZ16" s="85"/>
      <c r="CA16" s="85"/>
      <c r="CB16" s="86"/>
      <c r="CC16" s="87"/>
      <c r="CD16" s="83">
        <f>IF(MONTH(DATE($B$2,11,2))=11,DATE($B$2,11,2),"")</f>
        <v>46328</v>
      </c>
      <c r="CE16" s="84"/>
      <c r="CF16" s="85"/>
      <c r="CG16" s="85"/>
      <c r="CH16" s="85"/>
      <c r="CI16" s="85"/>
      <c r="CJ16" s="86"/>
      <c r="CK16" s="87"/>
      <c r="CL16" s="83">
        <f>IF(MONTH(DATE($B$2,12,2))=12,DATE($B$2,12,2),"")</f>
        <v>46358</v>
      </c>
      <c r="CM16" s="84"/>
      <c r="CN16" s="85"/>
      <c r="CO16" s="85"/>
      <c r="CP16" s="85"/>
      <c r="CQ16" s="85"/>
      <c r="CR16" s="86"/>
      <c r="CS16" s="41"/>
    </row>
    <row r="17" s="0" ht="19.2" customHeight="1" customFormat="0">
      <c r="A17" s="47"/>
      <c r="B17" s="83">
        <f>IF(MONTH(DATE($B$2,1,3))=1,DATE($B$2,1,3),"")</f>
        <v>46025</v>
      </c>
      <c r="C17" s="84"/>
      <c r="D17" s="85"/>
      <c r="E17" s="85"/>
      <c r="F17" s="85"/>
      <c r="G17" s="85"/>
      <c r="H17" s="86"/>
      <c r="I17" s="87"/>
      <c r="J17" s="83">
        <f>IF(MONTH(DATE($B$2,2,3))=2,DATE($B$2,2,3),"")</f>
        <v>46056</v>
      </c>
      <c r="K17" s="84"/>
      <c r="L17" s="85"/>
      <c r="M17" s="85"/>
      <c r="N17" s="85"/>
      <c r="O17" s="85"/>
      <c r="P17" s="86"/>
      <c r="Q17" s="87"/>
      <c r="R17" s="83">
        <f>IF(MONTH(DATE($B$2,3,3))=3,DATE($B$2,3,3),"")</f>
        <v>46084</v>
      </c>
      <c r="S17" s="84"/>
      <c r="T17" s="85"/>
      <c r="U17" s="85"/>
      <c r="V17" s="85"/>
      <c r="W17" s="85"/>
      <c r="X17" s="86"/>
      <c r="Y17" s="87"/>
      <c r="Z17" s="83">
        <f>IF(MONTH(DATE($B$2,4,3))=4,DATE($B$2,4,3),"")</f>
        <v>46115</v>
      </c>
      <c r="AA17" t="s" s="84">
        <v>13</v>
      </c>
      <c r="AB17" s="85"/>
      <c r="AC17" s="85"/>
      <c r="AD17" s="85"/>
      <c r="AE17" s="85"/>
      <c r="AF17" s="86"/>
      <c r="AG17" s="87"/>
      <c r="AH17" s="83">
        <f>IF(MONTH(DATE($B$2,5,3))=5,DATE($B$2,5,3),"")</f>
        <v>46145</v>
      </c>
      <c r="AI17" s="84"/>
      <c r="AJ17" s="85"/>
      <c r="AK17" s="85"/>
      <c r="AL17" s="85"/>
      <c r="AM17" s="85"/>
      <c r="AN17" s="86"/>
      <c r="AO17" s="87"/>
      <c r="AP17" s="83">
        <f>IF(MONTH(DATE($B$2,6,3))=6,DATE($B$2,6,3),"")</f>
        <v>46176</v>
      </c>
      <c r="AQ17" s="84"/>
      <c r="AR17" s="85"/>
      <c r="AS17" s="85"/>
      <c r="AT17" s="85"/>
      <c r="AU17" s="85"/>
      <c r="AV17" s="86"/>
      <c r="AW17" s="87"/>
      <c r="AX17" s="83">
        <f>IF(MONTH(DATE($B$2,7,3))=7,DATE($B$2,7,3),"")</f>
        <v>46206</v>
      </c>
      <c r="AY17" s="84"/>
      <c r="AZ17" s="85"/>
      <c r="BA17" s="85"/>
      <c r="BB17" s="85"/>
      <c r="BC17" s="85"/>
      <c r="BD17" s="86"/>
      <c r="BE17" s="87"/>
      <c r="BF17" s="83">
        <f>IF(MONTH(DATE($B$2,8,3))=8,DATE($B$2,8,3),"")</f>
        <v>46237</v>
      </c>
      <c r="BG17" s="84"/>
      <c r="BH17" s="85"/>
      <c r="BI17" s="85"/>
      <c r="BJ17" s="85"/>
      <c r="BK17" s="85"/>
      <c r="BL17" s="86"/>
      <c r="BM17" s="87"/>
      <c r="BN17" s="83">
        <f>IF(MONTH(DATE($B$2,9,3))=9,DATE($B$2,9,3),"")</f>
        <v>46268</v>
      </c>
      <c r="BO17" s="84"/>
      <c r="BP17" s="85"/>
      <c r="BQ17" s="85"/>
      <c r="BR17" s="85"/>
      <c r="BS17" s="85"/>
      <c r="BT17" s="86"/>
      <c r="BU17" s="87"/>
      <c r="BV17" s="83">
        <f>IF(MONTH(DATE($B$2,10,3))=10,DATE($B$2,10,3),"")</f>
        <v>46298</v>
      </c>
      <c r="BW17" s="84"/>
      <c r="BX17" s="85"/>
      <c r="BY17" s="85"/>
      <c r="BZ17" s="85"/>
      <c r="CA17" s="85"/>
      <c r="CB17" s="86"/>
      <c r="CC17" s="87"/>
      <c r="CD17" s="83">
        <f>IF(MONTH(DATE($B$2,11,3))=11,DATE($B$2,11,3),"")</f>
        <v>46329</v>
      </c>
      <c r="CE17" s="84"/>
      <c r="CF17" s="85"/>
      <c r="CG17" s="85"/>
      <c r="CH17" s="85"/>
      <c r="CI17" s="85"/>
      <c r="CJ17" s="86"/>
      <c r="CK17" s="87"/>
      <c r="CL17" s="83">
        <f>IF(MONTH(DATE($B$2,12,3))=12,DATE($B$2,12,3),"")</f>
        <v>46359</v>
      </c>
      <c r="CM17" s="84"/>
      <c r="CN17" s="85"/>
      <c r="CO17" s="85"/>
      <c r="CP17" s="85"/>
      <c r="CQ17" s="85"/>
      <c r="CR17" s="86"/>
      <c r="CS17" s="41"/>
    </row>
    <row r="18" s="0" ht="19.2" customHeight="1" customFormat="0">
      <c r="A18" s="47"/>
      <c r="B18" s="83">
        <f>IF(MONTH(DATE($B$2,1,4))=1,DATE($B$2,1,4),"")</f>
        <v>46026</v>
      </c>
      <c r="C18" t="s" s="84">
        <v>8</v>
      </c>
      <c r="D18" s="85"/>
      <c r="E18" s="85"/>
      <c r="F18" s="85"/>
      <c r="G18" s="85"/>
      <c r="H18" s="86"/>
      <c r="I18" s="87"/>
      <c r="J18" s="83">
        <f>IF(MONTH(DATE($B$2,2,4))=2,DATE($B$2,2,4),"")</f>
        <v>46057</v>
      </c>
      <c r="K18" s="84"/>
      <c r="L18" s="85"/>
      <c r="M18" s="85"/>
      <c r="N18" s="85"/>
      <c r="O18" s="85"/>
      <c r="P18" s="86"/>
      <c r="Q18" s="87"/>
      <c r="R18" s="83">
        <f>IF(MONTH(DATE($B$2,3,4))=3,DATE($B$2,3,4),"")</f>
        <v>46085</v>
      </c>
      <c r="S18" s="84"/>
      <c r="T18" s="85"/>
      <c r="U18" s="85"/>
      <c r="V18" s="85"/>
      <c r="W18" s="85"/>
      <c r="X18" s="86"/>
      <c r="Y18" s="87"/>
      <c r="Z18" s="83">
        <f>IF(MONTH(DATE($B$2,4,4))=4,DATE($B$2,4,4),"")</f>
        <v>46116</v>
      </c>
      <c r="AA18" s="84"/>
      <c r="AB18" s="85"/>
      <c r="AC18" s="85"/>
      <c r="AD18" s="85"/>
      <c r="AE18" s="85"/>
      <c r="AF18" s="86"/>
      <c r="AG18" s="87"/>
      <c r="AH18" s="83">
        <f>IF(MONTH(DATE($B$2,5,4))=5,DATE($B$2,5,4),"")</f>
        <v>46146</v>
      </c>
      <c r="AI18" s="84"/>
      <c r="AJ18" s="85"/>
      <c r="AK18" s="85"/>
      <c r="AL18" s="85"/>
      <c r="AM18" s="85"/>
      <c r="AN18" s="86"/>
      <c r="AO18" s="87"/>
      <c r="AP18" s="83">
        <f>IF(MONTH(DATE($B$2,6,4))=6,DATE($B$2,6,4),"")</f>
        <v>46177</v>
      </c>
      <c r="AQ18" s="84"/>
      <c r="AR18" s="85"/>
      <c r="AS18" s="85"/>
      <c r="AT18" s="85"/>
      <c r="AU18" s="85"/>
      <c r="AV18" s="86"/>
      <c r="AW18" s="87"/>
      <c r="AX18" s="83">
        <f>IF(MONTH(DATE($B$2,7,4))=7,DATE($B$2,7,4),"")</f>
        <v>46207</v>
      </c>
      <c r="AY18" s="84"/>
      <c r="AZ18" s="85"/>
      <c r="BA18" s="85"/>
      <c r="BB18" s="85"/>
      <c r="BC18" s="85"/>
      <c r="BD18" s="86"/>
      <c r="BE18" s="87"/>
      <c r="BF18" s="83">
        <f>IF(MONTH(DATE($B$2,8,4))=8,DATE($B$2,8,4),"")</f>
        <v>46238</v>
      </c>
      <c r="BG18" s="84"/>
      <c r="BH18" s="85"/>
      <c r="BI18" s="85"/>
      <c r="BJ18" s="85"/>
      <c r="BK18" s="85"/>
      <c r="BL18" s="86"/>
      <c r="BM18" s="87"/>
      <c r="BN18" s="83">
        <f>IF(MONTH(DATE($B$2,9,4))=9,DATE($B$2,9,4),"")</f>
        <v>46269</v>
      </c>
      <c r="BO18" s="84"/>
      <c r="BP18" s="85"/>
      <c r="BQ18" s="85"/>
      <c r="BR18" s="85"/>
      <c r="BS18" s="85"/>
      <c r="BT18" s="86"/>
      <c r="BU18" s="87"/>
      <c r="BV18" s="83">
        <f>IF(MONTH(DATE($B$2,10,4))=10,DATE($B$2,10,4),"")</f>
        <v>46299</v>
      </c>
      <c r="BW18" s="84"/>
      <c r="BX18" s="85"/>
      <c r="BY18" s="85"/>
      <c r="BZ18" s="85"/>
      <c r="CA18" s="85"/>
      <c r="CB18" s="86"/>
      <c r="CC18" s="87"/>
      <c r="CD18" s="83">
        <f>IF(MONTH(DATE($B$2,11,4))=11,DATE($B$2,11,4),"")</f>
        <v>46330</v>
      </c>
      <c r="CE18" s="84"/>
      <c r="CF18" s="85"/>
      <c r="CG18" s="85"/>
      <c r="CH18" s="85"/>
      <c r="CI18" s="85"/>
      <c r="CJ18" s="86"/>
      <c r="CK18" s="87"/>
      <c r="CL18" s="83">
        <f>IF(MONTH(DATE($B$2,12,4))=12,DATE($B$2,12,4),"")</f>
        <v>46360</v>
      </c>
      <c r="CM18" s="84"/>
      <c r="CN18" s="85"/>
      <c r="CO18" s="85"/>
      <c r="CP18" s="85"/>
      <c r="CQ18" s="85"/>
      <c r="CR18" s="86"/>
      <c r="CS18" s="41"/>
    </row>
    <row r="19" s="0" ht="19.2" customHeight="1" customFormat="0">
      <c r="A19" s="47"/>
      <c r="B19" s="83">
        <f>IF(MONTH(DATE($B$2,1,5))=1,DATE($B$2,1,5),"")</f>
        <v>46027</v>
      </c>
      <c r="C19" s="84"/>
      <c r="D19" s="85"/>
      <c r="E19" s="85"/>
      <c r="F19" s="85"/>
      <c r="G19" s="85"/>
      <c r="H19" s="86"/>
      <c r="I19" s="87"/>
      <c r="J19" s="83">
        <f>IF(MONTH(DATE($B$2,2,5))=2,DATE($B$2,2,5),"")</f>
        <v>46058</v>
      </c>
      <c r="K19" s="84"/>
      <c r="L19" s="85"/>
      <c r="M19" s="85"/>
      <c r="N19" s="85"/>
      <c r="O19" s="85"/>
      <c r="P19" s="86"/>
      <c r="Q19" s="87"/>
      <c r="R19" s="83">
        <f>IF(MONTH(DATE($B$2,3,5))=3,DATE($B$2,3,5),"")</f>
        <v>46086</v>
      </c>
      <c r="S19" s="84"/>
      <c r="T19" s="85"/>
      <c r="U19" s="85"/>
      <c r="V19" s="85"/>
      <c r="W19" s="85"/>
      <c r="X19" s="86"/>
      <c r="Y19" s="87"/>
      <c r="Z19" s="83">
        <f>IF(MONTH(DATE($B$2,4,5))=4,DATE($B$2,4,5),"")</f>
        <v>46117</v>
      </c>
      <c r="AA19" s="84"/>
      <c r="AB19" s="85"/>
      <c r="AC19" s="85"/>
      <c r="AD19" s="85"/>
      <c r="AE19" s="85"/>
      <c r="AF19" s="86"/>
      <c r="AG19" s="87"/>
      <c r="AH19" s="83">
        <f>IF(MONTH(DATE($B$2,5,5))=5,DATE($B$2,5,5),"")</f>
        <v>46147</v>
      </c>
      <c r="AI19" s="84"/>
      <c r="AJ19" s="85"/>
      <c r="AK19" s="85"/>
      <c r="AL19" s="85"/>
      <c r="AM19" s="85"/>
      <c r="AN19" s="86"/>
      <c r="AO19" s="87"/>
      <c r="AP19" s="83">
        <f>IF(MONTH(DATE($B$2,6,5))=6,DATE($B$2,6,5),"")</f>
        <v>46178</v>
      </c>
      <c r="AQ19" s="84"/>
      <c r="AR19" s="85"/>
      <c r="AS19" s="85"/>
      <c r="AT19" s="85"/>
      <c r="AU19" s="85"/>
      <c r="AV19" s="86"/>
      <c r="AW19" s="87"/>
      <c r="AX19" s="83">
        <f>IF(MONTH(DATE($B$2,7,5))=7,DATE($B$2,7,5),"")</f>
        <v>46208</v>
      </c>
      <c r="AY19" s="84"/>
      <c r="AZ19" s="85"/>
      <c r="BA19" s="85"/>
      <c r="BB19" s="85"/>
      <c r="BC19" s="85"/>
      <c r="BD19" s="86"/>
      <c r="BE19" s="87"/>
      <c r="BF19" s="83">
        <f>IF(MONTH(DATE($B$2,8,5))=8,DATE($B$2,8,5),"")</f>
        <v>46239</v>
      </c>
      <c r="BG19" s="84"/>
      <c r="BH19" s="85"/>
      <c r="BI19" s="85"/>
      <c r="BJ19" s="85"/>
      <c r="BK19" s="85"/>
      <c r="BL19" s="86"/>
      <c r="BM19" s="87"/>
      <c r="BN19" s="83">
        <f>IF(MONTH(DATE($B$2,9,5))=9,DATE($B$2,9,5),"")</f>
        <v>46270</v>
      </c>
      <c r="BO19" s="84"/>
      <c r="BP19" s="85"/>
      <c r="BQ19" s="85"/>
      <c r="BR19" s="85"/>
      <c r="BS19" s="85"/>
      <c r="BT19" s="86"/>
      <c r="BU19" s="87"/>
      <c r="BV19" s="83">
        <f>IF(MONTH(DATE($B$2,10,5))=10,DATE($B$2,10,5),"")</f>
        <v>46300</v>
      </c>
      <c r="BW19" s="84"/>
      <c r="BX19" s="85"/>
      <c r="BY19" s="85"/>
      <c r="BZ19" s="85"/>
      <c r="CA19" s="85"/>
      <c r="CB19" s="86"/>
      <c r="CC19" s="87"/>
      <c r="CD19" s="83">
        <f>IF(MONTH(DATE($B$2,11,5))=11,DATE($B$2,11,5),"")</f>
        <v>46331</v>
      </c>
      <c r="CE19" s="84"/>
      <c r="CF19" s="85"/>
      <c r="CG19" s="85"/>
      <c r="CH19" s="85"/>
      <c r="CI19" s="85"/>
      <c r="CJ19" s="86"/>
      <c r="CK19" s="87"/>
      <c r="CL19" s="83">
        <f>IF(MONTH(DATE($B$2,12,5))=12,DATE($B$2,12,5),"")</f>
        <v>46361</v>
      </c>
      <c r="CM19" s="84"/>
      <c r="CN19" s="85"/>
      <c r="CO19" s="85"/>
      <c r="CP19" s="85"/>
      <c r="CQ19" s="85"/>
      <c r="CR19" s="86"/>
      <c r="CS19" s="41"/>
    </row>
    <row r="20" s="0" ht="19.2" customHeight="1" customFormat="0">
      <c r="A20" s="47"/>
      <c r="B20" s="83">
        <f>IF(MONTH(DATE($B$2,1,6))=1,DATE($B$2,1,6),"")</f>
        <v>46028</v>
      </c>
      <c r="C20" s="84"/>
      <c r="D20" s="85"/>
      <c r="E20" s="85"/>
      <c r="F20" s="85"/>
      <c r="G20" s="85"/>
      <c r="H20" s="86"/>
      <c r="I20" s="87"/>
      <c r="J20" s="83">
        <f>IF(MONTH(DATE($B$2,2,6))=2,DATE($B$2,2,6),"")</f>
        <v>46059</v>
      </c>
      <c r="K20" s="84"/>
      <c r="L20" s="85"/>
      <c r="M20" s="85"/>
      <c r="N20" s="85"/>
      <c r="O20" s="85"/>
      <c r="P20" s="86"/>
      <c r="Q20" s="87"/>
      <c r="R20" s="83">
        <f>IF(MONTH(DATE($B$2,3,6))=3,DATE($B$2,3,6),"")</f>
        <v>46087</v>
      </c>
      <c r="S20" s="84"/>
      <c r="T20" s="85"/>
      <c r="U20" s="85"/>
      <c r="V20" s="85"/>
      <c r="W20" s="85"/>
      <c r="X20" s="86"/>
      <c r="Y20" s="87"/>
      <c r="Z20" s="83">
        <f>IF(MONTH(DATE($B$2,4,6))=4,DATE($B$2,4,6),"")</f>
        <v>46118</v>
      </c>
      <c r="AA20" s="84"/>
      <c r="AB20" s="85"/>
      <c r="AC20" s="85"/>
      <c r="AD20" s="85"/>
      <c r="AE20" s="85"/>
      <c r="AF20" s="86"/>
      <c r="AG20" s="87"/>
      <c r="AH20" s="83">
        <f>IF(MONTH(DATE($B$2,5,6))=5,DATE($B$2,5,6),"")</f>
        <v>46148</v>
      </c>
      <c r="AI20" s="84"/>
      <c r="AJ20" s="85"/>
      <c r="AK20" s="85"/>
      <c r="AL20" s="85"/>
      <c r="AM20" s="85"/>
      <c r="AN20" s="86"/>
      <c r="AO20" s="87"/>
      <c r="AP20" s="83">
        <f>IF(MONTH(DATE($B$2,6,6))=6,DATE($B$2,6,6),"")</f>
        <v>46179</v>
      </c>
      <c r="AQ20" s="84"/>
      <c r="AR20" s="85"/>
      <c r="AS20" s="85"/>
      <c r="AT20" s="85"/>
      <c r="AU20" s="85"/>
      <c r="AV20" s="86"/>
      <c r="AW20" s="87"/>
      <c r="AX20" s="83">
        <f>IF(MONTH(DATE($B$2,7,6))=7,DATE($B$2,7,6),"")</f>
        <v>46209</v>
      </c>
      <c r="AY20" s="84"/>
      <c r="AZ20" s="85"/>
      <c r="BA20" s="85"/>
      <c r="BB20" s="85"/>
      <c r="BC20" s="85"/>
      <c r="BD20" s="86"/>
      <c r="BE20" s="87"/>
      <c r="BF20" s="83">
        <f>IF(MONTH(DATE($B$2,8,6))=8,DATE($B$2,8,6),"")</f>
        <v>46240</v>
      </c>
      <c r="BG20" s="84"/>
      <c r="BH20" s="85"/>
      <c r="BI20" s="85"/>
      <c r="BJ20" s="85"/>
      <c r="BK20" s="85"/>
      <c r="BL20" s="86"/>
      <c r="BM20" s="87"/>
      <c r="BN20" s="83">
        <f>IF(MONTH(DATE($B$2,9,6))=9,DATE($B$2,9,6),"")</f>
        <v>46271</v>
      </c>
      <c r="BO20" s="84"/>
      <c r="BP20" s="85"/>
      <c r="BQ20" s="85"/>
      <c r="BR20" s="85"/>
      <c r="BS20" s="85"/>
      <c r="BT20" s="86"/>
      <c r="BU20" s="87"/>
      <c r="BV20" s="83">
        <f>IF(MONTH(DATE($B$2,10,6))=10,DATE($B$2,10,6),"")</f>
        <v>46301</v>
      </c>
      <c r="BW20" s="84"/>
      <c r="BX20" s="85"/>
      <c r="BY20" s="85"/>
      <c r="BZ20" s="85"/>
      <c r="CA20" s="85"/>
      <c r="CB20" s="86"/>
      <c r="CC20" s="87"/>
      <c r="CD20" s="83">
        <f>IF(MONTH(DATE($B$2,11,6))=11,DATE($B$2,11,6),"")</f>
        <v>46332</v>
      </c>
      <c r="CE20" s="84"/>
      <c r="CF20" s="85"/>
      <c r="CG20" s="85"/>
      <c r="CH20" s="85"/>
      <c r="CI20" s="85"/>
      <c r="CJ20" s="86"/>
      <c r="CK20" s="87"/>
      <c r="CL20" s="83">
        <f>IF(MONTH(DATE($B$2,12,6))=12,DATE($B$2,12,6),"")</f>
        <v>46362</v>
      </c>
      <c r="CM20" s="84"/>
      <c r="CN20" s="85"/>
      <c r="CO20" s="85"/>
      <c r="CP20" s="85"/>
      <c r="CQ20" s="85"/>
      <c r="CR20" s="86"/>
      <c r="CS20" s="41"/>
    </row>
    <row r="21" s="0" ht="19.2" customHeight="1" customFormat="0">
      <c r="A21" s="47"/>
      <c r="B21" s="83">
        <f>IF(MONTH(DATE($B$2,1,7))=1,DATE($B$2,1,7),"")</f>
        <v>46029</v>
      </c>
      <c r="C21" s="84"/>
      <c r="D21" s="85"/>
      <c r="E21" s="85"/>
      <c r="F21" s="85"/>
      <c r="G21" s="85"/>
      <c r="H21" s="86"/>
      <c r="I21" s="87"/>
      <c r="J21" s="83">
        <f>IF(MONTH(DATE($B$2,2,7))=2,DATE($B$2,2,7),"")</f>
        <v>46060</v>
      </c>
      <c r="K21" s="84"/>
      <c r="L21" s="85"/>
      <c r="M21" s="85"/>
      <c r="N21" s="85"/>
      <c r="O21" s="85"/>
      <c r="P21" s="86"/>
      <c r="Q21" s="87"/>
      <c r="R21" s="83">
        <f>IF(MONTH(DATE($B$2,3,7))=3,DATE($B$2,3,7),"")</f>
        <v>46088</v>
      </c>
      <c r="S21" s="84"/>
      <c r="T21" s="85"/>
      <c r="U21" s="85"/>
      <c r="V21" s="85"/>
      <c r="W21" s="85"/>
      <c r="X21" s="86"/>
      <c r="Y21" s="87"/>
      <c r="Z21" s="83">
        <f>IF(MONTH(DATE($B$2,4,7))=4,DATE($B$2,4,7),"")</f>
        <v>46119</v>
      </c>
      <c r="AA21" s="84"/>
      <c r="AB21" s="85"/>
      <c r="AC21" s="85"/>
      <c r="AD21" s="85"/>
      <c r="AE21" s="85"/>
      <c r="AF21" s="86"/>
      <c r="AG21" s="87"/>
      <c r="AH21" s="83">
        <f>IF(MONTH(DATE($B$2,5,7))=5,DATE($B$2,5,7),"")</f>
        <v>46149</v>
      </c>
      <c r="AI21" s="84"/>
      <c r="AJ21" s="85"/>
      <c r="AK21" s="85"/>
      <c r="AL21" s="85"/>
      <c r="AM21" s="85"/>
      <c r="AN21" s="86"/>
      <c r="AO21" s="87"/>
      <c r="AP21" s="83">
        <f>IF(MONTH(DATE($B$2,6,7))=6,DATE($B$2,6,7),"")</f>
        <v>46180</v>
      </c>
      <c r="AQ21" s="84"/>
      <c r="AR21" s="85"/>
      <c r="AS21" s="85"/>
      <c r="AT21" s="85"/>
      <c r="AU21" s="85"/>
      <c r="AV21" s="86"/>
      <c r="AW21" s="87"/>
      <c r="AX21" s="83">
        <f>IF(MONTH(DATE($B$2,7,7))=7,DATE($B$2,7,7),"")</f>
        <v>46210</v>
      </c>
      <c r="AY21" s="84"/>
      <c r="AZ21" s="85"/>
      <c r="BA21" s="85"/>
      <c r="BB21" s="85"/>
      <c r="BC21" s="85"/>
      <c r="BD21" s="86"/>
      <c r="BE21" s="87"/>
      <c r="BF21" s="83">
        <f>IF(MONTH(DATE($B$2,8,7))=8,DATE($B$2,8,7),"")</f>
        <v>46241</v>
      </c>
      <c r="BG21" s="84"/>
      <c r="BH21" s="85"/>
      <c r="BI21" s="85"/>
      <c r="BJ21" s="85"/>
      <c r="BK21" s="85"/>
      <c r="BL21" s="86"/>
      <c r="BM21" s="87"/>
      <c r="BN21" s="83">
        <f>IF(MONTH(DATE($B$2,9,7))=9,DATE($B$2,9,7),"")</f>
        <v>46272</v>
      </c>
      <c r="BO21" s="84"/>
      <c r="BP21" s="85"/>
      <c r="BQ21" s="85"/>
      <c r="BR21" s="85"/>
      <c r="BS21" s="85"/>
      <c r="BT21" s="86"/>
      <c r="BU21" s="87"/>
      <c r="BV21" s="83">
        <f>IF(MONTH(DATE($B$2,10,7))=10,DATE($B$2,10,7),"")</f>
        <v>46302</v>
      </c>
      <c r="BW21" t="s" s="84">
        <v>10</v>
      </c>
      <c r="BX21" s="85"/>
      <c r="BY21" s="85"/>
      <c r="BZ21" s="85"/>
      <c r="CA21" s="85"/>
      <c r="CB21" s="86"/>
      <c r="CC21" s="87"/>
      <c r="CD21" s="83">
        <f>IF(MONTH(DATE($B$2,11,7))=11,DATE($B$2,11,7),"")</f>
        <v>46333</v>
      </c>
      <c r="CE21" s="84"/>
      <c r="CF21" s="85"/>
      <c r="CG21" s="85"/>
      <c r="CH21" s="85"/>
      <c r="CI21" s="85"/>
      <c r="CJ21" s="86"/>
      <c r="CK21" s="87"/>
      <c r="CL21" s="83">
        <f>IF(MONTH(DATE($B$2,12,7))=12,DATE($B$2,12,7),"")</f>
        <v>46363</v>
      </c>
      <c r="CM21" s="84"/>
      <c r="CN21" s="85"/>
      <c r="CO21" s="85"/>
      <c r="CP21" s="85"/>
      <c r="CQ21" s="85"/>
      <c r="CR21" s="86"/>
      <c r="CS21" s="41"/>
    </row>
    <row r="22" s="0" ht="19.2" customHeight="1" customFormat="0">
      <c r="A22" s="47"/>
      <c r="B22" s="83">
        <f>IF(MONTH(DATE($B$2,1,8))=1,DATE($B$2,1,8),"")</f>
        <v>46030</v>
      </c>
      <c r="C22" s="84"/>
      <c r="D22" s="85"/>
      <c r="E22" s="85"/>
      <c r="F22" s="85"/>
      <c r="G22" s="85"/>
      <c r="H22" s="86"/>
      <c r="I22" s="87"/>
      <c r="J22" s="83">
        <f>IF(MONTH(DATE($B$2,2,8))=2,DATE($B$2,2,8),"")</f>
        <v>46061</v>
      </c>
      <c r="K22" s="84"/>
      <c r="L22" s="85"/>
      <c r="M22" s="85"/>
      <c r="N22" s="85"/>
      <c r="O22" s="85"/>
      <c r="P22" s="86"/>
      <c r="Q22" s="87"/>
      <c r="R22" s="83">
        <f>IF(MONTH(DATE($B$2,3,8))=3,DATE($B$2,3,8),"")</f>
        <v>46089</v>
      </c>
      <c r="S22" s="84"/>
      <c r="T22" s="85"/>
      <c r="U22" s="85"/>
      <c r="V22" s="85"/>
      <c r="W22" s="85"/>
      <c r="X22" s="86"/>
      <c r="Y22" s="87"/>
      <c r="Z22" s="83">
        <f>IF(MONTH(DATE($B$2,4,8))=4,DATE($B$2,4,8),"")</f>
        <v>46120</v>
      </c>
      <c r="AA22" s="84"/>
      <c r="AB22" s="85"/>
      <c r="AC22" s="85"/>
      <c r="AD22" s="85"/>
      <c r="AE22" s="85"/>
      <c r="AF22" s="86"/>
      <c r="AG22" s="87"/>
      <c r="AH22" s="83">
        <f>IF(MONTH(DATE($B$2,5,8))=5,DATE($B$2,5,8),"")</f>
        <v>46150</v>
      </c>
      <c r="AI22" t="s" s="84">
        <v>7</v>
      </c>
      <c r="AJ22" s="85"/>
      <c r="AK22" s="85"/>
      <c r="AL22" s="85"/>
      <c r="AM22" s="85"/>
      <c r="AN22" s="86"/>
      <c r="AO22" s="87"/>
      <c r="AP22" s="83">
        <f>IF(MONTH(DATE($B$2,6,8))=6,DATE($B$2,6,8),"")</f>
        <v>46181</v>
      </c>
      <c r="AQ22" s="84"/>
      <c r="AR22" s="85"/>
      <c r="AS22" s="85"/>
      <c r="AT22" s="85"/>
      <c r="AU22" s="85"/>
      <c r="AV22" s="86"/>
      <c r="AW22" s="87"/>
      <c r="AX22" s="83">
        <f>IF(MONTH(DATE($B$2,7,8))=7,DATE($B$2,7,8),"")</f>
        <v>46211</v>
      </c>
      <c r="AY22" s="84"/>
      <c r="AZ22" s="85"/>
      <c r="BA22" s="85"/>
      <c r="BB22" s="85"/>
      <c r="BC22" s="85"/>
      <c r="BD22" s="86"/>
      <c r="BE22" s="87"/>
      <c r="BF22" s="83">
        <f>IF(MONTH(DATE($B$2,8,8))=8,DATE($B$2,8,8),"")</f>
        <v>46242</v>
      </c>
      <c r="BG22" s="84"/>
      <c r="BH22" s="85"/>
      <c r="BI22" s="85"/>
      <c r="BJ22" s="85"/>
      <c r="BK22" s="85"/>
      <c r="BL22" s="86"/>
      <c r="BM22" s="87"/>
      <c r="BN22" s="83">
        <f>IF(MONTH(DATE($B$2,9,8))=9,DATE($B$2,9,8),"")</f>
        <v>46273</v>
      </c>
      <c r="BO22" s="84"/>
      <c r="BP22" s="85"/>
      <c r="BQ22" s="85"/>
      <c r="BR22" s="85"/>
      <c r="BS22" s="85"/>
      <c r="BT22" s="86"/>
      <c r="BU22" s="87"/>
      <c r="BV22" s="83">
        <f>IF(MONTH(DATE($B$2,10,8))=10,DATE($B$2,10,8),"")</f>
        <v>46303</v>
      </c>
      <c r="BW22" s="84"/>
      <c r="BX22" s="85"/>
      <c r="BY22" s="85"/>
      <c r="BZ22" s="85"/>
      <c r="CA22" s="85"/>
      <c r="CB22" s="86"/>
      <c r="CC22" s="87"/>
      <c r="CD22" s="83">
        <f>IF(MONTH(DATE($B$2,11,8))=11,DATE($B$2,11,8),"")</f>
        <v>46334</v>
      </c>
      <c r="CE22" s="84"/>
      <c r="CF22" s="85"/>
      <c r="CG22" s="85"/>
      <c r="CH22" s="85"/>
      <c r="CI22" s="85"/>
      <c r="CJ22" s="86"/>
      <c r="CK22" s="87"/>
      <c r="CL22" s="83">
        <f>IF(MONTH(DATE($B$2,12,8))=12,DATE($B$2,12,8),"")</f>
        <v>46364</v>
      </c>
      <c r="CM22" s="84"/>
      <c r="CN22" s="85"/>
      <c r="CO22" s="85"/>
      <c r="CP22" s="85"/>
      <c r="CQ22" s="85"/>
      <c r="CR22" s="86"/>
      <c r="CS22" s="41"/>
    </row>
    <row r="23" s="0" ht="19.2" customHeight="1" customFormat="0">
      <c r="A23" s="47"/>
      <c r="B23" s="83">
        <f>IF(MONTH(DATE($B$2,1,9))=1,DATE($B$2,1,9),"")</f>
        <v>46031</v>
      </c>
      <c r="C23" s="84"/>
      <c r="D23" s="85"/>
      <c r="E23" s="85"/>
      <c r="F23" s="85"/>
      <c r="G23" s="85"/>
      <c r="H23" s="86"/>
      <c r="I23" s="87"/>
      <c r="J23" s="83">
        <f>IF(MONTH(DATE($B$2,2,9))=2,DATE($B$2,2,9),"")</f>
        <v>46062</v>
      </c>
      <c r="K23" s="84"/>
      <c r="L23" s="85"/>
      <c r="M23" s="85"/>
      <c r="N23" s="85"/>
      <c r="O23" s="85"/>
      <c r="P23" s="86"/>
      <c r="Q23" s="87"/>
      <c r="R23" s="83">
        <f>IF(MONTH(DATE($B$2,3,9))=3,DATE($B$2,3,9),"")</f>
        <v>46090</v>
      </c>
      <c r="S23" s="84"/>
      <c r="T23" s="85"/>
      <c r="U23" s="85"/>
      <c r="V23" s="85"/>
      <c r="W23" s="85"/>
      <c r="X23" s="86"/>
      <c r="Y23" s="87"/>
      <c r="Z23" s="83">
        <f>IF(MONTH(DATE($B$2,4,9))=4,DATE($B$2,4,9),"")</f>
        <v>46121</v>
      </c>
      <c r="AA23" s="84"/>
      <c r="AB23" s="85"/>
      <c r="AC23" s="85"/>
      <c r="AD23" s="85"/>
      <c r="AE23" s="85"/>
      <c r="AF23" s="86"/>
      <c r="AG23" s="87"/>
      <c r="AH23" s="83">
        <f>IF(MONTH(DATE($B$2,5,9))=5,DATE($B$2,5,9),"")</f>
        <v>46151</v>
      </c>
      <c r="AI23" s="84"/>
      <c r="AJ23" s="85"/>
      <c r="AK23" s="85"/>
      <c r="AL23" s="85"/>
      <c r="AM23" s="85"/>
      <c r="AN23" s="86"/>
      <c r="AO23" s="87"/>
      <c r="AP23" s="83">
        <f>IF(MONTH(DATE($B$2,6,9))=6,DATE($B$2,6,9),"")</f>
        <v>46182</v>
      </c>
      <c r="AQ23" s="84"/>
      <c r="AR23" s="85"/>
      <c r="AS23" s="85"/>
      <c r="AT23" s="85"/>
      <c r="AU23" s="85"/>
      <c r="AV23" s="86"/>
      <c r="AW23" s="87"/>
      <c r="AX23" s="83">
        <f>IF(MONTH(DATE($B$2,7,9))=7,DATE($B$2,7,9),"")</f>
        <v>46212</v>
      </c>
      <c r="AY23" s="84"/>
      <c r="AZ23" s="85"/>
      <c r="BA23" s="85"/>
      <c r="BB23" s="85"/>
      <c r="BC23" s="85"/>
      <c r="BD23" s="86"/>
      <c r="BE23" s="87"/>
      <c r="BF23" s="83">
        <f>IF(MONTH(DATE($B$2,8,9))=8,DATE($B$2,8,9),"")</f>
        <v>46243</v>
      </c>
      <c r="BG23" s="84"/>
      <c r="BH23" s="85"/>
      <c r="BI23" s="85"/>
      <c r="BJ23" s="85"/>
      <c r="BK23" s="85"/>
      <c r="BL23" s="86"/>
      <c r="BM23" s="87"/>
      <c r="BN23" s="83">
        <f>IF(MONTH(DATE($B$2,9,9))=9,DATE($B$2,9,9),"")</f>
        <v>46274</v>
      </c>
      <c r="BO23" s="84"/>
      <c r="BP23" s="85"/>
      <c r="BQ23" s="85"/>
      <c r="BR23" s="85"/>
      <c r="BS23" s="85"/>
      <c r="BT23" s="86"/>
      <c r="BU23" s="87"/>
      <c r="BV23" s="83">
        <f>IF(MONTH(DATE($B$2,10,9))=10,DATE($B$2,10,9),"")</f>
        <v>46304</v>
      </c>
      <c r="BW23" s="84"/>
      <c r="BX23" s="85"/>
      <c r="BY23" s="85"/>
      <c r="BZ23" s="85"/>
      <c r="CA23" s="85"/>
      <c r="CB23" s="86"/>
      <c r="CC23" s="87"/>
      <c r="CD23" s="83">
        <f>IF(MONTH(DATE($B$2,11,9))=11,DATE($B$2,11,9),"")</f>
        <v>46335</v>
      </c>
      <c r="CE23" s="84"/>
      <c r="CF23" s="85"/>
      <c r="CG23" s="85"/>
      <c r="CH23" s="85"/>
      <c r="CI23" s="85"/>
      <c r="CJ23" s="86"/>
      <c r="CK23" s="87"/>
      <c r="CL23" s="83">
        <f>IF(MONTH(DATE($B$2,12,9))=12,DATE($B$2,12,9),"")</f>
        <v>46365</v>
      </c>
      <c r="CM23" s="84"/>
      <c r="CN23" s="85"/>
      <c r="CO23" s="85"/>
      <c r="CP23" s="85"/>
      <c r="CQ23" s="85"/>
      <c r="CR23" s="86"/>
      <c r="CS23" s="41"/>
    </row>
    <row r="24" s="0" ht="19.2" customHeight="1" customFormat="0">
      <c r="A24" s="47"/>
      <c r="B24" s="83">
        <f>IF(MONTH(DATE($B$2,1,10))=1,DATE($B$2,1,10),"")</f>
        <v>46032</v>
      </c>
      <c r="C24" s="84"/>
      <c r="D24" s="85"/>
      <c r="E24" s="85"/>
      <c r="F24" s="85"/>
      <c r="G24" s="85"/>
      <c r="H24" s="86"/>
      <c r="I24" s="87"/>
      <c r="J24" s="83">
        <f>IF(MONTH(DATE($B$2,2,10))=2,DATE($B$2,2,10),"")</f>
        <v>46063</v>
      </c>
      <c r="K24" s="84"/>
      <c r="L24" s="85"/>
      <c r="M24" s="85"/>
      <c r="N24" s="85"/>
      <c r="O24" s="85"/>
      <c r="P24" s="86"/>
      <c r="Q24" s="87"/>
      <c r="R24" s="83">
        <f>IF(MONTH(DATE($B$2,3,10))=3,DATE($B$2,3,10),"")</f>
        <v>46091</v>
      </c>
      <c r="S24" s="84"/>
      <c r="T24" s="85"/>
      <c r="U24" s="85"/>
      <c r="V24" s="85"/>
      <c r="W24" s="85"/>
      <c r="X24" s="86"/>
      <c r="Y24" s="87"/>
      <c r="Z24" s="83">
        <f>IF(MONTH(DATE($B$2,4,10))=4,DATE($B$2,4,10),"")</f>
        <v>46122</v>
      </c>
      <c r="AA24" s="84"/>
      <c r="AB24" s="85"/>
      <c r="AC24" s="85"/>
      <c r="AD24" s="85"/>
      <c r="AE24" s="85"/>
      <c r="AF24" s="86"/>
      <c r="AG24" s="87"/>
      <c r="AH24" s="83">
        <f>IF(MONTH(DATE($B$2,5,10))=5,DATE($B$2,5,10),"")</f>
        <v>46152</v>
      </c>
      <c r="AI24" s="84"/>
      <c r="AJ24" s="85"/>
      <c r="AK24" s="85"/>
      <c r="AL24" s="85"/>
      <c r="AM24" s="85"/>
      <c r="AN24" s="86"/>
      <c r="AO24" s="87"/>
      <c r="AP24" s="83">
        <f>IF(MONTH(DATE($B$2,6,10))=6,DATE($B$2,6,10),"")</f>
        <v>46183</v>
      </c>
      <c r="AQ24" s="84"/>
      <c r="AR24" s="85"/>
      <c r="AS24" s="85"/>
      <c r="AT24" s="85"/>
      <c r="AU24" s="85"/>
      <c r="AV24" s="86"/>
      <c r="AW24" s="87"/>
      <c r="AX24" s="83">
        <f>IF(MONTH(DATE($B$2,7,10))=7,DATE($B$2,7,10),"")</f>
        <v>46213</v>
      </c>
      <c r="AY24" s="84"/>
      <c r="AZ24" s="85"/>
      <c r="BA24" s="85"/>
      <c r="BB24" s="85"/>
      <c r="BC24" s="85"/>
      <c r="BD24" s="86"/>
      <c r="BE24" s="87"/>
      <c r="BF24" s="83">
        <f>IF(MONTH(DATE($B$2,8,10))=8,DATE($B$2,8,10),"")</f>
        <v>46244</v>
      </c>
      <c r="BG24" s="84"/>
      <c r="BH24" s="85"/>
      <c r="BI24" s="85"/>
      <c r="BJ24" s="85"/>
      <c r="BK24" s="85"/>
      <c r="BL24" s="86"/>
      <c r="BM24" s="87"/>
      <c r="BN24" s="83">
        <f>IF(MONTH(DATE($B$2,9,10))=9,DATE($B$2,9,10),"")</f>
        <v>46275</v>
      </c>
      <c r="BO24" s="84"/>
      <c r="BP24" s="85"/>
      <c r="BQ24" s="85"/>
      <c r="BR24" s="85"/>
      <c r="BS24" s="85"/>
      <c r="BT24" s="86"/>
      <c r="BU24" s="87"/>
      <c r="BV24" s="83">
        <f>IF(MONTH(DATE($B$2,10,10))=10,DATE($B$2,10,10),"")</f>
        <v>46305</v>
      </c>
      <c r="BW24" s="84"/>
      <c r="BX24" s="85"/>
      <c r="BY24" s="85"/>
      <c r="BZ24" s="85"/>
      <c r="CA24" s="85"/>
      <c r="CB24" s="86"/>
      <c r="CC24" s="87"/>
      <c r="CD24" s="83">
        <f>IF(MONTH(DATE($B$2,11,10))=11,DATE($B$2,11,10),"")</f>
        <v>46336</v>
      </c>
      <c r="CE24" s="84"/>
      <c r="CF24" s="85"/>
      <c r="CG24" s="85"/>
      <c r="CH24" s="85"/>
      <c r="CI24" s="85"/>
      <c r="CJ24" s="86"/>
      <c r="CK24" s="87"/>
      <c r="CL24" s="83">
        <f>IF(MONTH(DATE($B$2,12,10))=12,DATE($B$2,12,10),"")</f>
        <v>46366</v>
      </c>
      <c r="CM24" s="84"/>
      <c r="CN24" s="85"/>
      <c r="CO24" s="85"/>
      <c r="CP24" s="85"/>
      <c r="CQ24" s="85"/>
      <c r="CR24" s="86"/>
      <c r="CS24" s="41"/>
    </row>
    <row r="25" s="0" ht="19.2" customHeight="1" customFormat="0">
      <c r="A25" s="47"/>
      <c r="B25" s="83">
        <f>IF(MONTH(DATE($B$2,1,11))=1,DATE($B$2,1,11),"")</f>
        <v>46033</v>
      </c>
      <c r="C25" s="84"/>
      <c r="D25" s="85"/>
      <c r="E25" s="85"/>
      <c r="F25" s="85"/>
      <c r="G25" s="85"/>
      <c r="H25" s="86"/>
      <c r="I25" s="87"/>
      <c r="J25" s="83">
        <f>IF(MONTH(DATE($B$2,2,11))=2,DATE($B$2,2,11),"")</f>
        <v>46064</v>
      </c>
      <c r="K25" s="84"/>
      <c r="L25" s="85"/>
      <c r="M25" s="85"/>
      <c r="N25" s="85"/>
      <c r="O25" s="85"/>
      <c r="P25" s="86"/>
      <c r="Q25" s="87"/>
      <c r="R25" s="83">
        <f>IF(MONTH(DATE($B$2,3,11))=3,DATE($B$2,3,11),"")</f>
        <v>46092</v>
      </c>
      <c r="S25" s="84"/>
      <c r="T25" s="85"/>
      <c r="U25" s="85"/>
      <c r="V25" s="85"/>
      <c r="W25" s="85"/>
      <c r="X25" s="86"/>
      <c r="Y25" s="87"/>
      <c r="Z25" s="83">
        <f>IF(MONTH(DATE($B$2,4,11))=4,DATE($B$2,4,11),"")</f>
        <v>46123</v>
      </c>
      <c r="AA25" s="84"/>
      <c r="AB25" s="85"/>
      <c r="AC25" s="85"/>
      <c r="AD25" s="85"/>
      <c r="AE25" s="85"/>
      <c r="AF25" s="86"/>
      <c r="AG25" s="87"/>
      <c r="AH25" s="83">
        <f>IF(MONTH(DATE($B$2,5,11))=5,DATE($B$2,5,11),"")</f>
        <v>46153</v>
      </c>
      <c r="AI25" s="84"/>
      <c r="AJ25" s="85"/>
      <c r="AK25" s="85"/>
      <c r="AL25" s="85"/>
      <c r="AM25" s="85"/>
      <c r="AN25" s="86"/>
      <c r="AO25" s="87"/>
      <c r="AP25" s="83">
        <f>IF(MONTH(DATE($B$2,6,11))=6,DATE($B$2,6,11),"")</f>
        <v>46184</v>
      </c>
      <c r="AQ25" s="84"/>
      <c r="AR25" s="85"/>
      <c r="AS25" s="85"/>
      <c r="AT25" s="85"/>
      <c r="AU25" s="85"/>
      <c r="AV25" s="86"/>
      <c r="AW25" s="87"/>
      <c r="AX25" s="83">
        <f>IF(MONTH(DATE($B$2,7,11))=7,DATE($B$2,7,11),"")</f>
        <v>46214</v>
      </c>
      <c r="AY25" s="84"/>
      <c r="AZ25" s="85"/>
      <c r="BA25" s="85"/>
      <c r="BB25" s="85"/>
      <c r="BC25" s="85"/>
      <c r="BD25" s="86"/>
      <c r="BE25" s="87"/>
      <c r="BF25" s="83">
        <f>IF(MONTH(DATE($B$2,8,11))=8,DATE($B$2,8,11),"")</f>
        <v>46245</v>
      </c>
      <c r="BG25" s="84"/>
      <c r="BH25" s="85"/>
      <c r="BI25" s="85"/>
      <c r="BJ25" s="85"/>
      <c r="BK25" s="85"/>
      <c r="BL25" s="86"/>
      <c r="BM25" s="87"/>
      <c r="BN25" s="83">
        <f>IF(MONTH(DATE($B$2,9,11))=9,DATE($B$2,9,11),"")</f>
        <v>46276</v>
      </c>
      <c r="BO25" s="84"/>
      <c r="BP25" s="85"/>
      <c r="BQ25" s="85"/>
      <c r="BR25" s="85"/>
      <c r="BS25" s="85"/>
      <c r="BT25" s="86"/>
      <c r="BU25" s="87"/>
      <c r="BV25" s="83">
        <f>IF(MONTH(DATE($B$2,10,11))=10,DATE($B$2,10,11),"")</f>
        <v>46306</v>
      </c>
      <c r="BW25" s="84"/>
      <c r="BX25" s="85"/>
      <c r="BY25" s="85"/>
      <c r="BZ25" s="85"/>
      <c r="CA25" s="85"/>
      <c r="CB25" s="86"/>
      <c r="CC25" s="87"/>
      <c r="CD25" s="83">
        <f>IF(MONTH(DATE($B$2,11,11))=11,DATE($B$2,11,11),"")</f>
        <v>46337</v>
      </c>
      <c r="CE25" s="84"/>
      <c r="CF25" s="85"/>
      <c r="CG25" s="85"/>
      <c r="CH25" s="85"/>
      <c r="CI25" s="85"/>
      <c r="CJ25" s="86"/>
      <c r="CK25" s="87"/>
      <c r="CL25" s="83">
        <f>IF(MONTH(DATE($B$2,12,11))=12,DATE($B$2,12,11),"")</f>
        <v>46367</v>
      </c>
      <c r="CM25" s="84"/>
      <c r="CN25" s="85"/>
      <c r="CO25" s="85"/>
      <c r="CP25" s="85"/>
      <c r="CQ25" s="85"/>
      <c r="CR25" s="86"/>
      <c r="CS25" s="41"/>
    </row>
    <row r="26" s="0" ht="19.2" customHeight="1" customFormat="0">
      <c r="A26" s="47"/>
      <c r="B26" s="83">
        <f>IF(MONTH(DATE($B$2,1,12))=1,DATE($B$2,1,12),"")</f>
        <v>46034</v>
      </c>
      <c r="C26" s="84"/>
      <c r="D26" s="85"/>
      <c r="E26" s="85"/>
      <c r="F26" s="85"/>
      <c r="G26" s="85"/>
      <c r="H26" s="86"/>
      <c r="I26" s="87"/>
      <c r="J26" s="83">
        <f>IF(MONTH(DATE($B$2,2,12))=2,DATE($B$2,2,12),"")</f>
        <v>46065</v>
      </c>
      <c r="K26" s="84"/>
      <c r="L26" s="85"/>
      <c r="M26" s="85"/>
      <c r="N26" s="85"/>
      <c r="O26" s="85"/>
      <c r="P26" s="86"/>
      <c r="Q26" s="87"/>
      <c r="R26" s="83">
        <f>IF(MONTH(DATE($B$2,3,12))=3,DATE($B$2,3,12),"")</f>
        <v>46093</v>
      </c>
      <c r="S26" s="84"/>
      <c r="T26" s="85"/>
      <c r="U26" s="85"/>
      <c r="V26" s="85"/>
      <c r="W26" s="85"/>
      <c r="X26" s="86"/>
      <c r="Y26" s="87"/>
      <c r="Z26" s="83">
        <f>IF(MONTH(DATE($B$2,4,12))=4,DATE($B$2,4,12),"")</f>
        <v>46124</v>
      </c>
      <c r="AA26" s="84"/>
      <c r="AB26" s="85"/>
      <c r="AC26" s="85"/>
      <c r="AD26" s="85"/>
      <c r="AE26" s="85"/>
      <c r="AF26" s="86"/>
      <c r="AG26" s="87"/>
      <c r="AH26" s="83">
        <f>IF(MONTH(DATE($B$2,5,12))=5,DATE($B$2,5,12),"")</f>
        <v>46154</v>
      </c>
      <c r="AI26" s="84"/>
      <c r="AJ26" s="85"/>
      <c r="AK26" s="85"/>
      <c r="AL26" s="85"/>
      <c r="AM26" s="85"/>
      <c r="AN26" s="86"/>
      <c r="AO26" s="87"/>
      <c r="AP26" s="83">
        <f>IF(MONTH(DATE($B$2,6,12))=6,DATE($B$2,6,12),"")</f>
        <v>46185</v>
      </c>
      <c r="AQ26" s="84"/>
      <c r="AR26" s="85"/>
      <c r="AS26" s="85"/>
      <c r="AT26" s="85"/>
      <c r="AU26" s="85"/>
      <c r="AV26" s="86"/>
      <c r="AW26" s="87"/>
      <c r="AX26" s="83">
        <f>IF(MONTH(DATE($B$2,7,12))=7,DATE($B$2,7,12),"")</f>
        <v>46215</v>
      </c>
      <c r="AY26" s="84"/>
      <c r="AZ26" s="85"/>
      <c r="BA26" s="85"/>
      <c r="BB26" s="85"/>
      <c r="BC26" s="85"/>
      <c r="BD26" s="86"/>
      <c r="BE26" s="87"/>
      <c r="BF26" s="83">
        <f>IF(MONTH(DATE($B$2,8,12))=8,DATE($B$2,8,12),"")</f>
        <v>46246</v>
      </c>
      <c r="BG26" s="84"/>
      <c r="BH26" s="85"/>
      <c r="BI26" s="85"/>
      <c r="BJ26" s="85"/>
      <c r="BK26" s="85"/>
      <c r="BL26" s="86"/>
      <c r="BM26" s="87"/>
      <c r="BN26" s="83">
        <f>IF(MONTH(DATE($B$2,9,12))=9,DATE($B$2,9,12),"")</f>
        <v>46277</v>
      </c>
      <c r="BO26" s="84"/>
      <c r="BP26" s="85"/>
      <c r="BQ26" s="85"/>
      <c r="BR26" s="85"/>
      <c r="BS26" s="85"/>
      <c r="BT26" s="86"/>
      <c r="BU26" s="87"/>
      <c r="BV26" s="83">
        <f>IF(MONTH(DATE($B$2,10,12))=10,DATE($B$2,10,12),"")</f>
        <v>46307</v>
      </c>
      <c r="BW26" s="84"/>
      <c r="BX26" s="85"/>
      <c r="BY26" s="85"/>
      <c r="BZ26" s="85"/>
      <c r="CA26" s="85"/>
      <c r="CB26" s="86"/>
      <c r="CC26" s="87"/>
      <c r="CD26" s="83">
        <f>IF(MONTH(DATE($B$2,11,12))=11,DATE($B$2,11,12),"")</f>
        <v>46338</v>
      </c>
      <c r="CE26" s="84"/>
      <c r="CF26" s="85"/>
      <c r="CG26" s="85"/>
      <c r="CH26" s="85"/>
      <c r="CI26" s="85"/>
      <c r="CJ26" s="86"/>
      <c r="CK26" s="87"/>
      <c r="CL26" s="83">
        <f>IF(MONTH(DATE($B$2,12,12))=12,DATE($B$2,12,12),"")</f>
        <v>46368</v>
      </c>
      <c r="CM26" s="84"/>
      <c r="CN26" s="85"/>
      <c r="CO26" s="85"/>
      <c r="CP26" s="85"/>
      <c r="CQ26" s="85"/>
      <c r="CR26" s="86"/>
      <c r="CS26" s="41"/>
    </row>
    <row r="27" s="0" ht="19.2" customHeight="1" customFormat="0">
      <c r="A27" s="47"/>
      <c r="B27" s="83">
        <f>IF(MONTH(DATE($B$2,1,13))=1,DATE($B$2,1,13),"")</f>
        <v>46035</v>
      </c>
      <c r="C27" s="84"/>
      <c r="D27" s="85"/>
      <c r="E27" s="85"/>
      <c r="F27" s="85"/>
      <c r="G27" s="85"/>
      <c r="H27" s="86"/>
      <c r="I27" s="87"/>
      <c r="J27" s="83">
        <f>IF(MONTH(DATE($B$2,2,13))=2,DATE($B$2,2,13),"")</f>
        <v>46066</v>
      </c>
      <c r="K27" s="84"/>
      <c r="L27" s="85"/>
      <c r="M27" s="85"/>
      <c r="N27" s="85"/>
      <c r="O27" s="85"/>
      <c r="P27" s="86"/>
      <c r="Q27" s="87"/>
      <c r="R27" s="83">
        <f>IF(MONTH(DATE($B$2,3,13))=3,DATE($B$2,3,13),"")</f>
        <v>46094</v>
      </c>
      <c r="S27" s="84"/>
      <c r="T27" s="85"/>
      <c r="U27" s="85"/>
      <c r="V27" s="85"/>
      <c r="W27" s="85"/>
      <c r="X27" s="86"/>
      <c r="Y27" s="87"/>
      <c r="Z27" s="83">
        <f>IF(MONTH(DATE($B$2,4,13))=4,DATE($B$2,4,13),"")</f>
        <v>46125</v>
      </c>
      <c r="AA27" s="84"/>
      <c r="AB27" s="85"/>
      <c r="AC27" s="85"/>
      <c r="AD27" s="85"/>
      <c r="AE27" s="85"/>
      <c r="AF27" s="86"/>
      <c r="AG27" s="87"/>
      <c r="AH27" s="83">
        <f>IF(MONTH(DATE($B$2,5,13))=5,DATE($B$2,5,13),"")</f>
        <v>46155</v>
      </c>
      <c r="AI27" s="84"/>
      <c r="AJ27" s="85"/>
      <c r="AK27" s="85"/>
      <c r="AL27" s="85"/>
      <c r="AM27" s="85"/>
      <c r="AN27" s="86"/>
      <c r="AO27" s="87"/>
      <c r="AP27" s="83">
        <f>IF(MONTH(DATE($B$2,6,13))=6,DATE($B$2,6,13),"")</f>
        <v>46186</v>
      </c>
      <c r="AQ27" s="84"/>
      <c r="AR27" s="85"/>
      <c r="AS27" s="85"/>
      <c r="AT27" s="85"/>
      <c r="AU27" s="85"/>
      <c r="AV27" s="86"/>
      <c r="AW27" s="87"/>
      <c r="AX27" s="83">
        <f>IF(MONTH(DATE($B$2,7,13))=7,DATE($B$2,7,13),"")</f>
        <v>46216</v>
      </c>
      <c r="AY27" s="84"/>
      <c r="AZ27" s="85"/>
      <c r="BA27" s="85"/>
      <c r="BB27" s="85"/>
      <c r="BC27" s="85"/>
      <c r="BD27" s="86"/>
      <c r="BE27" s="87"/>
      <c r="BF27" s="83">
        <f>IF(MONTH(DATE($B$2,8,13))=8,DATE($B$2,8,13),"")</f>
        <v>46247</v>
      </c>
      <c r="BG27" s="84"/>
      <c r="BH27" s="85"/>
      <c r="BI27" s="85"/>
      <c r="BJ27" s="85"/>
      <c r="BK27" s="85"/>
      <c r="BL27" s="86"/>
      <c r="BM27" s="87"/>
      <c r="BN27" s="83">
        <f>IF(MONTH(DATE($B$2,9,13))=9,DATE($B$2,9,13),"")</f>
        <v>46278</v>
      </c>
      <c r="BO27" s="84"/>
      <c r="BP27" s="85"/>
      <c r="BQ27" s="85"/>
      <c r="BR27" s="85"/>
      <c r="BS27" s="85"/>
      <c r="BT27" s="86"/>
      <c r="BU27" s="87"/>
      <c r="BV27" s="83">
        <f>IF(MONTH(DATE($B$2,10,13))=10,DATE($B$2,10,13),"")</f>
        <v>46308</v>
      </c>
      <c r="BW27" s="84"/>
      <c r="BX27" s="85"/>
      <c r="BY27" s="85"/>
      <c r="BZ27" s="85"/>
      <c r="CA27" s="85"/>
      <c r="CB27" s="86"/>
      <c r="CC27" s="87"/>
      <c r="CD27" s="83">
        <f>IF(MONTH(DATE($B$2,11,13))=11,DATE($B$2,11,13),"")</f>
        <v>46339</v>
      </c>
      <c r="CE27" s="84"/>
      <c r="CF27" s="85"/>
      <c r="CG27" s="85"/>
      <c r="CH27" s="85"/>
      <c r="CI27" s="85"/>
      <c r="CJ27" s="86"/>
      <c r="CK27" s="87"/>
      <c r="CL27" s="83">
        <f>IF(MONTH(DATE($B$2,12,13))=12,DATE($B$2,12,13),"")</f>
        <v>46369</v>
      </c>
      <c r="CM27" s="84"/>
      <c r="CN27" s="85"/>
      <c r="CO27" s="85"/>
      <c r="CP27" s="85"/>
      <c r="CQ27" s="85"/>
      <c r="CR27" s="86"/>
      <c r="CS27" s="41"/>
    </row>
    <row r="28" s="0" ht="19.2" customHeight="1" customFormat="0">
      <c r="A28" s="47"/>
      <c r="B28" s="83">
        <f>IF(MONTH(DATE($B$2,1,14))=1,DATE($B$2,1,14),"")</f>
        <v>46036</v>
      </c>
      <c r="C28" s="84"/>
      <c r="D28" s="85"/>
      <c r="E28" s="85"/>
      <c r="F28" s="85"/>
      <c r="G28" s="85"/>
      <c r="H28" s="86"/>
      <c r="I28" s="87"/>
      <c r="J28" s="83">
        <f>IF(MONTH(DATE($B$2,2,14))=2,DATE($B$2,2,14),"")</f>
        <v>46067</v>
      </c>
      <c r="K28" s="84"/>
      <c r="L28" s="85"/>
      <c r="M28" s="85"/>
      <c r="N28" s="85"/>
      <c r="O28" s="85"/>
      <c r="P28" s="86"/>
      <c r="Q28" s="87"/>
      <c r="R28" s="83">
        <f>IF(MONTH(DATE($B$2,3,14))=3,DATE($B$2,3,14),"")</f>
        <v>46095</v>
      </c>
      <c r="S28" t="s" s="84">
        <v>9</v>
      </c>
      <c r="T28" s="85"/>
      <c r="U28" s="85"/>
      <c r="V28" s="85"/>
      <c r="W28" s="85"/>
      <c r="X28" s="86"/>
      <c r="Y28" s="87"/>
      <c r="Z28" s="83">
        <f>IF(MONTH(DATE($B$2,4,14))=4,DATE($B$2,4,14),"")</f>
        <v>46126</v>
      </c>
      <c r="AA28" s="84"/>
      <c r="AB28" s="85"/>
      <c r="AC28" s="85"/>
      <c r="AD28" s="85"/>
      <c r="AE28" s="85"/>
      <c r="AF28" s="86"/>
      <c r="AG28" s="87"/>
      <c r="AH28" s="83">
        <f>IF(MONTH(DATE($B$2,5,14))=5,DATE($B$2,5,14),"")</f>
        <v>46156</v>
      </c>
      <c r="AI28" s="84"/>
      <c r="AJ28" s="85"/>
      <c r="AK28" s="85"/>
      <c r="AL28" s="85"/>
      <c r="AM28" s="85"/>
      <c r="AN28" s="86"/>
      <c r="AO28" s="87"/>
      <c r="AP28" s="83">
        <f>IF(MONTH(DATE($B$2,6,14))=6,DATE($B$2,6,14),"")</f>
        <v>46187</v>
      </c>
      <c r="AQ28" s="84"/>
      <c r="AR28" s="85"/>
      <c r="AS28" s="85"/>
      <c r="AT28" s="85"/>
      <c r="AU28" s="85"/>
      <c r="AV28" s="86"/>
      <c r="AW28" s="87"/>
      <c r="AX28" s="83">
        <f>IF(MONTH(DATE($B$2,7,14))=7,DATE($B$2,7,14),"")</f>
        <v>46217</v>
      </c>
      <c r="AY28" s="84"/>
      <c r="AZ28" s="85"/>
      <c r="BA28" s="85"/>
      <c r="BB28" s="85"/>
      <c r="BC28" s="85"/>
      <c r="BD28" s="86"/>
      <c r="BE28" s="87"/>
      <c r="BF28" s="83">
        <f>IF(MONTH(DATE($B$2,8,14))=8,DATE($B$2,8,14),"")</f>
        <v>46248</v>
      </c>
      <c r="BG28" s="84"/>
      <c r="BH28" s="85"/>
      <c r="BI28" s="85"/>
      <c r="BJ28" s="85"/>
      <c r="BK28" s="85"/>
      <c r="BL28" s="86"/>
      <c r="BM28" s="87"/>
      <c r="BN28" s="83">
        <f>IF(MONTH(DATE($B$2,9,14))=9,DATE($B$2,9,14),"")</f>
        <v>46279</v>
      </c>
      <c r="BO28" s="84"/>
      <c r="BP28" s="85"/>
      <c r="BQ28" s="85"/>
      <c r="BR28" s="85"/>
      <c r="BS28" s="85"/>
      <c r="BT28" s="86"/>
      <c r="BU28" s="87"/>
      <c r="BV28" s="83">
        <f>IF(MONTH(DATE($B$2,10,14))=10,DATE($B$2,10,14),"")</f>
        <v>46309</v>
      </c>
      <c r="BW28" s="84"/>
      <c r="BX28" s="85"/>
      <c r="BY28" s="85"/>
      <c r="BZ28" s="85"/>
      <c r="CA28" s="85"/>
      <c r="CB28" s="86"/>
      <c r="CC28" s="87"/>
      <c r="CD28" s="83">
        <f>IF(MONTH(DATE($B$2,11,14))=11,DATE($B$2,11,14),"")</f>
        <v>46340</v>
      </c>
      <c r="CE28" s="84"/>
      <c r="CF28" s="85"/>
      <c r="CG28" s="85"/>
      <c r="CH28" s="85"/>
      <c r="CI28" s="85"/>
      <c r="CJ28" s="86"/>
      <c r="CK28" s="87"/>
      <c r="CL28" s="83">
        <f>IF(MONTH(DATE($B$2,12,14))=12,DATE($B$2,12,14),"")</f>
        <v>46370</v>
      </c>
      <c r="CM28" s="84"/>
      <c r="CN28" s="85"/>
      <c r="CO28" s="85"/>
      <c r="CP28" s="85"/>
      <c r="CQ28" s="85"/>
      <c r="CR28" s="86"/>
      <c r="CS28" s="41"/>
    </row>
    <row r="29" s="0" ht="19.2" customHeight="1" customFormat="0">
      <c r="A29" s="47"/>
      <c r="B29" s="83">
        <f>IF(MONTH(DATE($B$2,1,15))=1,DATE($B$2,1,15),"")</f>
        <v>46037</v>
      </c>
      <c r="C29" s="84"/>
      <c r="D29" s="85"/>
      <c r="E29" s="85"/>
      <c r="F29" s="85"/>
      <c r="G29" s="85"/>
      <c r="H29" s="86"/>
      <c r="I29" s="87"/>
      <c r="J29" s="83">
        <f>IF(MONTH(DATE($B$2,2,15))=2,DATE($B$2,2,15),"")</f>
        <v>46068</v>
      </c>
      <c r="K29" s="84"/>
      <c r="L29" s="85"/>
      <c r="M29" s="85"/>
      <c r="N29" s="85"/>
      <c r="O29" s="85"/>
      <c r="P29" s="86"/>
      <c r="Q29" s="87"/>
      <c r="R29" s="83">
        <f>IF(MONTH(DATE($B$2,3,15))=3,DATE($B$2,3,15),"")</f>
        <v>46096</v>
      </c>
      <c r="S29" s="84"/>
      <c r="T29" s="85"/>
      <c r="U29" s="85"/>
      <c r="V29" s="85"/>
      <c r="W29" s="85"/>
      <c r="X29" s="86"/>
      <c r="Y29" s="87"/>
      <c r="Z29" s="83">
        <f>IF(MONTH(DATE($B$2,4,15))=4,DATE($B$2,4,15),"")</f>
        <v>46127</v>
      </c>
      <c r="AA29" s="84"/>
      <c r="AB29" s="85"/>
      <c r="AC29" s="85"/>
      <c r="AD29" s="85"/>
      <c r="AE29" s="85"/>
      <c r="AF29" s="86"/>
      <c r="AG29" s="87"/>
      <c r="AH29" s="83">
        <f>IF(MONTH(DATE($B$2,5,15))=5,DATE($B$2,5,15),"")</f>
        <v>46157</v>
      </c>
      <c r="AI29" s="84"/>
      <c r="AJ29" s="85"/>
      <c r="AK29" s="85"/>
      <c r="AL29" s="85"/>
      <c r="AM29" s="85"/>
      <c r="AN29" s="86"/>
      <c r="AO29" s="87"/>
      <c r="AP29" s="83">
        <f>IF(MONTH(DATE($B$2,6,15))=6,DATE($B$2,6,15),"")</f>
        <v>46188</v>
      </c>
      <c r="AQ29" s="84"/>
      <c r="AR29" s="85"/>
      <c r="AS29" s="85"/>
      <c r="AT29" s="85"/>
      <c r="AU29" s="85"/>
      <c r="AV29" s="86"/>
      <c r="AW29" s="87"/>
      <c r="AX29" s="83">
        <f>IF(MONTH(DATE($B$2,7,15))=7,DATE($B$2,7,15),"")</f>
        <v>46218</v>
      </c>
      <c r="AY29" s="84"/>
      <c r="AZ29" s="85"/>
      <c r="BA29" s="85"/>
      <c r="BB29" s="85"/>
      <c r="BC29" s="85"/>
      <c r="BD29" s="86"/>
      <c r="BE29" s="87"/>
      <c r="BF29" s="83">
        <f>IF(MONTH(DATE($B$2,8,15))=8,DATE($B$2,8,15),"")</f>
        <v>46249</v>
      </c>
      <c r="BG29" s="84"/>
      <c r="BH29" s="85"/>
      <c r="BI29" s="85"/>
      <c r="BJ29" s="85"/>
      <c r="BK29" s="85"/>
      <c r="BL29" s="86"/>
      <c r="BM29" s="87"/>
      <c r="BN29" s="83">
        <f>IF(MONTH(DATE($B$2,9,15))=9,DATE($B$2,9,15),"")</f>
        <v>46280</v>
      </c>
      <c r="BO29" s="84"/>
      <c r="BP29" s="85"/>
      <c r="BQ29" s="85"/>
      <c r="BR29" s="85"/>
      <c r="BS29" s="85"/>
      <c r="BT29" s="86"/>
      <c r="BU29" s="87"/>
      <c r="BV29" s="83">
        <f>IF(MONTH(DATE($B$2,10,15))=10,DATE($B$2,10,15),"")</f>
        <v>46310</v>
      </c>
      <c r="BW29" s="84"/>
      <c r="BX29" s="85"/>
      <c r="BY29" s="85"/>
      <c r="BZ29" s="85"/>
      <c r="CA29" s="85"/>
      <c r="CB29" s="86"/>
      <c r="CC29" s="87"/>
      <c r="CD29" s="83">
        <f>IF(MONTH(DATE($B$2,11,15))=11,DATE($B$2,11,15),"")</f>
        <v>46341</v>
      </c>
      <c r="CE29" s="84"/>
      <c r="CF29" s="85"/>
      <c r="CG29" s="85"/>
      <c r="CH29" s="85"/>
      <c r="CI29" s="85"/>
      <c r="CJ29" s="86"/>
      <c r="CK29" s="87"/>
      <c r="CL29" s="83">
        <f>IF(MONTH(DATE($B$2,12,15))=12,DATE($B$2,12,15),"")</f>
        <v>46371</v>
      </c>
      <c r="CM29" s="84"/>
      <c r="CN29" s="85"/>
      <c r="CO29" s="85"/>
      <c r="CP29" s="85"/>
      <c r="CQ29" s="85"/>
      <c r="CR29" s="86"/>
      <c r="CS29" s="41"/>
    </row>
    <row r="30" s="0" ht="19.2" customHeight="1" customFormat="0">
      <c r="A30" s="47"/>
      <c r="B30" s="83">
        <f>IF(MONTH(DATE($B$2,1,16))=1,DATE($B$2,1,16),"")</f>
        <v>46038</v>
      </c>
      <c r="C30" s="84"/>
      <c r="D30" s="85"/>
      <c r="E30" s="85"/>
      <c r="F30" s="85"/>
      <c r="G30" s="85"/>
      <c r="H30" s="86"/>
      <c r="I30" s="87"/>
      <c r="J30" s="83">
        <f>IF(MONTH(DATE($B$2,2,16))=2,DATE($B$2,2,16),"")</f>
        <v>46069</v>
      </c>
      <c r="K30" s="84"/>
      <c r="L30" s="85"/>
      <c r="M30" s="85"/>
      <c r="N30" s="85"/>
      <c r="O30" s="85"/>
      <c r="P30" s="86"/>
      <c r="Q30" s="87"/>
      <c r="R30" s="83">
        <f>IF(MONTH(DATE($B$2,3,16))=3,DATE($B$2,3,16),"")</f>
        <v>46097</v>
      </c>
      <c r="S30" s="84"/>
      <c r="T30" s="85"/>
      <c r="U30" s="85"/>
      <c r="V30" s="85"/>
      <c r="W30" s="85"/>
      <c r="X30" s="86"/>
      <c r="Y30" s="87"/>
      <c r="Z30" s="83">
        <f>IF(MONTH(DATE($B$2,4,16))=4,DATE($B$2,4,16),"")</f>
        <v>46128</v>
      </c>
      <c r="AA30" s="84"/>
      <c r="AB30" s="85"/>
      <c r="AC30" s="85"/>
      <c r="AD30" s="85"/>
      <c r="AE30" s="85"/>
      <c r="AF30" s="86"/>
      <c r="AG30" s="87"/>
      <c r="AH30" s="83">
        <f>IF(MONTH(DATE($B$2,5,16))=5,DATE($B$2,5,16),"")</f>
        <v>46158</v>
      </c>
      <c r="AI30" s="84"/>
      <c r="AJ30" s="85"/>
      <c r="AK30" s="85"/>
      <c r="AL30" s="85"/>
      <c r="AM30" s="85"/>
      <c r="AN30" s="86"/>
      <c r="AO30" s="87"/>
      <c r="AP30" s="83">
        <f>IF(MONTH(DATE($B$2,6,16))=6,DATE($B$2,6,16),"")</f>
        <v>46189</v>
      </c>
      <c r="AQ30" s="84"/>
      <c r="AR30" s="85"/>
      <c r="AS30" s="85"/>
      <c r="AT30" s="85"/>
      <c r="AU30" s="85"/>
      <c r="AV30" s="86"/>
      <c r="AW30" s="87"/>
      <c r="AX30" s="83">
        <f>IF(MONTH(DATE($B$2,7,16))=7,DATE($B$2,7,16),"")</f>
        <v>46219</v>
      </c>
      <c r="AY30" s="84"/>
      <c r="AZ30" s="85"/>
      <c r="BA30" s="85"/>
      <c r="BB30" s="85"/>
      <c r="BC30" s="85"/>
      <c r="BD30" s="86"/>
      <c r="BE30" s="87"/>
      <c r="BF30" s="83">
        <f>IF(MONTH(DATE($B$2,8,16))=8,DATE($B$2,8,16),"")</f>
        <v>46250</v>
      </c>
      <c r="BG30" s="84"/>
      <c r="BH30" s="85"/>
      <c r="BI30" s="85"/>
      <c r="BJ30" s="85"/>
      <c r="BK30" s="85"/>
      <c r="BL30" s="86"/>
      <c r="BM30" s="87"/>
      <c r="BN30" s="83">
        <f>IF(MONTH(DATE($B$2,9,16))=9,DATE($B$2,9,16),"")</f>
        <v>46281</v>
      </c>
      <c r="BO30" s="84"/>
      <c r="BP30" s="85"/>
      <c r="BQ30" s="85"/>
      <c r="BR30" s="85"/>
      <c r="BS30" s="85"/>
      <c r="BT30" s="86"/>
      <c r="BU30" s="87"/>
      <c r="BV30" s="83">
        <f>IF(MONTH(DATE($B$2,10,16))=10,DATE($B$2,10,16),"")</f>
        <v>46311</v>
      </c>
      <c r="BW30" s="84"/>
      <c r="BX30" s="85"/>
      <c r="BY30" s="85"/>
      <c r="BZ30" s="85"/>
      <c r="CA30" s="85"/>
      <c r="CB30" s="86"/>
      <c r="CC30" s="87"/>
      <c r="CD30" s="83">
        <f>IF(MONTH(DATE($B$2,11,16))=11,DATE($B$2,11,16),"")</f>
        <v>46342</v>
      </c>
      <c r="CE30" s="84"/>
      <c r="CF30" s="85"/>
      <c r="CG30" s="85"/>
      <c r="CH30" s="85"/>
      <c r="CI30" s="85"/>
      <c r="CJ30" s="86"/>
      <c r="CK30" s="87"/>
      <c r="CL30" s="83">
        <f>IF(MONTH(DATE($B$2,12,16))=12,DATE($B$2,12,16),"")</f>
        <v>46372</v>
      </c>
      <c r="CM30" s="84"/>
      <c r="CN30" s="85"/>
      <c r="CO30" s="85"/>
      <c r="CP30" s="85"/>
      <c r="CQ30" s="85"/>
      <c r="CR30" s="86"/>
      <c r="CS30" s="41"/>
    </row>
    <row r="31" s="0" ht="19.2" customHeight="1" customFormat="0">
      <c r="A31" s="47"/>
      <c r="B31" s="83">
        <f>IF(MONTH(DATE($B$2,1,17))=1,DATE($B$2,1,17),"")</f>
        <v>46039</v>
      </c>
      <c r="C31" s="84"/>
      <c r="D31" s="85"/>
      <c r="E31" s="85"/>
      <c r="F31" s="85"/>
      <c r="G31" s="85"/>
      <c r="H31" s="86"/>
      <c r="I31" s="87"/>
      <c r="J31" s="83">
        <f>IF(MONTH(DATE($B$2,2,17))=2,DATE($B$2,2,17),"")</f>
        <v>46070</v>
      </c>
      <c r="K31" s="84"/>
      <c r="L31" s="85"/>
      <c r="M31" s="85"/>
      <c r="N31" s="85"/>
      <c r="O31" s="85"/>
      <c r="P31" s="86"/>
      <c r="Q31" s="87"/>
      <c r="R31" s="83">
        <f>IF(MONTH(DATE($B$2,3,17))=3,DATE($B$2,3,17),"")</f>
        <v>46098</v>
      </c>
      <c r="S31" s="84"/>
      <c r="T31" s="85"/>
      <c r="U31" s="85"/>
      <c r="V31" s="85"/>
      <c r="W31" s="85"/>
      <c r="X31" s="86"/>
      <c r="Y31" s="87"/>
      <c r="Z31" s="83">
        <f>IF(MONTH(DATE($B$2,4,17))=4,DATE($B$2,4,17),"")</f>
        <v>46129</v>
      </c>
      <c r="AA31" s="84"/>
      <c r="AB31" s="85"/>
      <c r="AC31" s="85"/>
      <c r="AD31" s="85"/>
      <c r="AE31" s="85"/>
      <c r="AF31" s="86"/>
      <c r="AG31" s="87"/>
      <c r="AH31" s="83">
        <f>IF(MONTH(DATE($B$2,5,17))=5,DATE($B$2,5,17),"")</f>
        <v>46159</v>
      </c>
      <c r="AI31" s="84"/>
      <c r="AJ31" s="85"/>
      <c r="AK31" s="85"/>
      <c r="AL31" s="85"/>
      <c r="AM31" s="85"/>
      <c r="AN31" s="86"/>
      <c r="AO31" s="87"/>
      <c r="AP31" s="83">
        <f>IF(MONTH(DATE($B$2,6,17))=6,DATE($B$2,6,17),"")</f>
        <v>46190</v>
      </c>
      <c r="AQ31" s="84"/>
      <c r="AR31" s="85"/>
      <c r="AS31" s="85"/>
      <c r="AT31" s="85"/>
      <c r="AU31" s="85"/>
      <c r="AV31" s="86"/>
      <c r="AW31" s="87"/>
      <c r="AX31" s="83">
        <f>IF(MONTH(DATE($B$2,7,17))=7,DATE($B$2,7,17),"")</f>
        <v>46220</v>
      </c>
      <c r="AY31" s="84"/>
      <c r="AZ31" s="85"/>
      <c r="BA31" s="85"/>
      <c r="BB31" s="85"/>
      <c r="BC31" s="85"/>
      <c r="BD31" s="86"/>
      <c r="BE31" s="87"/>
      <c r="BF31" s="83">
        <f>IF(MONTH(DATE($B$2,8,17))=8,DATE($B$2,8,17),"")</f>
        <v>46251</v>
      </c>
      <c r="BG31" s="84"/>
      <c r="BH31" s="85"/>
      <c r="BI31" s="85"/>
      <c r="BJ31" s="85"/>
      <c r="BK31" s="85"/>
      <c r="BL31" s="86"/>
      <c r="BM31" s="87"/>
      <c r="BN31" s="83">
        <f>IF(MONTH(DATE($B$2,9,17))=9,DATE($B$2,9,17),"")</f>
        <v>46282</v>
      </c>
      <c r="BO31" s="84"/>
      <c r="BP31" s="85"/>
      <c r="BQ31" s="85"/>
      <c r="BR31" s="85"/>
      <c r="BS31" s="85"/>
      <c r="BT31" s="86"/>
      <c r="BU31" s="87"/>
      <c r="BV31" s="83">
        <f>IF(MONTH(DATE($B$2,10,17))=10,DATE($B$2,10,17),"")</f>
        <v>46312</v>
      </c>
      <c r="BW31" s="84"/>
      <c r="BX31" s="85"/>
      <c r="BY31" s="85"/>
      <c r="BZ31" s="85"/>
      <c r="CA31" s="85"/>
      <c r="CB31" s="86"/>
      <c r="CC31" s="87"/>
      <c r="CD31" s="83">
        <f>IF(MONTH(DATE($B$2,11,17))=11,DATE($B$2,11,17),"")</f>
        <v>46343</v>
      </c>
      <c r="CE31" s="84"/>
      <c r="CF31" s="85"/>
      <c r="CG31" s="85"/>
      <c r="CH31" s="85"/>
      <c r="CI31" s="85"/>
      <c r="CJ31" s="86"/>
      <c r="CK31" s="87"/>
      <c r="CL31" s="83">
        <f>IF(MONTH(DATE($B$2,12,17))=12,DATE($B$2,12,17),"")</f>
        <v>46373</v>
      </c>
      <c r="CM31" s="84"/>
      <c r="CN31" s="85"/>
      <c r="CO31" s="85"/>
      <c r="CP31" s="85"/>
      <c r="CQ31" s="85"/>
      <c r="CR31" s="86"/>
      <c r="CS31" s="41"/>
    </row>
    <row r="32" s="0" ht="19.2" customHeight="1" customFormat="0">
      <c r="A32" s="47"/>
      <c r="B32" s="83">
        <f>IF(MONTH(DATE($B$2,1,18))=1,DATE($B$2,1,18),"")</f>
        <v>46040</v>
      </c>
      <c r="C32" s="84"/>
      <c r="D32" s="85"/>
      <c r="E32" s="85"/>
      <c r="F32" s="85"/>
      <c r="G32" s="85"/>
      <c r="H32" s="86"/>
      <c r="I32" s="87"/>
      <c r="J32" s="83">
        <f>IF(MONTH(DATE($B$2,2,18))=2,DATE($B$2,2,18),"")</f>
        <v>46071</v>
      </c>
      <c r="K32" s="84"/>
      <c r="L32" s="85"/>
      <c r="M32" s="85"/>
      <c r="N32" s="85"/>
      <c r="O32" s="85"/>
      <c r="P32" s="86"/>
      <c r="Q32" s="87"/>
      <c r="R32" s="83">
        <f>IF(MONTH(DATE($B$2,3,18))=3,DATE($B$2,3,18),"")</f>
        <v>46099</v>
      </c>
      <c r="S32" s="84"/>
      <c r="T32" s="85"/>
      <c r="U32" s="85"/>
      <c r="V32" s="85"/>
      <c r="W32" s="85"/>
      <c r="X32" s="86"/>
      <c r="Y32" s="87"/>
      <c r="Z32" s="83">
        <f>IF(MONTH(DATE($B$2,4,18))=4,DATE($B$2,4,18),"")</f>
        <v>46130</v>
      </c>
      <c r="AA32" s="84"/>
      <c r="AB32" s="85"/>
      <c r="AC32" s="85"/>
      <c r="AD32" s="85"/>
      <c r="AE32" s="85"/>
      <c r="AF32" s="86"/>
      <c r="AG32" s="87"/>
      <c r="AH32" s="83">
        <f>IF(MONTH(DATE($B$2,5,18))=5,DATE($B$2,5,18),"")</f>
        <v>46160</v>
      </c>
      <c r="AI32" s="84"/>
      <c r="AJ32" s="85"/>
      <c r="AK32" s="85"/>
      <c r="AL32" s="85"/>
      <c r="AM32" s="85"/>
      <c r="AN32" s="86"/>
      <c r="AO32" s="87"/>
      <c r="AP32" s="83">
        <f>IF(MONTH(DATE($B$2,6,18))=6,DATE($B$2,6,18),"")</f>
        <v>46191</v>
      </c>
      <c r="AQ32" s="84"/>
      <c r="AR32" s="85"/>
      <c r="AS32" s="85"/>
      <c r="AT32" s="85"/>
      <c r="AU32" s="85"/>
      <c r="AV32" s="86"/>
      <c r="AW32" s="87"/>
      <c r="AX32" s="83">
        <f>IF(MONTH(DATE($B$2,7,18))=7,DATE($B$2,7,18),"")</f>
        <v>46221</v>
      </c>
      <c r="AY32" s="84"/>
      <c r="AZ32" s="85"/>
      <c r="BA32" s="85"/>
      <c r="BB32" s="85"/>
      <c r="BC32" s="85"/>
      <c r="BD32" s="86"/>
      <c r="BE32" s="87"/>
      <c r="BF32" s="83">
        <f>IF(MONTH(DATE($B$2,8,18))=8,DATE($B$2,8,18),"")</f>
        <v>46252</v>
      </c>
      <c r="BG32" s="84"/>
      <c r="BH32" s="85"/>
      <c r="BI32" s="85"/>
      <c r="BJ32" s="85"/>
      <c r="BK32" s="85"/>
      <c r="BL32" s="86"/>
      <c r="BM32" s="87"/>
      <c r="BN32" s="83">
        <f>IF(MONTH(DATE($B$2,9,18))=9,DATE($B$2,9,18),"")</f>
        <v>46283</v>
      </c>
      <c r="BO32" s="84"/>
      <c r="BP32" s="85"/>
      <c r="BQ32" s="85"/>
      <c r="BR32" s="85"/>
      <c r="BS32" s="85"/>
      <c r="BT32" s="86"/>
      <c r="BU32" s="87"/>
      <c r="BV32" s="83">
        <f>IF(MONTH(DATE($B$2,10,18))=10,DATE($B$2,10,18),"")</f>
        <v>46313</v>
      </c>
      <c r="BW32" s="84"/>
      <c r="BX32" s="85"/>
      <c r="BY32" s="85"/>
      <c r="BZ32" s="85"/>
      <c r="CA32" s="85"/>
      <c r="CB32" s="86"/>
      <c r="CC32" s="87"/>
      <c r="CD32" s="83">
        <f>IF(MONTH(DATE($B$2,11,18))=11,DATE($B$2,11,18),"")</f>
        <v>46344</v>
      </c>
      <c r="CE32" s="84"/>
      <c r="CF32" s="85"/>
      <c r="CG32" s="85"/>
      <c r="CH32" s="85"/>
      <c r="CI32" s="85"/>
      <c r="CJ32" s="86"/>
      <c r="CK32" s="87"/>
      <c r="CL32" s="83">
        <f>IF(MONTH(DATE($B$2,12,18))=12,DATE($B$2,12,18),"")</f>
        <v>46374</v>
      </c>
      <c r="CM32" s="84"/>
      <c r="CN32" s="85"/>
      <c r="CO32" s="85"/>
      <c r="CP32" s="85"/>
      <c r="CQ32" s="85"/>
      <c r="CR32" s="86"/>
      <c r="CS32" s="41"/>
    </row>
    <row r="33" s="0" ht="19.2" customHeight="1" customFormat="0">
      <c r="A33" s="47"/>
      <c r="B33" s="83">
        <f>IF(MONTH(DATE($B$2,1,19))=1,DATE($B$2,1,19),"")</f>
        <v>46041</v>
      </c>
      <c r="C33" s="84"/>
      <c r="D33" s="85"/>
      <c r="E33" s="85"/>
      <c r="F33" s="85"/>
      <c r="G33" s="85"/>
      <c r="H33" s="86"/>
      <c r="I33" s="87"/>
      <c r="J33" s="83">
        <f>IF(MONTH(DATE($B$2,2,19))=2,DATE($B$2,2,19),"")</f>
        <v>46072</v>
      </c>
      <c r="K33" s="84"/>
      <c r="L33" s="85"/>
      <c r="M33" s="85"/>
      <c r="N33" s="85"/>
      <c r="O33" s="85"/>
      <c r="P33" s="86"/>
      <c r="Q33" s="87"/>
      <c r="R33" s="83">
        <f>IF(MONTH(DATE($B$2,3,19))=3,DATE($B$2,3,19),"")</f>
        <v>46100</v>
      </c>
      <c r="S33" s="84"/>
      <c r="T33" s="85"/>
      <c r="U33" s="85"/>
      <c r="V33" s="85"/>
      <c r="W33" s="85"/>
      <c r="X33" s="86"/>
      <c r="Y33" s="87"/>
      <c r="Z33" s="83">
        <f>IF(MONTH(DATE($B$2,4,19))=4,DATE($B$2,4,19),"")</f>
        <v>46131</v>
      </c>
      <c r="AA33" s="84"/>
      <c r="AB33" s="85"/>
      <c r="AC33" s="85"/>
      <c r="AD33" s="85"/>
      <c r="AE33" s="85"/>
      <c r="AF33" s="86"/>
      <c r="AG33" s="87"/>
      <c r="AH33" s="83">
        <f>IF(MONTH(DATE($B$2,5,19))=5,DATE($B$2,5,19),"")</f>
        <v>46161</v>
      </c>
      <c r="AI33" s="84"/>
      <c r="AJ33" s="85"/>
      <c r="AK33" s="85"/>
      <c r="AL33" s="85"/>
      <c r="AM33" s="85"/>
      <c r="AN33" s="86"/>
      <c r="AO33" s="87"/>
      <c r="AP33" s="83">
        <f>IF(MONTH(DATE($B$2,6,19))=6,DATE($B$2,6,19),"")</f>
        <v>46192</v>
      </c>
      <c r="AQ33" s="84"/>
      <c r="AR33" s="85"/>
      <c r="AS33" s="85"/>
      <c r="AT33" s="85"/>
      <c r="AU33" s="85"/>
      <c r="AV33" s="86"/>
      <c r="AW33" s="87"/>
      <c r="AX33" s="83">
        <f>IF(MONTH(DATE($B$2,7,19))=7,DATE($B$2,7,19),"")</f>
        <v>46222</v>
      </c>
      <c r="AY33" s="84"/>
      <c r="AZ33" s="85"/>
      <c r="BA33" s="85"/>
      <c r="BB33" s="85"/>
      <c r="BC33" s="85"/>
      <c r="BD33" s="86"/>
      <c r="BE33" s="87"/>
      <c r="BF33" s="83">
        <f>IF(MONTH(DATE($B$2,8,19))=8,DATE($B$2,8,19),"")</f>
        <v>46253</v>
      </c>
      <c r="BG33" s="84"/>
      <c r="BH33" s="85"/>
      <c r="BI33" s="85"/>
      <c r="BJ33" s="85"/>
      <c r="BK33" s="85"/>
      <c r="BL33" s="86"/>
      <c r="BM33" s="87"/>
      <c r="BN33" s="83">
        <f>IF(MONTH(DATE($B$2,9,19))=9,DATE($B$2,9,19),"")</f>
        <v>46284</v>
      </c>
      <c r="BO33" s="84"/>
      <c r="BP33" s="85"/>
      <c r="BQ33" s="85"/>
      <c r="BR33" s="85"/>
      <c r="BS33" s="85"/>
      <c r="BT33" s="86"/>
      <c r="BU33" s="87"/>
      <c r="BV33" s="83">
        <f>IF(MONTH(DATE($B$2,10,19))=10,DATE($B$2,10,19),"")</f>
        <v>46314</v>
      </c>
      <c r="BW33" s="84"/>
      <c r="BX33" s="85"/>
      <c r="BY33" s="85"/>
      <c r="BZ33" s="85"/>
      <c r="CA33" s="85"/>
      <c r="CB33" s="86"/>
      <c r="CC33" s="87"/>
      <c r="CD33" s="83">
        <f>IF(MONTH(DATE($B$2,11,19))=11,DATE($B$2,11,19),"")</f>
        <v>46345</v>
      </c>
      <c r="CE33" s="84"/>
      <c r="CF33" s="85"/>
      <c r="CG33" s="85"/>
      <c r="CH33" s="85"/>
      <c r="CI33" s="85"/>
      <c r="CJ33" s="86"/>
      <c r="CK33" s="87"/>
      <c r="CL33" s="83">
        <f>IF(MONTH(DATE($B$2,12,19))=12,DATE($B$2,12,19),"")</f>
        <v>46375</v>
      </c>
      <c r="CM33" s="84"/>
      <c r="CN33" s="85"/>
      <c r="CO33" s="85"/>
      <c r="CP33" s="85"/>
      <c r="CQ33" s="85"/>
      <c r="CR33" s="86"/>
      <c r="CS33" s="41"/>
    </row>
    <row r="34" s="0" ht="19.2" customHeight="1" customFormat="0">
      <c r="A34" s="47"/>
      <c r="B34" s="83">
        <f>IF(MONTH(DATE($B$2,1,20))=1,DATE($B$2,1,20),"")</f>
        <v>46042</v>
      </c>
      <c r="C34" s="84"/>
      <c r="D34" s="85"/>
      <c r="E34" s="85"/>
      <c r="F34" s="85"/>
      <c r="G34" s="85"/>
      <c r="H34" s="86"/>
      <c r="I34" s="87"/>
      <c r="J34" s="83">
        <f>IF(MONTH(DATE($B$2,2,20))=2,DATE($B$2,2,20),"")</f>
        <v>46073</v>
      </c>
      <c r="K34" s="84"/>
      <c r="L34" s="85"/>
      <c r="M34" s="85"/>
      <c r="N34" s="85"/>
      <c r="O34" s="85"/>
      <c r="P34" s="86"/>
      <c r="Q34" s="87"/>
      <c r="R34" s="83">
        <f>IF(MONTH(DATE($B$2,3,20))=3,DATE($B$2,3,20),"")</f>
        <v>46101</v>
      </c>
      <c r="S34" s="84"/>
      <c r="T34" s="85"/>
      <c r="U34" s="85"/>
      <c r="V34" s="85"/>
      <c r="W34" s="85"/>
      <c r="X34" s="86"/>
      <c r="Y34" s="87"/>
      <c r="Z34" s="83">
        <f>IF(MONTH(DATE($B$2,4,20))=4,DATE($B$2,4,20),"")</f>
        <v>46132</v>
      </c>
      <c r="AA34" s="84"/>
      <c r="AB34" s="85"/>
      <c r="AC34" s="85"/>
      <c r="AD34" s="85"/>
      <c r="AE34" s="85"/>
      <c r="AF34" s="86"/>
      <c r="AG34" s="87"/>
      <c r="AH34" s="83">
        <f>IF(MONTH(DATE($B$2,5,20))=5,DATE($B$2,5,20),"")</f>
        <v>46162</v>
      </c>
      <c r="AI34" s="84"/>
      <c r="AJ34" s="85"/>
      <c r="AK34" s="85"/>
      <c r="AL34" s="85"/>
      <c r="AM34" s="85"/>
      <c r="AN34" s="86"/>
      <c r="AO34" s="87"/>
      <c r="AP34" s="83">
        <f>IF(MONTH(DATE($B$2,6,20))=6,DATE($B$2,6,20),"")</f>
        <v>46193</v>
      </c>
      <c r="AQ34" s="84"/>
      <c r="AR34" s="85"/>
      <c r="AS34" s="85"/>
      <c r="AT34" s="85"/>
      <c r="AU34" s="85"/>
      <c r="AV34" s="86"/>
      <c r="AW34" s="87"/>
      <c r="AX34" s="83">
        <f>IF(MONTH(DATE($B$2,7,20))=7,DATE($B$2,7,20),"")</f>
        <v>46223</v>
      </c>
      <c r="AY34" s="84"/>
      <c r="AZ34" s="85"/>
      <c r="BA34" s="85"/>
      <c r="BB34" s="85"/>
      <c r="BC34" s="85"/>
      <c r="BD34" s="86"/>
      <c r="BE34" s="87"/>
      <c r="BF34" s="83">
        <f>IF(MONTH(DATE($B$2,8,20))=8,DATE($B$2,8,20),"")</f>
        <v>46254</v>
      </c>
      <c r="BG34" s="84"/>
      <c r="BH34" s="85"/>
      <c r="BI34" s="85"/>
      <c r="BJ34" s="85"/>
      <c r="BK34" s="85"/>
      <c r="BL34" s="86"/>
      <c r="BM34" s="87"/>
      <c r="BN34" s="83">
        <f>IF(MONTH(DATE($B$2,9,20))=9,DATE($B$2,9,20),"")</f>
        <v>46285</v>
      </c>
      <c r="BO34" s="84"/>
      <c r="BP34" s="85"/>
      <c r="BQ34" s="85"/>
      <c r="BR34" s="85"/>
      <c r="BS34" s="85"/>
      <c r="BT34" s="86"/>
      <c r="BU34" s="87"/>
      <c r="BV34" s="83">
        <f>IF(MONTH(DATE($B$2,10,20))=10,DATE($B$2,10,20),"")</f>
        <v>46315</v>
      </c>
      <c r="BW34" s="84"/>
      <c r="BX34" s="85"/>
      <c r="BY34" s="85"/>
      <c r="BZ34" s="85"/>
      <c r="CA34" s="85"/>
      <c r="CB34" s="86"/>
      <c r="CC34" s="87"/>
      <c r="CD34" s="83">
        <f>IF(MONTH(DATE($B$2,11,20))=11,DATE($B$2,11,20),"")</f>
        <v>46346</v>
      </c>
      <c r="CE34" s="84"/>
      <c r="CF34" s="85"/>
      <c r="CG34" s="85"/>
      <c r="CH34" s="85"/>
      <c r="CI34" s="85"/>
      <c r="CJ34" s="86"/>
      <c r="CK34" s="87"/>
      <c r="CL34" s="83">
        <f>IF(MONTH(DATE($B$2,12,20))=12,DATE($B$2,12,20),"")</f>
        <v>46376</v>
      </c>
      <c r="CM34" s="84"/>
      <c r="CN34" s="85"/>
      <c r="CO34" s="85"/>
      <c r="CP34" s="85"/>
      <c r="CQ34" s="85"/>
      <c r="CR34" s="86"/>
      <c r="CS34" s="41"/>
    </row>
    <row r="35" s="0" ht="19.2" customHeight="1" customFormat="0">
      <c r="A35" s="47"/>
      <c r="B35" s="83">
        <f>IF(MONTH(DATE($B$2,1,21))=1,DATE($B$2,1,21),"")</f>
        <v>46043</v>
      </c>
      <c r="C35" s="84"/>
      <c r="D35" s="85"/>
      <c r="E35" s="85"/>
      <c r="F35" s="85"/>
      <c r="G35" s="85"/>
      <c r="H35" s="86"/>
      <c r="I35" s="87"/>
      <c r="J35" s="83">
        <f>IF(MONTH(DATE($B$2,2,21))=2,DATE($B$2,2,21),"")</f>
        <v>46074</v>
      </c>
      <c r="K35" s="84"/>
      <c r="L35" s="85"/>
      <c r="M35" s="85"/>
      <c r="N35" s="85"/>
      <c r="O35" s="85"/>
      <c r="P35" s="86"/>
      <c r="Q35" s="87"/>
      <c r="R35" s="83">
        <f>IF(MONTH(DATE($B$2,3,21))=3,DATE($B$2,3,21),"")</f>
        <v>46102</v>
      </c>
      <c r="S35" s="84"/>
      <c r="T35" s="85"/>
      <c r="U35" s="85"/>
      <c r="V35" s="85"/>
      <c r="W35" s="85"/>
      <c r="X35" s="86"/>
      <c r="Y35" s="87"/>
      <c r="Z35" s="83">
        <f>IF(MONTH(DATE($B$2,4,21))=4,DATE($B$2,4,21),"")</f>
        <v>46133</v>
      </c>
      <c r="AA35" s="84"/>
      <c r="AB35" s="85"/>
      <c r="AC35" s="85"/>
      <c r="AD35" s="85"/>
      <c r="AE35" s="85"/>
      <c r="AF35" s="86"/>
      <c r="AG35" s="87"/>
      <c r="AH35" s="83">
        <f>IF(MONTH(DATE($B$2,5,21))=5,DATE($B$2,5,21),"")</f>
        <v>46163</v>
      </c>
      <c r="AI35" s="84"/>
      <c r="AJ35" s="85"/>
      <c r="AK35" s="85"/>
      <c r="AL35" s="85"/>
      <c r="AM35" s="85"/>
      <c r="AN35" s="86"/>
      <c r="AO35" s="87"/>
      <c r="AP35" s="83">
        <f>IF(MONTH(DATE($B$2,6,21))=6,DATE($B$2,6,21),"")</f>
        <v>46194</v>
      </c>
      <c r="AQ35" s="84"/>
      <c r="AR35" s="85"/>
      <c r="AS35" s="85"/>
      <c r="AT35" s="85"/>
      <c r="AU35" s="85"/>
      <c r="AV35" s="86"/>
      <c r="AW35" s="87"/>
      <c r="AX35" s="83">
        <f>IF(MONTH(DATE($B$2,7,21))=7,DATE($B$2,7,21),"")</f>
        <v>46224</v>
      </c>
      <c r="AY35" s="84"/>
      <c r="AZ35" s="85"/>
      <c r="BA35" s="85"/>
      <c r="BB35" s="85"/>
      <c r="BC35" s="85"/>
      <c r="BD35" s="86"/>
      <c r="BE35" s="87"/>
      <c r="BF35" s="83">
        <f>IF(MONTH(DATE($B$2,8,21))=8,DATE($B$2,8,21),"")</f>
        <v>46255</v>
      </c>
      <c r="BG35" s="84"/>
      <c r="BH35" s="85"/>
      <c r="BI35" s="85"/>
      <c r="BJ35" s="85"/>
      <c r="BK35" s="85"/>
      <c r="BL35" s="86"/>
      <c r="BM35" s="87"/>
      <c r="BN35" s="83">
        <f>IF(MONTH(DATE($B$2,9,21))=9,DATE($B$2,9,21),"")</f>
        <v>46286</v>
      </c>
      <c r="BO35" s="84"/>
      <c r="BP35" s="85"/>
      <c r="BQ35" s="85"/>
      <c r="BR35" s="85"/>
      <c r="BS35" s="85"/>
      <c r="BT35" s="86"/>
      <c r="BU35" s="87"/>
      <c r="BV35" s="83">
        <f>IF(MONTH(DATE($B$2,10,21))=10,DATE($B$2,10,21),"")</f>
        <v>46316</v>
      </c>
      <c r="BW35" s="84"/>
      <c r="BX35" s="85"/>
      <c r="BY35" s="85"/>
      <c r="BZ35" s="85"/>
      <c r="CA35" s="85"/>
      <c r="CB35" s="86"/>
      <c r="CC35" s="87"/>
      <c r="CD35" s="83">
        <f>IF(MONTH(DATE($B$2,11,21))=11,DATE($B$2,11,21),"")</f>
        <v>46347</v>
      </c>
      <c r="CE35" s="84"/>
      <c r="CF35" s="85"/>
      <c r="CG35" s="85"/>
      <c r="CH35" s="85"/>
      <c r="CI35" s="85"/>
      <c r="CJ35" s="86"/>
      <c r="CK35" s="87"/>
      <c r="CL35" s="83">
        <f>IF(MONTH(DATE($B$2,12,21))=12,DATE($B$2,12,21),"")</f>
        <v>46377</v>
      </c>
      <c r="CM35" s="84"/>
      <c r="CN35" s="85"/>
      <c r="CO35" s="85"/>
      <c r="CP35" s="85"/>
      <c r="CQ35" s="85"/>
      <c r="CR35" s="86"/>
      <c r="CS35" s="41"/>
    </row>
    <row r="36" s="0" ht="19.2" customHeight="1" customFormat="0">
      <c r="A36" s="47"/>
      <c r="B36" s="83">
        <f>IF(MONTH(DATE($B$2,1,22))=1,DATE($B$2,1,22),"")</f>
        <v>46044</v>
      </c>
      <c r="C36" s="84"/>
      <c r="D36" s="85"/>
      <c r="E36" s="85"/>
      <c r="F36" s="85"/>
      <c r="G36" s="85"/>
      <c r="H36" s="86"/>
      <c r="I36" s="87"/>
      <c r="J36" s="83">
        <f>IF(MONTH(DATE($B$2,2,22))=2,DATE($B$2,2,22),"")</f>
        <v>46075</v>
      </c>
      <c r="K36" s="84"/>
      <c r="L36" s="85"/>
      <c r="M36" s="85"/>
      <c r="N36" s="85"/>
      <c r="O36" s="85"/>
      <c r="P36" s="86"/>
      <c r="Q36" s="87"/>
      <c r="R36" s="83">
        <f>IF(MONTH(DATE($B$2,3,22))=3,DATE($B$2,3,22),"")</f>
        <v>46103</v>
      </c>
      <c r="S36" s="84"/>
      <c r="T36" s="85"/>
      <c r="U36" s="85"/>
      <c r="V36" s="85"/>
      <c r="W36" s="85"/>
      <c r="X36" s="86"/>
      <c r="Y36" s="87"/>
      <c r="Z36" s="83">
        <f>IF(MONTH(DATE($B$2,4,22))=4,DATE($B$2,4,22),"")</f>
        <v>46134</v>
      </c>
      <c r="AA36" s="84"/>
      <c r="AB36" s="85"/>
      <c r="AC36" s="85"/>
      <c r="AD36" s="85"/>
      <c r="AE36" s="85"/>
      <c r="AF36" s="86"/>
      <c r="AG36" s="87"/>
      <c r="AH36" s="83">
        <f>IF(MONTH(DATE($B$2,5,22))=5,DATE($B$2,5,22),"")</f>
        <v>46164</v>
      </c>
      <c r="AI36" s="84"/>
      <c r="AJ36" s="85"/>
      <c r="AK36" s="85"/>
      <c r="AL36" s="85"/>
      <c r="AM36" s="85"/>
      <c r="AN36" s="86"/>
      <c r="AO36" s="87"/>
      <c r="AP36" s="83">
        <f>IF(MONTH(DATE($B$2,6,22))=6,DATE($B$2,6,22),"")</f>
        <v>46195</v>
      </c>
      <c r="AQ36" s="84"/>
      <c r="AR36" s="85"/>
      <c r="AS36" s="85"/>
      <c r="AT36" s="85"/>
      <c r="AU36" s="85"/>
      <c r="AV36" s="86"/>
      <c r="AW36" s="87"/>
      <c r="AX36" s="83">
        <f>IF(MONTH(DATE($B$2,7,22))=7,DATE($B$2,7,22),"")</f>
        <v>46225</v>
      </c>
      <c r="AY36" s="84"/>
      <c r="AZ36" s="85"/>
      <c r="BA36" s="85"/>
      <c r="BB36" s="85"/>
      <c r="BC36" s="85"/>
      <c r="BD36" s="86"/>
      <c r="BE36" s="87"/>
      <c r="BF36" s="83">
        <f>IF(MONTH(DATE($B$2,8,22))=8,DATE($B$2,8,22),"")</f>
        <v>46256</v>
      </c>
      <c r="BG36" s="84"/>
      <c r="BH36" s="85"/>
      <c r="BI36" s="85"/>
      <c r="BJ36" s="85"/>
      <c r="BK36" s="85"/>
      <c r="BL36" s="86"/>
      <c r="BM36" s="87"/>
      <c r="BN36" s="83">
        <f>IF(MONTH(DATE($B$2,9,22))=9,DATE($B$2,9,22),"")</f>
        <v>46287</v>
      </c>
      <c r="BO36" s="84"/>
      <c r="BP36" s="85"/>
      <c r="BQ36" s="85"/>
      <c r="BR36" s="85"/>
      <c r="BS36" s="85"/>
      <c r="BT36" s="86"/>
      <c r="BU36" s="87"/>
      <c r="BV36" s="83">
        <f>IF(MONTH(DATE($B$2,10,22))=10,DATE($B$2,10,22),"")</f>
        <v>46317</v>
      </c>
      <c r="BW36" s="84"/>
      <c r="BX36" s="85"/>
      <c r="BY36" s="85"/>
      <c r="BZ36" s="85"/>
      <c r="CA36" s="85"/>
      <c r="CB36" s="86"/>
      <c r="CC36" s="87"/>
      <c r="CD36" s="83">
        <f>IF(MONTH(DATE($B$2,11,22))=11,DATE($B$2,11,22),"")</f>
        <v>46348</v>
      </c>
      <c r="CE36" s="84"/>
      <c r="CF36" s="85"/>
      <c r="CG36" s="85"/>
      <c r="CH36" s="85"/>
      <c r="CI36" s="85"/>
      <c r="CJ36" s="86"/>
      <c r="CK36" s="87"/>
      <c r="CL36" s="83">
        <f>IF(MONTH(DATE($B$2,12,22))=12,DATE($B$2,12,22),"")</f>
        <v>46378</v>
      </c>
      <c r="CM36" s="84"/>
      <c r="CN36" s="85"/>
      <c r="CO36" s="85"/>
      <c r="CP36" s="85"/>
      <c r="CQ36" s="85"/>
      <c r="CR36" s="86"/>
      <c r="CS36" s="41"/>
    </row>
    <row r="37" s="0" ht="19.2" customHeight="1" customFormat="0">
      <c r="A37" s="47"/>
      <c r="B37" s="83">
        <f>IF(MONTH(DATE($B$2,1,23))=1,DATE($B$2,1,23),"")</f>
        <v>46045</v>
      </c>
      <c r="C37" s="84"/>
      <c r="D37" s="85"/>
      <c r="E37" s="85"/>
      <c r="F37" s="85"/>
      <c r="G37" s="85"/>
      <c r="H37" s="86"/>
      <c r="I37" s="87"/>
      <c r="J37" s="83">
        <f>IF(MONTH(DATE($B$2,2,23))=2,DATE($B$2,2,23),"")</f>
        <v>46076</v>
      </c>
      <c r="K37" s="84"/>
      <c r="L37" s="85"/>
      <c r="M37" s="85"/>
      <c r="N37" s="85"/>
      <c r="O37" s="85"/>
      <c r="P37" s="86"/>
      <c r="Q37" s="87"/>
      <c r="R37" s="83">
        <f>IF(MONTH(DATE($B$2,3,23))=3,DATE($B$2,3,23),"")</f>
        <v>46104</v>
      </c>
      <c r="S37" s="84"/>
      <c r="T37" s="85"/>
      <c r="U37" s="85"/>
      <c r="V37" s="85"/>
      <c r="W37" s="85"/>
      <c r="X37" s="86"/>
      <c r="Y37" s="87"/>
      <c r="Z37" s="83">
        <f>IF(MONTH(DATE($B$2,4,23))=4,DATE($B$2,4,23),"")</f>
        <v>46135</v>
      </c>
      <c r="AA37" s="84"/>
      <c r="AB37" s="85"/>
      <c r="AC37" s="85"/>
      <c r="AD37" s="85"/>
      <c r="AE37" s="85"/>
      <c r="AF37" s="86"/>
      <c r="AG37" s="87"/>
      <c r="AH37" s="83">
        <f>IF(MONTH(DATE($B$2,5,23))=5,DATE($B$2,5,23),"")</f>
        <v>46165</v>
      </c>
      <c r="AI37" s="84"/>
      <c r="AJ37" s="85"/>
      <c r="AK37" s="85"/>
      <c r="AL37" s="85"/>
      <c r="AM37" s="85"/>
      <c r="AN37" s="86"/>
      <c r="AO37" s="87"/>
      <c r="AP37" s="83">
        <f>IF(MONTH(DATE($B$2,6,23))=6,DATE($B$2,6,23),"")</f>
        <v>46196</v>
      </c>
      <c r="AQ37" s="84"/>
      <c r="AR37" s="85"/>
      <c r="AS37" s="85"/>
      <c r="AT37" s="85"/>
      <c r="AU37" s="85"/>
      <c r="AV37" s="86"/>
      <c r="AW37" s="87"/>
      <c r="AX37" s="83">
        <f>IF(MONTH(DATE($B$2,7,23))=7,DATE($B$2,7,23),"")</f>
        <v>46226</v>
      </c>
      <c r="AY37" s="84"/>
      <c r="AZ37" s="85"/>
      <c r="BA37" s="85"/>
      <c r="BB37" s="85"/>
      <c r="BC37" s="85"/>
      <c r="BD37" s="86"/>
      <c r="BE37" s="87"/>
      <c r="BF37" s="83">
        <f>IF(MONTH(DATE($B$2,8,23))=8,DATE($B$2,8,23),"")</f>
        <v>46257</v>
      </c>
      <c r="BG37" s="84"/>
      <c r="BH37" s="85"/>
      <c r="BI37" s="85"/>
      <c r="BJ37" s="85"/>
      <c r="BK37" s="85"/>
      <c r="BL37" s="86"/>
      <c r="BM37" s="87"/>
      <c r="BN37" s="83">
        <f>IF(MONTH(DATE($B$2,9,23))=9,DATE($B$2,9,23),"")</f>
        <v>46288</v>
      </c>
      <c r="BO37" s="84"/>
      <c r="BP37" s="85"/>
      <c r="BQ37" s="85"/>
      <c r="BR37" s="85"/>
      <c r="BS37" s="85"/>
      <c r="BT37" s="86"/>
      <c r="BU37" s="87"/>
      <c r="BV37" s="83">
        <f>IF(MONTH(DATE($B$2,10,23))=10,DATE($B$2,10,23),"")</f>
        <v>46318</v>
      </c>
      <c r="BW37" s="84"/>
      <c r="BX37" s="85"/>
      <c r="BY37" s="85"/>
      <c r="BZ37" s="85"/>
      <c r="CA37" s="85"/>
      <c r="CB37" s="86"/>
      <c r="CC37" s="87"/>
      <c r="CD37" s="83">
        <f>IF(MONTH(DATE($B$2,11,23))=11,DATE($B$2,11,23),"")</f>
        <v>46349</v>
      </c>
      <c r="CE37" s="84"/>
      <c r="CF37" s="85"/>
      <c r="CG37" s="85"/>
      <c r="CH37" s="85"/>
      <c r="CI37" s="85"/>
      <c r="CJ37" s="86"/>
      <c r="CK37" s="87"/>
      <c r="CL37" s="83">
        <f>IF(MONTH(DATE($B$2,12,23))=12,DATE($B$2,12,23),"")</f>
        <v>46379</v>
      </c>
      <c r="CM37" s="84"/>
      <c r="CN37" s="85"/>
      <c r="CO37" s="85"/>
      <c r="CP37" s="85"/>
      <c r="CQ37" s="85"/>
      <c r="CR37" s="86"/>
      <c r="CS37" s="41"/>
    </row>
    <row r="38" s="0" ht="19.2" customHeight="1" customFormat="0">
      <c r="A38" s="47"/>
      <c r="B38" s="83">
        <f>IF(MONTH(DATE($B$2,1,24))=1,DATE($B$2,1,24),"")</f>
        <v>46046</v>
      </c>
      <c r="C38" s="84"/>
      <c r="D38" s="85"/>
      <c r="E38" s="85"/>
      <c r="F38" s="85"/>
      <c r="G38" s="85"/>
      <c r="H38" s="86"/>
      <c r="I38" s="87"/>
      <c r="J38" s="83">
        <f>IF(MONTH(DATE($B$2,2,24))=2,DATE($B$2,2,24),"")</f>
        <v>46077</v>
      </c>
      <c r="K38" s="84"/>
      <c r="L38" s="85"/>
      <c r="M38" s="85"/>
      <c r="N38" s="85"/>
      <c r="O38" s="85"/>
      <c r="P38" s="86"/>
      <c r="Q38" s="87"/>
      <c r="R38" s="83">
        <f>IF(MONTH(DATE($B$2,3,24))=3,DATE($B$2,3,24),"")</f>
        <v>46105</v>
      </c>
      <c r="S38" s="84"/>
      <c r="T38" s="85"/>
      <c r="U38" s="85"/>
      <c r="V38" s="85"/>
      <c r="W38" s="85"/>
      <c r="X38" s="86"/>
      <c r="Y38" s="87"/>
      <c r="Z38" s="83">
        <f>IF(MONTH(DATE($B$2,4,24))=4,DATE($B$2,4,24),"")</f>
        <v>46136</v>
      </c>
      <c r="AA38" s="84"/>
      <c r="AB38" s="85"/>
      <c r="AC38" s="85"/>
      <c r="AD38" s="85"/>
      <c r="AE38" s="85"/>
      <c r="AF38" s="86"/>
      <c r="AG38" s="87"/>
      <c r="AH38" s="83">
        <f>IF(MONTH(DATE($B$2,5,24))=5,DATE($B$2,5,24),"")</f>
        <v>46166</v>
      </c>
      <c r="AI38" s="84"/>
      <c r="AJ38" s="85"/>
      <c r="AK38" s="85"/>
      <c r="AL38" s="85"/>
      <c r="AM38" s="85"/>
      <c r="AN38" s="86"/>
      <c r="AO38" s="87"/>
      <c r="AP38" s="83">
        <f>IF(MONTH(DATE($B$2,6,24))=6,DATE($B$2,6,24),"")</f>
        <v>46197</v>
      </c>
      <c r="AQ38" s="84"/>
      <c r="AR38" s="85"/>
      <c r="AS38" s="85"/>
      <c r="AT38" s="85"/>
      <c r="AU38" s="85"/>
      <c r="AV38" s="86"/>
      <c r="AW38" s="87"/>
      <c r="AX38" s="83">
        <f>IF(MONTH(DATE($B$2,7,24))=7,DATE($B$2,7,24),"")</f>
        <v>46227</v>
      </c>
      <c r="AY38" s="84"/>
      <c r="AZ38" s="85"/>
      <c r="BA38" s="85"/>
      <c r="BB38" s="85"/>
      <c r="BC38" s="85"/>
      <c r="BD38" s="86"/>
      <c r="BE38" s="87"/>
      <c r="BF38" s="83">
        <f>IF(MONTH(DATE($B$2,8,24))=8,DATE($B$2,8,24),"")</f>
        <v>46258</v>
      </c>
      <c r="BG38" s="84"/>
      <c r="BH38" s="85"/>
      <c r="BI38" s="85"/>
      <c r="BJ38" s="85"/>
      <c r="BK38" s="85"/>
      <c r="BL38" s="86"/>
      <c r="BM38" s="87"/>
      <c r="BN38" s="83">
        <f>IF(MONTH(DATE($B$2,9,24))=9,DATE($B$2,9,24),"")</f>
        <v>46289</v>
      </c>
      <c r="BO38" s="84"/>
      <c r="BP38" s="85"/>
      <c r="BQ38" s="85"/>
      <c r="BR38" s="85"/>
      <c r="BS38" s="85"/>
      <c r="BT38" s="86"/>
      <c r="BU38" s="87"/>
      <c r="BV38" s="83">
        <f>IF(MONTH(DATE($B$2,10,24))=10,DATE($B$2,10,24),"")</f>
        <v>46319</v>
      </c>
      <c r="BW38" s="84"/>
      <c r="BX38" s="85"/>
      <c r="BY38" s="85"/>
      <c r="BZ38" s="85"/>
      <c r="CA38" s="85"/>
      <c r="CB38" s="86"/>
      <c r="CC38" s="87"/>
      <c r="CD38" s="83">
        <f>IF(MONTH(DATE($B$2,11,24))=11,DATE($B$2,11,24),"")</f>
        <v>46350</v>
      </c>
      <c r="CE38" s="84"/>
      <c r="CF38" s="85"/>
      <c r="CG38" s="85"/>
      <c r="CH38" s="85"/>
      <c r="CI38" s="85"/>
      <c r="CJ38" s="86"/>
      <c r="CK38" s="87"/>
      <c r="CL38" s="83">
        <f>IF(MONTH(DATE($B$2,12,24))=12,DATE($B$2,12,24),"")</f>
        <v>46380</v>
      </c>
      <c r="CM38" s="84"/>
      <c r="CN38" s="85"/>
      <c r="CO38" s="85"/>
      <c r="CP38" s="85"/>
      <c r="CQ38" s="85"/>
      <c r="CR38" s="86"/>
      <c r="CS38" s="41"/>
    </row>
    <row r="39" s="0" ht="19.2" customHeight="1" customFormat="0">
      <c r="A39" s="47"/>
      <c r="B39" s="83">
        <f>IF(MONTH(DATE($B$2,1,25))=1,DATE($B$2,1,25),"")</f>
        <v>46047</v>
      </c>
      <c r="C39" s="84"/>
      <c r="D39" s="85"/>
      <c r="E39" s="85"/>
      <c r="F39" s="85"/>
      <c r="G39" s="85"/>
      <c r="H39" s="86"/>
      <c r="I39" s="87"/>
      <c r="J39" s="83">
        <f>IF(MONTH(DATE($B$2,2,25))=2,DATE($B$2,2,25),"")</f>
        <v>46078</v>
      </c>
      <c r="K39" s="84"/>
      <c r="L39" s="85"/>
      <c r="M39" s="85"/>
      <c r="N39" s="85"/>
      <c r="O39" s="85"/>
      <c r="P39" s="86"/>
      <c r="Q39" s="87"/>
      <c r="R39" s="83">
        <f>IF(MONTH(DATE($B$2,3,25))=3,DATE($B$2,3,25),"")</f>
        <v>46106</v>
      </c>
      <c r="S39" s="84"/>
      <c r="T39" s="85"/>
      <c r="U39" s="85"/>
      <c r="V39" s="85"/>
      <c r="W39" s="85"/>
      <c r="X39" s="86"/>
      <c r="Y39" s="87"/>
      <c r="Z39" s="83">
        <f>IF(MONTH(DATE($B$2,4,25))=4,DATE($B$2,4,25),"")</f>
        <v>46137</v>
      </c>
      <c r="AA39" s="84"/>
      <c r="AB39" s="85"/>
      <c r="AC39" s="85"/>
      <c r="AD39" s="85"/>
      <c r="AE39" s="85"/>
      <c r="AF39" s="86"/>
      <c r="AG39" s="87"/>
      <c r="AH39" s="83">
        <f>IF(MONTH(DATE($B$2,5,25))=5,DATE($B$2,5,25),"")</f>
        <v>46167</v>
      </c>
      <c r="AI39" s="84"/>
      <c r="AJ39" s="85"/>
      <c r="AK39" s="85"/>
      <c r="AL39" s="85"/>
      <c r="AM39" s="85"/>
      <c r="AN39" s="86"/>
      <c r="AO39" s="87"/>
      <c r="AP39" s="83">
        <f>IF(MONTH(DATE($B$2,6,25))=6,DATE($B$2,6,25),"")</f>
        <v>46198</v>
      </c>
      <c r="AQ39" s="84"/>
      <c r="AR39" s="85"/>
      <c r="AS39" s="85"/>
      <c r="AT39" s="85"/>
      <c r="AU39" s="85"/>
      <c r="AV39" s="86"/>
      <c r="AW39" s="87"/>
      <c r="AX39" s="83">
        <f>IF(MONTH(DATE($B$2,7,25))=7,DATE($B$2,7,25),"")</f>
        <v>46228</v>
      </c>
      <c r="AY39" s="84"/>
      <c r="AZ39" s="85"/>
      <c r="BA39" s="85"/>
      <c r="BB39" s="85"/>
      <c r="BC39" s="85"/>
      <c r="BD39" s="86"/>
      <c r="BE39" s="87"/>
      <c r="BF39" s="83">
        <f>IF(MONTH(DATE($B$2,8,25))=8,DATE($B$2,8,25),"")</f>
        <v>46259</v>
      </c>
      <c r="BG39" s="84"/>
      <c r="BH39" s="85"/>
      <c r="BI39" s="85"/>
      <c r="BJ39" s="85"/>
      <c r="BK39" s="85"/>
      <c r="BL39" s="86"/>
      <c r="BM39" s="87"/>
      <c r="BN39" s="83">
        <f>IF(MONTH(DATE($B$2,9,25))=9,DATE($B$2,9,25),"")</f>
        <v>46290</v>
      </c>
      <c r="BO39" s="84"/>
      <c r="BP39" s="85"/>
      <c r="BQ39" s="85"/>
      <c r="BR39" s="85"/>
      <c r="BS39" s="85"/>
      <c r="BT39" s="86"/>
      <c r="BU39" s="87"/>
      <c r="BV39" s="83">
        <f>IF(MONTH(DATE($B$2,10,25))=10,DATE($B$2,10,25),"")</f>
        <v>46320</v>
      </c>
      <c r="BW39" s="84"/>
      <c r="BX39" s="85"/>
      <c r="BY39" s="85"/>
      <c r="BZ39" s="85"/>
      <c r="CA39" s="85"/>
      <c r="CB39" s="86"/>
      <c r="CC39" s="87"/>
      <c r="CD39" s="83">
        <f>IF(MONTH(DATE($B$2,11,25))=11,DATE($B$2,11,25),"")</f>
        <v>46351</v>
      </c>
      <c r="CE39" s="84"/>
      <c r="CF39" s="85"/>
      <c r="CG39" s="85"/>
      <c r="CH39" s="85"/>
      <c r="CI39" s="85"/>
      <c r="CJ39" s="86"/>
      <c r="CK39" s="87"/>
      <c r="CL39" s="83">
        <f>IF(MONTH(DATE($B$2,12,25))=12,DATE($B$2,12,25),"")</f>
        <v>46381</v>
      </c>
      <c r="CM39" s="84"/>
      <c r="CN39" s="85"/>
      <c r="CO39" s="85"/>
      <c r="CP39" s="85"/>
      <c r="CQ39" s="85"/>
      <c r="CR39" s="86"/>
      <c r="CS39" s="41"/>
    </row>
    <row r="40" s="0" ht="19.2" customHeight="1" customFormat="0">
      <c r="A40" s="47"/>
      <c r="B40" s="83">
        <f>IF(MONTH(DATE($B$2,1,26))=1,DATE($B$2,1,26),"")</f>
        <v>46048</v>
      </c>
      <c r="C40" s="84"/>
      <c r="D40" s="85"/>
      <c r="E40" s="85"/>
      <c r="F40" s="85"/>
      <c r="G40" s="85"/>
      <c r="H40" s="86"/>
      <c r="I40" s="87"/>
      <c r="J40" s="83">
        <f>IF(MONTH(DATE($B$2,2,26))=2,DATE($B$2,2,26),"")</f>
        <v>46079</v>
      </c>
      <c r="K40" s="84"/>
      <c r="L40" s="85"/>
      <c r="M40" s="85"/>
      <c r="N40" s="85"/>
      <c r="O40" s="85"/>
      <c r="P40" s="86"/>
      <c r="Q40" s="87"/>
      <c r="R40" s="83">
        <f>IF(MONTH(DATE($B$2,3,26))=3,DATE($B$2,3,26),"")</f>
        <v>46107</v>
      </c>
      <c r="S40" s="84"/>
      <c r="T40" s="85"/>
      <c r="U40" s="85"/>
      <c r="V40" s="85"/>
      <c r="W40" s="85"/>
      <c r="X40" s="86"/>
      <c r="Y40" s="87"/>
      <c r="Z40" s="83">
        <f>IF(MONTH(DATE($B$2,4,26))=4,DATE($B$2,4,26),"")</f>
        <v>46138</v>
      </c>
      <c r="AA40" s="84"/>
      <c r="AB40" s="85"/>
      <c r="AC40" s="85"/>
      <c r="AD40" s="85"/>
      <c r="AE40" s="85"/>
      <c r="AF40" s="86"/>
      <c r="AG40" s="87"/>
      <c r="AH40" s="83">
        <f>IF(MONTH(DATE($B$2,5,26))=5,DATE($B$2,5,26),"")</f>
        <v>46168</v>
      </c>
      <c r="AI40" s="84"/>
      <c r="AJ40" s="85"/>
      <c r="AK40" s="85"/>
      <c r="AL40" s="85"/>
      <c r="AM40" s="85"/>
      <c r="AN40" s="86"/>
      <c r="AO40" s="87"/>
      <c r="AP40" s="83">
        <f>IF(MONTH(DATE($B$2,6,26))=6,DATE($B$2,6,26),"")</f>
        <v>46199</v>
      </c>
      <c r="AQ40" s="84"/>
      <c r="AR40" s="85"/>
      <c r="AS40" s="85"/>
      <c r="AT40" s="85"/>
      <c r="AU40" s="85"/>
      <c r="AV40" s="86"/>
      <c r="AW40" s="87"/>
      <c r="AX40" s="83">
        <f>IF(MONTH(DATE($B$2,7,26))=7,DATE($B$2,7,26),"")</f>
        <v>46229</v>
      </c>
      <c r="AY40" s="84"/>
      <c r="AZ40" s="85"/>
      <c r="BA40" s="85"/>
      <c r="BB40" s="85"/>
      <c r="BC40" s="85"/>
      <c r="BD40" s="86"/>
      <c r="BE40" s="87"/>
      <c r="BF40" s="83">
        <f>IF(MONTH(DATE($B$2,8,26))=8,DATE($B$2,8,26),"")</f>
        <v>46260</v>
      </c>
      <c r="BG40" s="84"/>
      <c r="BH40" s="85"/>
      <c r="BI40" s="85"/>
      <c r="BJ40" s="85"/>
      <c r="BK40" s="85"/>
      <c r="BL40" s="86"/>
      <c r="BM40" s="87"/>
      <c r="BN40" s="83">
        <f>IF(MONTH(DATE($B$2,9,26))=9,DATE($B$2,9,26),"")</f>
        <v>46291</v>
      </c>
      <c r="BO40" s="84"/>
      <c r="BP40" s="85"/>
      <c r="BQ40" s="85"/>
      <c r="BR40" s="85"/>
      <c r="BS40" s="85"/>
      <c r="BT40" s="86"/>
      <c r="BU40" s="87"/>
      <c r="BV40" s="83">
        <f>IF(MONTH(DATE($B$2,10,26))=10,DATE($B$2,10,26),"")</f>
        <v>46321</v>
      </c>
      <c r="BW40" s="84"/>
      <c r="BX40" s="85"/>
      <c r="BY40" s="85"/>
      <c r="BZ40" s="85"/>
      <c r="CA40" s="85"/>
      <c r="CB40" s="86"/>
      <c r="CC40" s="87"/>
      <c r="CD40" s="83">
        <f>IF(MONTH(DATE($B$2,11,26))=11,DATE($B$2,11,26),"")</f>
        <v>46352</v>
      </c>
      <c r="CE40" s="84"/>
      <c r="CF40" s="85"/>
      <c r="CG40" s="85"/>
      <c r="CH40" s="85"/>
      <c r="CI40" s="85"/>
      <c r="CJ40" s="86"/>
      <c r="CK40" s="87"/>
      <c r="CL40" s="83">
        <f>IF(MONTH(DATE($B$2,12,26))=12,DATE($B$2,12,26),"")</f>
        <v>46382</v>
      </c>
      <c r="CM40" s="84"/>
      <c r="CN40" s="85"/>
      <c r="CO40" s="85"/>
      <c r="CP40" s="85"/>
      <c r="CQ40" s="85"/>
      <c r="CR40" s="86"/>
      <c r="CS40" s="41"/>
    </row>
    <row r="41" s="0" ht="19.2" customHeight="1" customFormat="0">
      <c r="A41" s="47"/>
      <c r="B41" s="83">
        <f>IF(MONTH(DATE($B$2,1,27))=1,DATE($B$2,1,27),"")</f>
        <v>46049</v>
      </c>
      <c r="C41" s="84"/>
      <c r="D41" s="85"/>
      <c r="E41" s="85"/>
      <c r="F41" s="85"/>
      <c r="G41" s="85"/>
      <c r="H41" s="86"/>
      <c r="I41" s="87"/>
      <c r="J41" s="83">
        <f>IF(MONTH(DATE($B$2,2,27))=2,DATE($B$2,2,27),"")</f>
        <v>46080</v>
      </c>
      <c r="K41" s="84"/>
      <c r="L41" s="85"/>
      <c r="M41" s="85"/>
      <c r="N41" s="85"/>
      <c r="O41" s="85"/>
      <c r="P41" s="86"/>
      <c r="Q41" s="87"/>
      <c r="R41" s="83">
        <f>IF(MONTH(DATE($B$2,3,27))=3,DATE($B$2,3,27),"")</f>
        <v>46108</v>
      </c>
      <c r="S41" s="84"/>
      <c r="T41" s="85"/>
      <c r="U41" s="85"/>
      <c r="V41" s="85"/>
      <c r="W41" s="85"/>
      <c r="X41" s="86"/>
      <c r="Y41" s="87"/>
      <c r="Z41" s="83">
        <f>IF(MONTH(DATE($B$2,4,27))=4,DATE($B$2,4,27),"")</f>
        <v>46139</v>
      </c>
      <c r="AA41" s="84"/>
      <c r="AB41" s="85"/>
      <c r="AC41" s="85"/>
      <c r="AD41" s="85"/>
      <c r="AE41" s="85"/>
      <c r="AF41" s="86"/>
      <c r="AG41" s="87"/>
      <c r="AH41" s="83">
        <f>IF(MONTH(DATE($B$2,5,27))=5,DATE($B$2,5,27),"")</f>
        <v>46169</v>
      </c>
      <c r="AI41" s="84"/>
      <c r="AJ41" s="85"/>
      <c r="AK41" s="85"/>
      <c r="AL41" s="85"/>
      <c r="AM41" s="85"/>
      <c r="AN41" s="86"/>
      <c r="AO41" s="87"/>
      <c r="AP41" s="83">
        <f>IF(MONTH(DATE($B$2,6,27))=6,DATE($B$2,6,27),"")</f>
        <v>46200</v>
      </c>
      <c r="AQ41" s="84"/>
      <c r="AR41" s="85"/>
      <c r="AS41" s="85"/>
      <c r="AT41" s="85"/>
      <c r="AU41" s="85"/>
      <c r="AV41" s="86"/>
      <c r="AW41" s="87"/>
      <c r="AX41" s="83">
        <f>IF(MONTH(DATE($B$2,7,27))=7,DATE($B$2,7,27),"")</f>
        <v>46230</v>
      </c>
      <c r="AY41" s="84"/>
      <c r="AZ41" s="85"/>
      <c r="BA41" s="85"/>
      <c r="BB41" s="85"/>
      <c r="BC41" s="85"/>
      <c r="BD41" s="86"/>
      <c r="BE41" s="87"/>
      <c r="BF41" s="83">
        <f>IF(MONTH(DATE($B$2,8,27))=8,DATE($B$2,8,27),"")</f>
        <v>46261</v>
      </c>
      <c r="BG41" s="84"/>
      <c r="BH41" s="85"/>
      <c r="BI41" s="85"/>
      <c r="BJ41" s="85"/>
      <c r="BK41" s="85"/>
      <c r="BL41" s="86"/>
      <c r="BM41" s="87"/>
      <c r="BN41" s="83">
        <f>IF(MONTH(DATE($B$2,9,27))=9,DATE($B$2,9,27),"")</f>
        <v>46292</v>
      </c>
      <c r="BO41" s="84"/>
      <c r="BP41" s="85"/>
      <c r="BQ41" s="85"/>
      <c r="BR41" s="85"/>
      <c r="BS41" s="85"/>
      <c r="BT41" s="86"/>
      <c r="BU41" s="87"/>
      <c r="BV41" s="83">
        <f>IF(MONTH(DATE($B$2,10,27))=10,DATE($B$2,10,27),"")</f>
        <v>46322</v>
      </c>
      <c r="BW41" s="84"/>
      <c r="BX41" s="85"/>
      <c r="BY41" s="85"/>
      <c r="BZ41" s="85"/>
      <c r="CA41" s="85"/>
      <c r="CB41" s="86"/>
      <c r="CC41" s="87"/>
      <c r="CD41" s="83">
        <f>IF(MONTH(DATE($B$2,11,27))=11,DATE($B$2,11,27),"")</f>
        <v>46353</v>
      </c>
      <c r="CE41" s="84"/>
      <c r="CF41" s="85"/>
      <c r="CG41" s="85"/>
      <c r="CH41" s="85"/>
      <c r="CI41" s="85"/>
      <c r="CJ41" s="86"/>
      <c r="CK41" s="87"/>
      <c r="CL41" s="83">
        <f>IF(MONTH(DATE($B$2,12,27))=12,DATE($B$2,12,27),"")</f>
        <v>46383</v>
      </c>
      <c r="CM41" s="84"/>
      <c r="CN41" s="85"/>
      <c r="CO41" s="85"/>
      <c r="CP41" s="85"/>
      <c r="CQ41" s="85"/>
      <c r="CR41" s="86"/>
      <c r="CS41" s="41"/>
    </row>
    <row r="42" s="0" ht="19.2" customHeight="1" customFormat="0">
      <c r="A42" s="47"/>
      <c r="B42" s="83">
        <f>IF(MONTH(DATE($B$2,1,28))=1,DATE($B$2,1,28),"")</f>
        <v>46050</v>
      </c>
      <c r="C42" s="84"/>
      <c r="D42" s="85"/>
      <c r="E42" s="85"/>
      <c r="F42" s="85"/>
      <c r="G42" s="85"/>
      <c r="H42" s="86"/>
      <c r="I42" s="87"/>
      <c r="J42" s="83">
        <f>IF(MONTH(DATE($B$2,2,28))=2,DATE($B$2,2,28),"")</f>
        <v>46081</v>
      </c>
      <c r="K42" s="84"/>
      <c r="L42" s="85"/>
      <c r="M42" s="85"/>
      <c r="N42" s="85"/>
      <c r="O42" s="85"/>
      <c r="P42" s="86"/>
      <c r="Q42" s="87"/>
      <c r="R42" s="83">
        <f>IF(MONTH(DATE($B$2,3,28))=3,DATE($B$2,3,28),"")</f>
        <v>46109</v>
      </c>
      <c r="S42" s="84"/>
      <c r="T42" s="85"/>
      <c r="U42" s="85"/>
      <c r="V42" s="85"/>
      <c r="W42" s="85"/>
      <c r="X42" s="86"/>
      <c r="Y42" s="87"/>
      <c r="Z42" s="83">
        <f>IF(MONTH(DATE($B$2,4,28))=4,DATE($B$2,4,28),"")</f>
        <v>46140</v>
      </c>
      <c r="AA42" s="84"/>
      <c r="AB42" s="85"/>
      <c r="AC42" s="85"/>
      <c r="AD42" s="85"/>
      <c r="AE42" s="85"/>
      <c r="AF42" s="86"/>
      <c r="AG42" s="87"/>
      <c r="AH42" s="83">
        <f>IF(MONTH(DATE($B$2,5,28))=5,DATE($B$2,5,28),"")</f>
        <v>46170</v>
      </c>
      <c r="AI42" s="84"/>
      <c r="AJ42" s="85"/>
      <c r="AK42" s="85"/>
      <c r="AL42" s="85"/>
      <c r="AM42" s="85"/>
      <c r="AN42" s="86"/>
      <c r="AO42" s="87"/>
      <c r="AP42" s="83">
        <f>IF(MONTH(DATE($B$2,6,28))=6,DATE($B$2,6,28),"")</f>
        <v>46201</v>
      </c>
      <c r="AQ42" s="84"/>
      <c r="AR42" s="85"/>
      <c r="AS42" s="85"/>
      <c r="AT42" s="85"/>
      <c r="AU42" s="85"/>
      <c r="AV42" s="86"/>
      <c r="AW42" s="87"/>
      <c r="AX42" s="83">
        <f>IF(MONTH(DATE($B$2,7,28))=7,DATE($B$2,7,28),"")</f>
        <v>46231</v>
      </c>
      <c r="AY42" s="84"/>
      <c r="AZ42" s="85"/>
      <c r="BA42" s="85"/>
      <c r="BB42" s="85"/>
      <c r="BC42" s="85"/>
      <c r="BD42" s="86"/>
      <c r="BE42" s="87"/>
      <c r="BF42" s="83">
        <f>IF(MONTH(DATE($B$2,8,28))=8,DATE($B$2,8,28),"")</f>
        <v>46262</v>
      </c>
      <c r="BG42" s="84"/>
      <c r="BH42" s="85"/>
      <c r="BI42" s="85"/>
      <c r="BJ42" s="85"/>
      <c r="BK42" s="85"/>
      <c r="BL42" s="86"/>
      <c r="BM42" s="87"/>
      <c r="BN42" s="83">
        <f>IF(MONTH(DATE($B$2,9,28))=9,DATE($B$2,9,28),"")</f>
        <v>46293</v>
      </c>
      <c r="BO42" s="84"/>
      <c r="BP42" s="85"/>
      <c r="BQ42" s="85"/>
      <c r="BR42" s="85"/>
      <c r="BS42" s="85"/>
      <c r="BT42" s="86"/>
      <c r="BU42" s="87"/>
      <c r="BV42" s="83">
        <f>IF(MONTH(DATE($B$2,10,28))=10,DATE($B$2,10,28),"")</f>
        <v>46323</v>
      </c>
      <c r="BW42" s="84"/>
      <c r="BX42" s="85"/>
      <c r="BY42" s="85"/>
      <c r="BZ42" s="85"/>
      <c r="CA42" s="85"/>
      <c r="CB42" s="86"/>
      <c r="CC42" s="87"/>
      <c r="CD42" s="83">
        <f>IF(MONTH(DATE($B$2,11,28))=11,DATE($B$2,11,28),"")</f>
        <v>46354</v>
      </c>
      <c r="CE42" s="84"/>
      <c r="CF42" s="85"/>
      <c r="CG42" s="85"/>
      <c r="CH42" s="85"/>
      <c r="CI42" s="85"/>
      <c r="CJ42" s="86"/>
      <c r="CK42" s="87"/>
      <c r="CL42" s="83">
        <f>IF(MONTH(DATE($B$2,12,28))=12,DATE($B$2,12,28),"")</f>
        <v>46384</v>
      </c>
      <c r="CM42" s="84"/>
      <c r="CN42" s="85"/>
      <c r="CO42" s="85"/>
      <c r="CP42" s="85"/>
      <c r="CQ42" s="85"/>
      <c r="CR42" s="86"/>
      <c r="CS42" s="41"/>
    </row>
    <row r="43" s="0" ht="19.2" customHeight="1" customFormat="0">
      <c r="A43" s="47"/>
      <c r="B43" s="83">
        <f>IF(MONTH(DATE($B$2,1,29))=1,DATE($B$2,1,29),"")</f>
        <v>46051</v>
      </c>
      <c r="C43" s="84"/>
      <c r="D43" s="85"/>
      <c r="E43" s="85"/>
      <c r="F43" s="85"/>
      <c r="G43" s="85"/>
      <c r="H43" s="86"/>
      <c r="I43" s="87"/>
      <c r="J43" t="str" s="83">
        <f>IF(MONTH(DATE($B$2,2,29))=2,DATE($B$2,2,29),"")</f>
        <v/>
      </c>
      <c r="K43" s="84"/>
      <c r="L43" s="85"/>
      <c r="M43" s="85"/>
      <c r="N43" s="85"/>
      <c r="O43" s="85"/>
      <c r="P43" s="86"/>
      <c r="Q43" s="87"/>
      <c r="R43" s="83">
        <f>IF(MONTH(DATE($B$2,3,29))=3,DATE($B$2,3,29),"")</f>
        <v>46110</v>
      </c>
      <c r="S43" s="84"/>
      <c r="T43" s="85"/>
      <c r="U43" s="85"/>
      <c r="V43" s="85"/>
      <c r="W43" s="85"/>
      <c r="X43" s="86"/>
      <c r="Y43" s="87"/>
      <c r="Z43" s="83">
        <f>IF(MONTH(DATE($B$2,4,29))=4,DATE($B$2,4,29),"")</f>
        <v>46141</v>
      </c>
      <c r="AA43" s="84"/>
      <c r="AB43" s="85"/>
      <c r="AC43" s="85"/>
      <c r="AD43" s="85"/>
      <c r="AE43" s="85"/>
      <c r="AF43" s="86"/>
      <c r="AG43" s="87"/>
      <c r="AH43" s="83">
        <f>IF(MONTH(DATE($B$2,5,29))=5,DATE($B$2,5,29),"")</f>
        <v>46171</v>
      </c>
      <c r="AI43" s="84"/>
      <c r="AJ43" s="85"/>
      <c r="AK43" s="85"/>
      <c r="AL43" s="85"/>
      <c r="AM43" s="85"/>
      <c r="AN43" s="86"/>
      <c r="AO43" s="87"/>
      <c r="AP43" s="83">
        <f>IF(MONTH(DATE($B$2,6,29))=6,DATE($B$2,6,29),"")</f>
        <v>46202</v>
      </c>
      <c r="AQ43" s="84"/>
      <c r="AR43" s="85"/>
      <c r="AS43" s="85"/>
      <c r="AT43" s="85"/>
      <c r="AU43" s="85"/>
      <c r="AV43" s="86"/>
      <c r="AW43" s="87"/>
      <c r="AX43" s="83">
        <f>IF(MONTH(DATE($B$2,7,29))=7,DATE($B$2,7,29),"")</f>
        <v>46232</v>
      </c>
      <c r="AY43" s="84"/>
      <c r="AZ43" s="85"/>
      <c r="BA43" s="85"/>
      <c r="BB43" s="85"/>
      <c r="BC43" s="85"/>
      <c r="BD43" s="86"/>
      <c r="BE43" s="87"/>
      <c r="BF43" s="83">
        <f>IF(MONTH(DATE($B$2,8,29))=8,DATE($B$2,8,29),"")</f>
        <v>46263</v>
      </c>
      <c r="BG43" s="84"/>
      <c r="BH43" s="85"/>
      <c r="BI43" s="85"/>
      <c r="BJ43" s="85"/>
      <c r="BK43" s="85"/>
      <c r="BL43" s="86"/>
      <c r="BM43" s="87"/>
      <c r="BN43" s="83">
        <f>IF(MONTH(DATE($B$2,9,29))=9,DATE($B$2,9,29),"")</f>
        <v>46294</v>
      </c>
      <c r="BO43" t="s" s="84">
        <v>12</v>
      </c>
      <c r="BP43" s="85"/>
      <c r="BQ43" s="85"/>
      <c r="BR43" s="85"/>
      <c r="BS43" s="85"/>
      <c r="BT43" s="86"/>
      <c r="BU43" s="87"/>
      <c r="BV43" s="83">
        <f>IF(MONTH(DATE($B$2,10,29))=10,DATE($B$2,10,29),"")</f>
        <v>46324</v>
      </c>
      <c r="BW43" s="84"/>
      <c r="BX43" s="85"/>
      <c r="BY43" s="85"/>
      <c r="BZ43" s="85"/>
      <c r="CA43" s="85"/>
      <c r="CB43" s="86"/>
      <c r="CC43" s="87"/>
      <c r="CD43" s="83">
        <f>IF(MONTH(DATE($B$2,11,29))=11,DATE($B$2,11,29),"")</f>
        <v>46355</v>
      </c>
      <c r="CE43" s="84"/>
      <c r="CF43" s="85"/>
      <c r="CG43" s="85"/>
      <c r="CH43" s="85"/>
      <c r="CI43" s="85"/>
      <c r="CJ43" s="86"/>
      <c r="CK43" s="87"/>
      <c r="CL43" s="83">
        <f>IF(MONTH(DATE($B$2,12,29))=12,DATE($B$2,12,29),"")</f>
        <v>46385</v>
      </c>
      <c r="CM43" s="84"/>
      <c r="CN43" s="85"/>
      <c r="CO43" s="85"/>
      <c r="CP43" s="85"/>
      <c r="CQ43" s="85"/>
      <c r="CR43" s="86"/>
      <c r="CS43" s="41"/>
    </row>
    <row r="44" s="0" ht="19.2" customHeight="1" customFormat="0">
      <c r="A44" s="47"/>
      <c r="B44" s="83">
        <f>IF(MONTH(DATE($B$2,1,30))=1,DATE($B$2,1,30),"")</f>
        <v>46052</v>
      </c>
      <c r="C44" s="84"/>
      <c r="D44" s="85"/>
      <c r="E44" s="85"/>
      <c r="F44" s="85"/>
      <c r="G44" s="85"/>
      <c r="H44" s="86"/>
      <c r="I44" s="87"/>
      <c r="J44" s="87"/>
      <c r="K44" s="87"/>
      <c r="L44" s="87"/>
      <c r="M44" s="87"/>
      <c r="N44" s="87"/>
      <c r="O44" s="87"/>
      <c r="P44" s="87"/>
      <c r="Q44" s="87"/>
      <c r="R44" s="83">
        <f>IF(MONTH(DATE($B$2,3,30))=3,DATE($B$2,3,30),"")</f>
        <v>46111</v>
      </c>
      <c r="S44" s="84"/>
      <c r="T44" s="85"/>
      <c r="U44" s="85"/>
      <c r="V44" s="85"/>
      <c r="W44" s="85"/>
      <c r="X44" s="86"/>
      <c r="Y44" s="87"/>
      <c r="Z44" s="83">
        <f>IF(MONTH(DATE($B$2,4,30))=4,DATE($B$2,4,30),"")</f>
        <v>46142</v>
      </c>
      <c r="AA44" s="84"/>
      <c r="AB44" s="85"/>
      <c r="AC44" s="85"/>
      <c r="AD44" s="85"/>
      <c r="AE44" s="85"/>
      <c r="AF44" s="86"/>
      <c r="AG44" s="87"/>
      <c r="AH44" s="83">
        <f>IF(MONTH(DATE($B$2,5,30))=5,DATE($B$2,5,30),"")</f>
        <v>46172</v>
      </c>
      <c r="AI44" s="84"/>
      <c r="AJ44" s="85"/>
      <c r="AK44" s="85"/>
      <c r="AL44" s="85"/>
      <c r="AM44" s="85"/>
      <c r="AN44" s="86"/>
      <c r="AO44" s="87"/>
      <c r="AP44" s="83">
        <f>IF(MONTH(DATE($B$2,6,30))=6,DATE($B$2,6,30),"")</f>
        <v>46203</v>
      </c>
      <c r="AQ44" s="84"/>
      <c r="AR44" s="85"/>
      <c r="AS44" s="85"/>
      <c r="AT44" s="85"/>
      <c r="AU44" s="85"/>
      <c r="AV44" s="86"/>
      <c r="AW44" s="87"/>
      <c r="AX44" s="83">
        <f>IF(MONTH(DATE($B$2,7,30))=7,DATE($B$2,7,30),"")</f>
        <v>46233</v>
      </c>
      <c r="AY44" s="84"/>
      <c r="AZ44" s="85"/>
      <c r="BA44" s="85"/>
      <c r="BB44" s="85"/>
      <c r="BC44" s="85"/>
      <c r="BD44" s="86"/>
      <c r="BE44" s="87"/>
      <c r="BF44" s="83">
        <f>IF(MONTH(DATE($B$2,8,30))=8,DATE($B$2,8,30),"")</f>
        <v>46264</v>
      </c>
      <c r="BG44" s="84"/>
      <c r="BH44" s="85"/>
      <c r="BI44" s="85"/>
      <c r="BJ44" s="85"/>
      <c r="BK44" s="85"/>
      <c r="BL44" s="86"/>
      <c r="BM44" s="87"/>
      <c r="BN44" s="83">
        <f>IF(MONTH(DATE($B$2,9,30))=9,DATE($B$2,9,30),"")</f>
        <v>46295</v>
      </c>
      <c r="BO44" s="84"/>
      <c r="BP44" s="85"/>
      <c r="BQ44" s="85"/>
      <c r="BR44" s="85"/>
      <c r="BS44" s="85"/>
      <c r="BT44" s="86"/>
      <c r="BU44" s="87"/>
      <c r="BV44" s="83">
        <f>IF(MONTH(DATE($B$2,10,30))=10,DATE($B$2,10,30),"")</f>
        <v>46325</v>
      </c>
      <c r="BW44" s="84"/>
      <c r="BX44" s="85"/>
      <c r="BY44" s="85"/>
      <c r="BZ44" s="85"/>
      <c r="CA44" s="85"/>
      <c r="CB44" s="86"/>
      <c r="CC44" s="87"/>
      <c r="CD44" s="83">
        <f>IF(MONTH(DATE($B$2,11,30))=11,DATE($B$2,11,30),"")</f>
        <v>46356</v>
      </c>
      <c r="CE44" s="84"/>
      <c r="CF44" s="85"/>
      <c r="CG44" s="85"/>
      <c r="CH44" s="85"/>
      <c r="CI44" s="85"/>
      <c r="CJ44" s="86"/>
      <c r="CK44" s="87"/>
      <c r="CL44" s="83">
        <f>IF(MONTH(DATE($B$2,12,30))=12,DATE($B$2,12,30),"")</f>
        <v>46386</v>
      </c>
      <c r="CM44" s="84"/>
      <c r="CN44" s="85"/>
      <c r="CO44" s="85"/>
      <c r="CP44" s="85"/>
      <c r="CQ44" s="85"/>
      <c r="CR44" s="86"/>
      <c r="CS44" s="41"/>
    </row>
    <row r="45" s="0" ht="19.2" customHeight="1" customFormat="0">
      <c r="A45" s="47"/>
      <c r="B45" s="83">
        <f>IF(MONTH(DATE($B$2,1,31))=1,DATE($B$2,1,31),"")</f>
        <v>46053</v>
      </c>
      <c r="C45" s="84"/>
      <c r="D45" s="85"/>
      <c r="E45" s="85"/>
      <c r="F45" s="85"/>
      <c r="G45" s="85"/>
      <c r="H45" s="86"/>
      <c r="I45" s="87"/>
      <c r="J45" s="87"/>
      <c r="K45" s="87"/>
      <c r="L45" s="87"/>
      <c r="M45" s="87"/>
      <c r="N45" s="87"/>
      <c r="O45" s="87"/>
      <c r="P45" s="87"/>
      <c r="Q45" s="87"/>
      <c r="R45" s="83">
        <f>IF(MONTH(DATE($B$2,3,31))=3,DATE($B$2,3,31),"")</f>
        <v>46112</v>
      </c>
      <c r="S45" s="84"/>
      <c r="T45" s="85"/>
      <c r="U45" s="85"/>
      <c r="V45" s="85"/>
      <c r="W45" s="85"/>
      <c r="X45" s="86"/>
      <c r="Y45" s="87"/>
      <c r="Z45" s="87"/>
      <c r="AA45" s="87"/>
      <c r="AB45" s="87"/>
      <c r="AC45" s="87"/>
      <c r="AD45" s="87"/>
      <c r="AE45" s="87"/>
      <c r="AF45" s="87"/>
      <c r="AG45" s="87"/>
      <c r="AH45" s="83">
        <f>IF(MONTH(DATE($B$2,5,31))=5,DATE($B$2,5,31),"")</f>
        <v>46173</v>
      </c>
      <c r="AI45" s="84"/>
      <c r="AJ45" s="85"/>
      <c r="AK45" s="85"/>
      <c r="AL45" s="85"/>
      <c r="AM45" s="85"/>
      <c r="AN45" s="86"/>
      <c r="AO45" s="87"/>
      <c r="AP45" s="87"/>
      <c r="AQ45" s="87"/>
      <c r="AR45" s="87"/>
      <c r="AS45" s="87"/>
      <c r="AT45" s="87"/>
      <c r="AU45" s="87"/>
      <c r="AV45" s="87"/>
      <c r="AW45" s="87"/>
      <c r="AX45" s="83">
        <f>IF(MONTH(DATE($B$2,7,31))=7,DATE($B$2,7,31),"")</f>
        <v>46234</v>
      </c>
      <c r="AY45" s="84"/>
      <c r="AZ45" s="85"/>
      <c r="BA45" s="85"/>
      <c r="BB45" s="85"/>
      <c r="BC45" s="85"/>
      <c r="BD45" s="86"/>
      <c r="BE45" s="87"/>
      <c r="BF45" s="83">
        <f>IF(MONTH(DATE($B$2,8,31))=8,DATE($B$2,8,31),"")</f>
        <v>46265</v>
      </c>
      <c r="BG45" s="84"/>
      <c r="BH45" s="85"/>
      <c r="BI45" s="85"/>
      <c r="BJ45" s="85"/>
      <c r="BK45" s="85"/>
      <c r="BL45" s="86"/>
      <c r="BM45" s="87"/>
      <c r="BN45" s="87"/>
      <c r="BO45" s="87"/>
      <c r="BP45" s="87"/>
      <c r="BQ45" s="87"/>
      <c r="BR45" s="87"/>
      <c r="BS45" s="87"/>
      <c r="BT45" s="87"/>
      <c r="BU45" s="87"/>
      <c r="BV45" s="83">
        <f>IF(MONTH(DATE($B$2,10,31))=10,DATE($B$2,10,31),"")</f>
        <v>46326</v>
      </c>
      <c r="BW45" s="84"/>
      <c r="BX45" s="85"/>
      <c r="BY45" s="85"/>
      <c r="BZ45" s="85"/>
      <c r="CA45" s="85"/>
      <c r="CB45" s="86"/>
      <c r="CC45" s="87"/>
      <c r="CD45" s="87"/>
      <c r="CE45" s="87"/>
      <c r="CF45" s="87"/>
      <c r="CG45" s="87"/>
      <c r="CH45" s="87"/>
      <c r="CI45" s="87"/>
      <c r="CJ45" s="87"/>
      <c r="CK45" s="87"/>
      <c r="CL45" s="83">
        <f>IF(MONTH(DATE($B$2,12,31))=12,DATE($B$2,12,31),"")</f>
        <v>46387</v>
      </c>
      <c r="CM45" s="84"/>
      <c r="CN45" s="85"/>
      <c r="CO45" s="85"/>
      <c r="CP45" s="85"/>
      <c r="CQ45" s="85"/>
      <c r="CR45" s="86"/>
      <c r="CS45" s="41"/>
    </row>
    <row r="46" s="0" ht="19.2" customHeight="1" customFormat="0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47"/>
      <c r="AW46" s="47"/>
      <c r="AX46" s="47"/>
      <c r="AY46" s="47"/>
      <c r="AZ46" s="47"/>
      <c r="BA46" s="47"/>
      <c r="BB46" s="47"/>
      <c r="BC46" s="47"/>
      <c r="BD46" s="47"/>
      <c r="BE46" s="47"/>
      <c r="BF46" s="47"/>
      <c r="BG46" s="47"/>
      <c r="BH46" s="47"/>
      <c r="BI46" s="47"/>
      <c r="BJ46" s="47"/>
      <c r="BK46" s="47"/>
      <c r="BL46" s="47"/>
      <c r="BM46" s="47"/>
      <c r="BN46" s="47"/>
      <c r="BO46" s="47"/>
      <c r="BP46" s="47"/>
      <c r="BQ46" s="47"/>
      <c r="BR46" s="47"/>
      <c r="BS46" s="47"/>
      <c r="BT46" s="47"/>
      <c r="BU46" s="47"/>
      <c r="BV46" s="47"/>
      <c r="BW46" s="47"/>
      <c r="BX46" s="47"/>
      <c r="BY46" s="47"/>
      <c r="BZ46" s="47"/>
      <c r="CA46" s="47"/>
      <c r="CB46" s="47"/>
      <c r="CC46" s="47"/>
      <c r="CD46" s="47"/>
      <c r="CE46" s="47"/>
      <c r="CF46" s="47"/>
      <c r="CG46" s="47"/>
      <c r="CH46" s="47"/>
      <c r="CI46" s="47"/>
      <c r="CJ46" s="47"/>
      <c r="CK46" s="47"/>
      <c r="CL46" s="47"/>
      <c r="CM46" s="47"/>
      <c r="CN46" s="47"/>
      <c r="CO46" s="47"/>
      <c r="CP46" s="47"/>
      <c r="CQ46" s="47"/>
      <c r="CR46" s="47"/>
      <c r="CS46" s="41"/>
    </row>
    <row r="47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</row>
    <row r="48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</row>
    <row r="49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</row>
    <row r="50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</row>
    <row r="51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</row>
    <row r="52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</row>
    <row r="5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</row>
    <row r="54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</row>
    <row r="5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</row>
    <row r="56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</row>
    <row r="57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</row>
    <row r="58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</row>
    <row r="59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</row>
    <row r="60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</row>
    <row r="6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</row>
    <row r="62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</row>
    <row r="6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</row>
    <row r="64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</row>
    <row r="6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</row>
    <row r="66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</row>
    <row r="67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</row>
    <row r="68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</row>
    <row r="69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</row>
    <row r="70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</row>
    <row r="71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</row>
    <row r="72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</row>
    <row r="7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</row>
    <row r="74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</row>
    <row r="7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</row>
    <row r="76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</row>
    <row r="77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</row>
    <row r="78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</row>
    <row r="79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</row>
    <row r="80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</row>
    <row r="81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</row>
    <row r="82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</row>
    <row r="8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</row>
    <row r="84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</row>
    <row r="85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</row>
    <row r="86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</row>
    <row r="87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</row>
    <row r="88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</row>
    <row r="89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</row>
    <row r="90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</row>
    <row r="91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</row>
    <row r="92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</row>
    <row r="9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</row>
    <row r="94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</row>
    <row r="95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</row>
    <row r="96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</row>
    <row r="97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</row>
    <row r="98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</row>
    <row r="99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</row>
    <row r="100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</row>
    <row r="101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</row>
    <row r="102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</row>
    <row r="10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</row>
    <row r="104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</row>
    <row r="105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</row>
    <row r="106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</row>
    <row r="107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</row>
    <row r="108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</row>
    <row r="109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</row>
    <row r="110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</row>
    <row r="11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</row>
    <row r="112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</row>
    <row r="11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</row>
    <row r="114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</row>
    <row r="11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</row>
    <row r="116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</row>
    <row r="117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</row>
    <row r="118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</row>
    <row r="119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</row>
    <row r="120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</row>
    <row r="121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</row>
    <row r="122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</row>
    <row r="12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</row>
    <row r="124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</row>
    <row r="125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</row>
    <row r="126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</row>
    <row r="127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</row>
    <row r="1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</row>
    <row r="129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  <c r="CO129"/>
      <c r="CP129"/>
      <c r="CQ129"/>
      <c r="CR129"/>
    </row>
    <row r="130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  <c r="CM130"/>
      <c r="CN130"/>
      <c r="CO130"/>
      <c r="CP130"/>
      <c r="CQ130"/>
      <c r="CR130"/>
    </row>
    <row r="131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  <c r="CO131"/>
      <c r="CP131"/>
      <c r="CQ131"/>
      <c r="CR131"/>
    </row>
    <row r="132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  <c r="CO132"/>
      <c r="CP132"/>
      <c r="CQ132"/>
      <c r="CR132"/>
    </row>
    <row r="133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  <c r="CM133"/>
      <c r="CN133"/>
      <c r="CO133"/>
      <c r="CP133"/>
      <c r="CQ133"/>
      <c r="CR133"/>
    </row>
    <row r="134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  <c r="CH134"/>
      <c r="CI134"/>
      <c r="CJ134"/>
      <c r="CK134"/>
      <c r="CL134"/>
      <c r="CM134"/>
      <c r="CN134"/>
      <c r="CO134"/>
      <c r="CP134"/>
      <c r="CQ134"/>
      <c r="CR134"/>
    </row>
    <row r="135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  <c r="CH135"/>
      <c r="CI135"/>
      <c r="CJ135"/>
      <c r="CK135"/>
      <c r="CL135"/>
      <c r="CM135"/>
      <c r="CN135"/>
      <c r="CO135"/>
      <c r="CP135"/>
      <c r="CQ135"/>
      <c r="CR135"/>
    </row>
    <row r="136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  <c r="BY136"/>
      <c r="BZ136"/>
      <c r="CA136"/>
      <c r="CB136"/>
      <c r="CC136"/>
      <c r="CD136"/>
      <c r="CE136"/>
      <c r="CF136"/>
      <c r="CG136"/>
      <c r="CH136"/>
      <c r="CI136"/>
      <c r="CJ136"/>
      <c r="CK136"/>
      <c r="CL136"/>
      <c r="CM136"/>
      <c r="CN136"/>
      <c r="CO136"/>
      <c r="CP136"/>
      <c r="CQ136"/>
      <c r="CR136"/>
    </row>
    <row r="137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  <c r="BJ137"/>
      <c r="BK137"/>
      <c r="BL137"/>
      <c r="BM137"/>
      <c r="BN137"/>
      <c r="BO137"/>
      <c r="BP137"/>
      <c r="BQ137"/>
      <c r="BR137"/>
      <c r="BS137"/>
      <c r="BT137"/>
      <c r="BU137"/>
      <c r="BV137"/>
      <c r="BW137"/>
      <c r="BX137"/>
      <c r="BY137"/>
      <c r="BZ137"/>
      <c r="CA137"/>
      <c r="CB137"/>
      <c r="CC137"/>
      <c r="CD137"/>
      <c r="CE137"/>
      <c r="CF137"/>
      <c r="CG137"/>
      <c r="CH137"/>
      <c r="CI137"/>
      <c r="CJ137"/>
      <c r="CK137"/>
      <c r="CL137"/>
      <c r="CM137"/>
      <c r="CN137"/>
      <c r="CO137"/>
      <c r="CP137"/>
      <c r="CQ137"/>
      <c r="CR137"/>
    </row>
    <row r="13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  <c r="BJ138"/>
      <c r="BK138"/>
      <c r="BL138"/>
      <c r="BM138"/>
      <c r="BN138"/>
      <c r="BO138"/>
      <c r="BP138"/>
      <c r="BQ138"/>
      <c r="BR138"/>
      <c r="BS138"/>
      <c r="BT138"/>
      <c r="BU138"/>
      <c r="BV138"/>
      <c r="BW138"/>
      <c r="BX138"/>
      <c r="BY138"/>
      <c r="BZ138"/>
      <c r="CA138"/>
      <c r="CB138"/>
      <c r="CC138"/>
      <c r="CD138"/>
      <c r="CE138"/>
      <c r="CF138"/>
      <c r="CG138"/>
      <c r="CH138"/>
      <c r="CI138"/>
      <c r="CJ138"/>
      <c r="CK138"/>
      <c r="CL138"/>
      <c r="CM138"/>
      <c r="CN138"/>
      <c r="CO138"/>
      <c r="CP138"/>
      <c r="CQ138"/>
      <c r="CR138"/>
    </row>
    <row r="139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  <c r="BJ139"/>
      <c r="BK139"/>
      <c r="BL139"/>
      <c r="BM139"/>
      <c r="BN139"/>
      <c r="BO139"/>
      <c r="BP139"/>
      <c r="BQ139"/>
      <c r="BR139"/>
      <c r="BS139"/>
      <c r="BT139"/>
      <c r="BU139"/>
      <c r="BV139"/>
      <c r="BW139"/>
      <c r="BX139"/>
      <c r="BY139"/>
      <c r="BZ139"/>
      <c r="CA139"/>
      <c r="CB139"/>
      <c r="CC139"/>
      <c r="CD139"/>
      <c r="CE139"/>
      <c r="CF139"/>
      <c r="CG139"/>
      <c r="CH139"/>
      <c r="CI139"/>
      <c r="CJ139"/>
      <c r="CK139"/>
      <c r="CL139"/>
      <c r="CM139"/>
      <c r="CN139"/>
      <c r="CO139"/>
      <c r="CP139"/>
      <c r="CQ139"/>
      <c r="CR139"/>
    </row>
    <row r="140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  <c r="BJ140"/>
      <c r="BK140"/>
      <c r="BL140"/>
      <c r="BM140"/>
      <c r="BN140"/>
      <c r="BO140"/>
      <c r="BP140"/>
      <c r="BQ140"/>
      <c r="BR140"/>
      <c r="BS140"/>
      <c r="BT140"/>
      <c r="BU140"/>
      <c r="BV140"/>
      <c r="BW140"/>
      <c r="BX140"/>
      <c r="BY140"/>
      <c r="BZ140"/>
      <c r="CA140"/>
      <c r="CB140"/>
      <c r="CC140"/>
      <c r="CD140"/>
      <c r="CE140"/>
      <c r="CF140"/>
      <c r="CG140"/>
      <c r="CH140"/>
      <c r="CI140"/>
      <c r="CJ140"/>
      <c r="CK140"/>
      <c r="CL140"/>
      <c r="CM140"/>
      <c r="CN140"/>
      <c r="CO140"/>
      <c r="CP140"/>
      <c r="CQ140"/>
      <c r="CR140"/>
    </row>
    <row r="141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  <c r="BJ141"/>
      <c r="BK141"/>
      <c r="BL141"/>
      <c r="BM141"/>
      <c r="BN141"/>
      <c r="BO141"/>
      <c r="BP141"/>
      <c r="BQ141"/>
      <c r="BR141"/>
      <c r="BS141"/>
      <c r="BT141"/>
      <c r="BU141"/>
      <c r="BV141"/>
      <c r="BW141"/>
      <c r="BX141"/>
      <c r="BY141"/>
      <c r="BZ141"/>
      <c r="CA141"/>
      <c r="CB141"/>
      <c r="CC141"/>
      <c r="CD141"/>
      <c r="CE141"/>
      <c r="CF141"/>
      <c r="CG141"/>
      <c r="CH141"/>
      <c r="CI141"/>
      <c r="CJ141"/>
      <c r="CK141"/>
      <c r="CL141"/>
      <c r="CM141"/>
      <c r="CN141"/>
      <c r="CO141"/>
      <c r="CP141"/>
      <c r="CQ141"/>
      <c r="CR141"/>
    </row>
    <row r="142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  <c r="BJ142"/>
      <c r="BK142"/>
      <c r="BL142"/>
      <c r="BM142"/>
      <c r="BN142"/>
      <c r="BO142"/>
      <c r="BP142"/>
      <c r="BQ142"/>
      <c r="BR142"/>
      <c r="BS142"/>
      <c r="BT142"/>
      <c r="BU142"/>
      <c r="BV142"/>
      <c r="BW142"/>
      <c r="BX142"/>
      <c r="BY142"/>
      <c r="BZ142"/>
      <c r="CA142"/>
      <c r="CB142"/>
      <c r="CC142"/>
      <c r="CD142"/>
      <c r="CE142"/>
      <c r="CF142"/>
      <c r="CG142"/>
      <c r="CH142"/>
      <c r="CI142"/>
      <c r="CJ142"/>
      <c r="CK142"/>
      <c r="CL142"/>
      <c r="CM142"/>
      <c r="CN142"/>
      <c r="CO142"/>
      <c r="CP142"/>
      <c r="CQ142"/>
      <c r="CR142"/>
    </row>
    <row r="143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  <c r="BJ143"/>
      <c r="BK143"/>
      <c r="BL143"/>
      <c r="BM143"/>
      <c r="BN143"/>
      <c r="BO143"/>
      <c r="BP143"/>
      <c r="BQ143"/>
      <c r="BR143"/>
      <c r="BS143"/>
      <c r="BT143"/>
      <c r="BU143"/>
      <c r="BV143"/>
      <c r="BW143"/>
      <c r="BX143"/>
      <c r="BY143"/>
      <c r="BZ143"/>
      <c r="CA143"/>
      <c r="CB143"/>
      <c r="CC143"/>
      <c r="CD143"/>
      <c r="CE143"/>
      <c r="CF143"/>
      <c r="CG143"/>
      <c r="CH143"/>
      <c r="CI143"/>
      <c r="CJ143"/>
      <c r="CK143"/>
      <c r="CL143"/>
      <c r="CM143"/>
      <c r="CN143"/>
      <c r="CO143"/>
      <c r="CP143"/>
      <c r="CQ143"/>
      <c r="CR143"/>
    </row>
    <row r="144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  <c r="BJ144"/>
      <c r="BK144"/>
      <c r="BL144"/>
      <c r="BM144"/>
      <c r="BN144"/>
      <c r="BO144"/>
      <c r="BP144"/>
      <c r="BQ144"/>
      <c r="BR144"/>
      <c r="BS144"/>
      <c r="BT144"/>
      <c r="BU144"/>
      <c r="BV144"/>
      <c r="BW144"/>
      <c r="BX144"/>
      <c r="BY144"/>
      <c r="BZ144"/>
      <c r="CA144"/>
      <c r="CB144"/>
      <c r="CC144"/>
      <c r="CD144"/>
      <c r="CE144"/>
      <c r="CF144"/>
      <c r="CG144"/>
      <c r="CH144"/>
      <c r="CI144"/>
      <c r="CJ144"/>
      <c r="CK144"/>
      <c r="CL144"/>
      <c r="CM144"/>
      <c r="CN144"/>
      <c r="CO144"/>
      <c r="CP144"/>
      <c r="CQ144"/>
      <c r="CR144"/>
    </row>
    <row r="145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  <c r="AQ145"/>
      <c r="AR145"/>
      <c r="AS145"/>
      <c r="AT145"/>
      <c r="AU145"/>
      <c r="AV145"/>
      <c r="AW145"/>
      <c r="AX145"/>
      <c r="AY145"/>
      <c r="AZ145"/>
      <c r="BA145"/>
      <c r="BB145"/>
      <c r="BC145"/>
      <c r="BD145"/>
      <c r="BE145"/>
      <c r="BF145"/>
      <c r="BG145"/>
      <c r="BH145"/>
      <c r="BI145"/>
      <c r="BJ145"/>
      <c r="BK145"/>
      <c r="BL145"/>
      <c r="BM145"/>
      <c r="BN145"/>
      <c r="BO145"/>
      <c r="BP145"/>
      <c r="BQ145"/>
      <c r="BR145"/>
      <c r="BS145"/>
      <c r="BT145"/>
      <c r="BU145"/>
      <c r="BV145"/>
      <c r="BW145"/>
      <c r="BX145"/>
      <c r="BY145"/>
      <c r="BZ145"/>
      <c r="CA145"/>
      <c r="CB145"/>
      <c r="CC145"/>
      <c r="CD145"/>
      <c r="CE145"/>
      <c r="CF145"/>
      <c r="CG145"/>
      <c r="CH145"/>
      <c r="CI145"/>
      <c r="CJ145"/>
      <c r="CK145"/>
      <c r="CL145"/>
      <c r="CM145"/>
      <c r="CN145"/>
      <c r="CO145"/>
      <c r="CP145"/>
      <c r="CQ145"/>
      <c r="CR145"/>
    </row>
    <row r="146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  <c r="AQ146"/>
      <c r="AR146"/>
      <c r="AS146"/>
      <c r="AT146"/>
      <c r="AU146"/>
      <c r="AV146"/>
      <c r="AW146"/>
      <c r="AX146"/>
      <c r="AY146"/>
      <c r="AZ146"/>
      <c r="BA146"/>
      <c r="BB146"/>
      <c r="BC146"/>
      <c r="BD146"/>
      <c r="BE146"/>
      <c r="BF146"/>
      <c r="BG146"/>
      <c r="BH146"/>
      <c r="BI146"/>
      <c r="BJ146"/>
      <c r="BK146"/>
      <c r="BL146"/>
      <c r="BM146"/>
      <c r="BN146"/>
      <c r="BO146"/>
      <c r="BP146"/>
      <c r="BQ146"/>
      <c r="BR146"/>
      <c r="BS146"/>
      <c r="BT146"/>
      <c r="BU146"/>
      <c r="BV146"/>
      <c r="BW146"/>
      <c r="BX146"/>
      <c r="BY146"/>
      <c r="BZ146"/>
      <c r="CA146"/>
      <c r="CB146"/>
      <c r="CC146"/>
      <c r="CD146"/>
      <c r="CE146"/>
      <c r="CF146"/>
      <c r="CG146"/>
      <c r="CH146"/>
      <c r="CI146"/>
      <c r="CJ146"/>
      <c r="CK146"/>
      <c r="CL146"/>
      <c r="CM146"/>
      <c r="CN146"/>
      <c r="CO146"/>
      <c r="CP146"/>
      <c r="CQ146"/>
      <c r="CR146"/>
    </row>
    <row r="147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  <c r="AQ147"/>
      <c r="AR147"/>
      <c r="AS147"/>
      <c r="AT147"/>
      <c r="AU147"/>
      <c r="AV147"/>
      <c r="AW147"/>
      <c r="AX147"/>
      <c r="AY147"/>
      <c r="AZ147"/>
      <c r="BA147"/>
      <c r="BB147"/>
      <c r="BC147"/>
      <c r="BD147"/>
      <c r="BE147"/>
      <c r="BF147"/>
      <c r="BG147"/>
      <c r="BH147"/>
      <c r="BI147"/>
      <c r="BJ147"/>
      <c r="BK147"/>
      <c r="BL147"/>
      <c r="BM147"/>
      <c r="BN147"/>
      <c r="BO147"/>
      <c r="BP147"/>
      <c r="BQ147"/>
      <c r="BR147"/>
      <c r="BS147"/>
      <c r="BT147"/>
      <c r="BU147"/>
      <c r="BV147"/>
      <c r="BW147"/>
      <c r="BX147"/>
      <c r="BY147"/>
      <c r="BZ147"/>
      <c r="CA147"/>
      <c r="CB147"/>
      <c r="CC147"/>
      <c r="CD147"/>
      <c r="CE147"/>
      <c r="CF147"/>
      <c r="CG147"/>
      <c r="CH147"/>
      <c r="CI147"/>
      <c r="CJ147"/>
      <c r="CK147"/>
      <c r="CL147"/>
      <c r="CM147"/>
      <c r="CN147"/>
      <c r="CO147"/>
      <c r="CP147"/>
      <c r="CQ147"/>
      <c r="CR147"/>
    </row>
    <row r="14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  <c r="AQ148"/>
      <c r="AR148"/>
      <c r="AS148"/>
      <c r="AT148"/>
      <c r="AU148"/>
      <c r="AV148"/>
      <c r="AW148"/>
      <c r="AX148"/>
      <c r="AY148"/>
      <c r="AZ148"/>
      <c r="BA148"/>
      <c r="BB148"/>
      <c r="BC148"/>
      <c r="BD148"/>
      <c r="BE148"/>
      <c r="BF148"/>
      <c r="BG148"/>
      <c r="BH148"/>
      <c r="BI148"/>
      <c r="BJ148"/>
      <c r="BK148"/>
      <c r="BL148"/>
      <c r="BM148"/>
      <c r="BN148"/>
      <c r="BO148"/>
      <c r="BP148"/>
      <c r="BQ148"/>
      <c r="BR148"/>
      <c r="BS148"/>
      <c r="BT148"/>
      <c r="BU148"/>
      <c r="BV148"/>
      <c r="BW148"/>
      <c r="BX148"/>
      <c r="BY148"/>
      <c r="BZ148"/>
      <c r="CA148"/>
      <c r="CB148"/>
      <c r="CC148"/>
      <c r="CD148"/>
      <c r="CE148"/>
      <c r="CF148"/>
      <c r="CG148"/>
      <c r="CH148"/>
      <c r="CI148"/>
      <c r="CJ148"/>
      <c r="CK148"/>
      <c r="CL148"/>
      <c r="CM148"/>
      <c r="CN148"/>
      <c r="CO148"/>
      <c r="CP148"/>
      <c r="CQ148"/>
      <c r="CR148"/>
    </row>
    <row r="149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  <c r="AQ149"/>
      <c r="AR149"/>
      <c r="AS149"/>
      <c r="AT149"/>
      <c r="AU149"/>
      <c r="AV149"/>
      <c r="AW149"/>
      <c r="AX149"/>
      <c r="AY149"/>
      <c r="AZ149"/>
      <c r="BA149"/>
      <c r="BB149"/>
      <c r="BC149"/>
      <c r="BD149"/>
      <c r="BE149"/>
      <c r="BF149"/>
      <c r="BG149"/>
      <c r="BH149"/>
      <c r="BI149"/>
      <c r="BJ149"/>
      <c r="BK149"/>
      <c r="BL149"/>
      <c r="BM149"/>
      <c r="BN149"/>
      <c r="BO149"/>
      <c r="BP149"/>
      <c r="BQ149"/>
      <c r="BR149"/>
      <c r="BS149"/>
      <c r="BT149"/>
      <c r="BU149"/>
      <c r="BV149"/>
      <c r="BW149"/>
      <c r="BX149"/>
      <c r="BY149"/>
      <c r="BZ149"/>
      <c r="CA149"/>
      <c r="CB149"/>
      <c r="CC149"/>
      <c r="CD149"/>
      <c r="CE149"/>
      <c r="CF149"/>
      <c r="CG149"/>
      <c r="CH149"/>
      <c r="CI149"/>
      <c r="CJ149"/>
      <c r="CK149"/>
      <c r="CL149"/>
      <c r="CM149"/>
      <c r="CN149"/>
      <c r="CO149"/>
      <c r="CP149"/>
      <c r="CQ149"/>
      <c r="CR149"/>
    </row>
    <row r="150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  <c r="AQ150"/>
      <c r="AR150"/>
      <c r="AS150"/>
      <c r="AT150"/>
      <c r="AU150"/>
      <c r="AV150"/>
      <c r="AW150"/>
      <c r="AX150"/>
      <c r="AY150"/>
      <c r="AZ150"/>
      <c r="BA150"/>
      <c r="BB150"/>
      <c r="BC150"/>
      <c r="BD150"/>
      <c r="BE150"/>
      <c r="BF150"/>
      <c r="BG150"/>
      <c r="BH150"/>
      <c r="BI150"/>
      <c r="BJ150"/>
      <c r="BK150"/>
      <c r="BL150"/>
      <c r="BM150"/>
      <c r="BN150"/>
      <c r="BO150"/>
      <c r="BP150"/>
      <c r="BQ150"/>
      <c r="BR150"/>
      <c r="BS150"/>
      <c r="BT150"/>
      <c r="BU150"/>
      <c r="BV150"/>
      <c r="BW150"/>
      <c r="BX150"/>
      <c r="BY150"/>
      <c r="BZ150"/>
      <c r="CA150"/>
      <c r="CB150"/>
      <c r="CC150"/>
      <c r="CD150"/>
      <c r="CE150"/>
      <c r="CF150"/>
      <c r="CG150"/>
      <c r="CH150"/>
      <c r="CI150"/>
      <c r="CJ150"/>
      <c r="CK150"/>
      <c r="CL150"/>
      <c r="CM150"/>
      <c r="CN150"/>
      <c r="CO150"/>
      <c r="CP150"/>
      <c r="CQ150"/>
      <c r="CR150"/>
    </row>
    <row r="151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  <c r="CA151"/>
      <c r="CB151"/>
      <c r="CC151"/>
      <c r="CD151"/>
      <c r="CE151"/>
      <c r="CF151"/>
      <c r="CG151"/>
      <c r="CH151"/>
      <c r="CI151"/>
      <c r="CJ151"/>
      <c r="CK151"/>
      <c r="CL151"/>
      <c r="CM151"/>
      <c r="CN151"/>
      <c r="CO151"/>
      <c r="CP151"/>
      <c r="CQ151"/>
      <c r="CR151"/>
    </row>
    <row r="152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  <c r="BY152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/>
    </row>
    <row r="15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  <c r="BY153"/>
      <c r="BZ153"/>
      <c r="CA153"/>
      <c r="CB153"/>
      <c r="CC153"/>
      <c r="CD153"/>
      <c r="CE153"/>
      <c r="CF153"/>
      <c r="CG153"/>
      <c r="CH153"/>
      <c r="CI153"/>
      <c r="CJ153"/>
      <c r="CK153"/>
      <c r="CL153"/>
      <c r="CM153"/>
      <c r="CN153"/>
      <c r="CO153"/>
      <c r="CP153"/>
      <c r="CQ153"/>
      <c r="CR153"/>
    </row>
    <row r="154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/>
    </row>
    <row r="155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  <c r="BY155"/>
      <c r="BZ155"/>
      <c r="CA155"/>
      <c r="CB155"/>
      <c r="CC155"/>
      <c r="CD155"/>
      <c r="CE155"/>
      <c r="CF155"/>
      <c r="CG155"/>
      <c r="CH155"/>
      <c r="CI155"/>
      <c r="CJ155"/>
      <c r="CK155"/>
      <c r="CL155"/>
      <c r="CM155"/>
      <c r="CN155"/>
      <c r="CO155"/>
      <c r="CP155"/>
      <c r="CQ155"/>
      <c r="CR155"/>
    </row>
    <row r="156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  <c r="BY156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/>
    </row>
    <row r="157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/>
    </row>
    <row r="15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  <c r="BY158"/>
      <c r="BZ158"/>
      <c r="CA158"/>
      <c r="CB158"/>
      <c r="CC158"/>
      <c r="CD158"/>
      <c r="CE158"/>
      <c r="CF158"/>
      <c r="CG158"/>
      <c r="CH158"/>
      <c r="CI158"/>
      <c r="CJ158"/>
      <c r="CK158"/>
      <c r="CL158"/>
      <c r="CM158"/>
      <c r="CN158"/>
      <c r="CO158"/>
      <c r="CP158"/>
      <c r="CQ158"/>
      <c r="CR158"/>
    </row>
    <row r="159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  <c r="BY159"/>
      <c r="BZ159"/>
      <c r="CA159"/>
      <c r="CB159"/>
      <c r="CC159"/>
      <c r="CD159"/>
      <c r="CE159"/>
      <c r="CF159"/>
      <c r="CG159"/>
      <c r="CH159"/>
      <c r="CI159"/>
      <c r="CJ159"/>
      <c r="CK159"/>
      <c r="CL159"/>
      <c r="CM159"/>
      <c r="CN159"/>
      <c r="CO159"/>
      <c r="CP159"/>
      <c r="CQ159"/>
      <c r="CR159"/>
    </row>
    <row r="160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  <c r="AQ160"/>
      <c r="AR160"/>
      <c r="AS160"/>
      <c r="AT160"/>
      <c r="AU160"/>
      <c r="AV160"/>
      <c r="AW160"/>
      <c r="AX160"/>
      <c r="AY160"/>
      <c r="AZ160"/>
      <c r="BA160"/>
      <c r="BB160"/>
      <c r="BC160"/>
      <c r="BD160"/>
      <c r="BE160"/>
      <c r="BF160"/>
      <c r="BG160"/>
      <c r="BH160"/>
      <c r="BI160"/>
      <c r="BJ160"/>
      <c r="BK160"/>
      <c r="BL160"/>
      <c r="BM160"/>
      <c r="BN160"/>
      <c r="BO160"/>
      <c r="BP160"/>
      <c r="BQ160"/>
      <c r="BR160"/>
      <c r="BS160"/>
      <c r="BT160"/>
      <c r="BU160"/>
      <c r="BV160"/>
      <c r="BW160"/>
      <c r="BX160"/>
      <c r="BY160"/>
      <c r="BZ160"/>
      <c r="CA160"/>
      <c r="CB160"/>
      <c r="CC160"/>
      <c r="CD160"/>
      <c r="CE160"/>
      <c r="CF160"/>
      <c r="CG160"/>
      <c r="CH160"/>
      <c r="CI160"/>
      <c r="CJ160"/>
      <c r="CK160"/>
      <c r="CL160"/>
      <c r="CM160"/>
      <c r="CN160"/>
      <c r="CO160"/>
      <c r="CP160"/>
      <c r="CQ160"/>
      <c r="CR160"/>
    </row>
    <row r="161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  <c r="CO161"/>
      <c r="CP161"/>
      <c r="CQ161"/>
      <c r="CR161"/>
    </row>
    <row r="162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  <c r="CF162"/>
      <c r="CG162"/>
      <c r="CH162"/>
      <c r="CI162"/>
      <c r="CJ162"/>
      <c r="CK162"/>
      <c r="CL162"/>
      <c r="CM162"/>
      <c r="CN162"/>
      <c r="CO162"/>
      <c r="CP162"/>
      <c r="CQ162"/>
      <c r="CR162"/>
    </row>
    <row r="16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  <c r="BY163"/>
      <c r="BZ163"/>
      <c r="CA163"/>
      <c r="CB163"/>
      <c r="CC163"/>
      <c r="CD163"/>
      <c r="CE163"/>
      <c r="CF163"/>
      <c r="CG163"/>
      <c r="CH163"/>
      <c r="CI163"/>
      <c r="CJ163"/>
      <c r="CK163"/>
      <c r="CL163"/>
      <c r="CM163"/>
      <c r="CN163"/>
      <c r="CO163"/>
      <c r="CP163"/>
      <c r="CQ163"/>
      <c r="CR163"/>
    </row>
    <row r="164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  <c r="CA164"/>
      <c r="CB164"/>
      <c r="CC164"/>
      <c r="CD164"/>
      <c r="CE164"/>
      <c r="CF164"/>
      <c r="CG164"/>
      <c r="CH164"/>
      <c r="CI164"/>
      <c r="CJ164"/>
      <c r="CK164"/>
      <c r="CL164"/>
      <c r="CM164"/>
      <c r="CN164"/>
      <c r="CO164"/>
      <c r="CP164"/>
      <c r="CQ164"/>
      <c r="CR164"/>
    </row>
    <row r="165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  <c r="CA165"/>
      <c r="CB165"/>
      <c r="CC165"/>
      <c r="CD165"/>
      <c r="CE165"/>
      <c r="CF165"/>
      <c r="CG165"/>
      <c r="CH165"/>
      <c r="CI165"/>
      <c r="CJ165"/>
      <c r="CK165"/>
      <c r="CL165"/>
      <c r="CM165"/>
      <c r="CN165"/>
      <c r="CO165"/>
      <c r="CP165"/>
      <c r="CQ165"/>
      <c r="CR165"/>
    </row>
    <row r="166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  <c r="CO166"/>
      <c r="CP166"/>
      <c r="CQ166"/>
      <c r="CR166"/>
    </row>
    <row r="167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  <c r="CN167"/>
      <c r="CO167"/>
      <c r="CP167"/>
      <c r="CQ167"/>
      <c r="CR167"/>
    </row>
    <row r="16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  <c r="CN168"/>
      <c r="CO168"/>
      <c r="CP168"/>
      <c r="CQ168"/>
      <c r="CR168"/>
    </row>
    <row r="169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  <c r="CO169"/>
      <c r="CP169"/>
      <c r="CQ169"/>
      <c r="CR169"/>
    </row>
    <row r="170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  <c r="CF170"/>
      <c r="CG170"/>
      <c r="CH170"/>
      <c r="CI170"/>
      <c r="CJ170"/>
      <c r="CK170"/>
      <c r="CL170"/>
      <c r="CM170"/>
      <c r="CN170"/>
      <c r="CO170"/>
      <c r="CP170"/>
      <c r="CQ170"/>
      <c r="CR170"/>
    </row>
    <row r="171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  <c r="CA171"/>
      <c r="CB171"/>
      <c r="CC171"/>
      <c r="CD171"/>
      <c r="CE171"/>
      <c r="CF171"/>
      <c r="CG171"/>
      <c r="CH171"/>
      <c r="CI171"/>
      <c r="CJ171"/>
      <c r="CK171"/>
      <c r="CL171"/>
      <c r="CM171"/>
      <c r="CN171"/>
      <c r="CO171"/>
      <c r="CP171"/>
      <c r="CQ171"/>
      <c r="CR171"/>
    </row>
    <row r="172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  <c r="CA172"/>
      <c r="CB172"/>
      <c r="CC172"/>
      <c r="CD172"/>
      <c r="CE172"/>
      <c r="CF172"/>
      <c r="CG172"/>
      <c r="CH172"/>
      <c r="CI172"/>
      <c r="CJ172"/>
      <c r="CK172"/>
      <c r="CL172"/>
      <c r="CM172"/>
      <c r="CN172"/>
      <c r="CO172"/>
      <c r="CP172"/>
      <c r="CQ172"/>
      <c r="CR172"/>
    </row>
    <row r="17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  <c r="CO173"/>
      <c r="CP173"/>
      <c r="CQ173"/>
      <c r="CR173"/>
    </row>
    <row r="174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  <c r="BY174"/>
      <c r="BZ174"/>
      <c r="CA174"/>
      <c r="CB174"/>
      <c r="CC174"/>
      <c r="CD174"/>
      <c r="CE174"/>
      <c r="CF174"/>
      <c r="CG174"/>
      <c r="CH174"/>
      <c r="CI174"/>
      <c r="CJ174"/>
      <c r="CK174"/>
      <c r="CL174"/>
      <c r="CM174"/>
      <c r="CN174"/>
      <c r="CO174"/>
      <c r="CP174"/>
      <c r="CQ174"/>
      <c r="CR174"/>
    </row>
    <row r="175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  <c r="CA175"/>
      <c r="CB175"/>
      <c r="CC175"/>
      <c r="CD175"/>
      <c r="CE175"/>
      <c r="CF175"/>
      <c r="CG175"/>
      <c r="CH175"/>
      <c r="CI175"/>
      <c r="CJ175"/>
      <c r="CK175"/>
      <c r="CL175"/>
      <c r="CM175"/>
      <c r="CN175"/>
      <c r="CO175"/>
      <c r="CP175"/>
      <c r="CQ175"/>
      <c r="CR175"/>
    </row>
    <row r="176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  <c r="CO176"/>
      <c r="CP176"/>
      <c r="CQ176"/>
      <c r="CR176"/>
    </row>
    <row r="177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  <c r="CA177"/>
      <c r="CB177"/>
      <c r="CC177"/>
      <c r="CD177"/>
      <c r="CE177"/>
      <c r="CF177"/>
      <c r="CG177"/>
      <c r="CH177"/>
      <c r="CI177"/>
      <c r="CJ177"/>
      <c r="CK177"/>
      <c r="CL177"/>
      <c r="CM177"/>
      <c r="CN177"/>
      <c r="CO177"/>
      <c r="CP177"/>
      <c r="CQ177"/>
      <c r="CR177"/>
    </row>
    <row r="17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  <c r="CO178"/>
      <c r="CP178"/>
      <c r="CQ178"/>
      <c r="CR178"/>
    </row>
    <row r="179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  <c r="CA179"/>
      <c r="CB179"/>
      <c r="CC179"/>
      <c r="CD179"/>
      <c r="CE179"/>
      <c r="CF179"/>
      <c r="CG179"/>
      <c r="CH179"/>
      <c r="CI179"/>
      <c r="CJ179"/>
      <c r="CK179"/>
      <c r="CL179"/>
      <c r="CM179"/>
      <c r="CN179"/>
      <c r="CO179"/>
      <c r="CP179"/>
      <c r="CQ179"/>
      <c r="CR179"/>
    </row>
    <row r="180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  <c r="BY180"/>
      <c r="BZ180"/>
      <c r="CA180"/>
      <c r="CB180"/>
      <c r="CC180"/>
      <c r="CD180"/>
      <c r="CE180"/>
      <c r="CF180"/>
      <c r="CG180"/>
      <c r="CH180"/>
      <c r="CI180"/>
      <c r="CJ180"/>
      <c r="CK180"/>
      <c r="CL180"/>
      <c r="CM180"/>
      <c r="CN180"/>
      <c r="CO180"/>
      <c r="CP180"/>
      <c r="CQ180"/>
      <c r="CR180"/>
    </row>
    <row r="181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  <c r="CO181"/>
      <c r="CP181"/>
      <c r="CQ181"/>
      <c r="CR181"/>
    </row>
    <row r="182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/>
      <c r="CG182"/>
      <c r="CH182"/>
      <c r="CI182"/>
      <c r="CJ182"/>
      <c r="CK182"/>
      <c r="CL182"/>
      <c r="CM182"/>
      <c r="CN182"/>
      <c r="CO182"/>
      <c r="CP182"/>
      <c r="CQ182"/>
      <c r="CR182"/>
    </row>
    <row r="18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  <c r="CO183"/>
      <c r="CP183"/>
      <c r="CQ183"/>
      <c r="CR183"/>
    </row>
    <row r="184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  <c r="CG184"/>
      <c r="CH184"/>
      <c r="CI184"/>
      <c r="CJ184"/>
      <c r="CK184"/>
      <c r="CL184"/>
      <c r="CM184"/>
      <c r="CN184"/>
      <c r="CO184"/>
      <c r="CP184"/>
      <c r="CQ184"/>
      <c r="CR184"/>
    </row>
    <row r="185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  <c r="CG185"/>
      <c r="CH185"/>
      <c r="CI185"/>
      <c r="CJ185"/>
      <c r="CK185"/>
      <c r="CL185"/>
      <c r="CM185"/>
      <c r="CN185"/>
      <c r="CO185"/>
      <c r="CP185"/>
      <c r="CQ185"/>
      <c r="CR185"/>
    </row>
    <row r="186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/>
    </row>
    <row r="187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  <c r="CG187"/>
      <c r="CH187"/>
      <c r="CI187"/>
      <c r="CJ187"/>
      <c r="CK187"/>
      <c r="CL187"/>
      <c r="CM187"/>
      <c r="CN187"/>
      <c r="CO187"/>
      <c r="CP187"/>
      <c r="CQ187"/>
      <c r="CR187"/>
    </row>
    <row r="18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  <c r="CF188"/>
      <c r="CG188"/>
      <c r="CH188"/>
      <c r="CI188"/>
      <c r="CJ188"/>
      <c r="CK188"/>
      <c r="CL188"/>
      <c r="CM188"/>
      <c r="CN188"/>
      <c r="CO188"/>
      <c r="CP188"/>
      <c r="CQ188"/>
      <c r="CR188"/>
    </row>
    <row r="189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  <c r="BY189"/>
      <c r="BZ189"/>
      <c r="CA189"/>
      <c r="CB189"/>
      <c r="CC189"/>
      <c r="CD189"/>
      <c r="CE189"/>
      <c r="CF189"/>
      <c r="CG189"/>
      <c r="CH189"/>
      <c r="CI189"/>
      <c r="CJ189"/>
      <c r="CK189"/>
      <c r="CL189"/>
      <c r="CM189"/>
      <c r="CN189"/>
      <c r="CO189"/>
      <c r="CP189"/>
      <c r="CQ189"/>
      <c r="CR189"/>
    </row>
    <row r="190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  <c r="BY190"/>
      <c r="BZ190"/>
      <c r="CA190"/>
      <c r="CB190"/>
      <c r="CC190"/>
      <c r="CD190"/>
      <c r="CE190"/>
      <c r="CF190"/>
      <c r="CG190"/>
      <c r="CH190"/>
      <c r="CI190"/>
      <c r="CJ190"/>
      <c r="CK190"/>
      <c r="CL190"/>
      <c r="CM190"/>
      <c r="CN190"/>
      <c r="CO190"/>
      <c r="CP190"/>
      <c r="CQ190"/>
      <c r="CR190"/>
    </row>
    <row r="191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  <c r="BY191"/>
      <c r="BZ191"/>
      <c r="CA191"/>
      <c r="CB191"/>
      <c r="CC191"/>
      <c r="CD191"/>
      <c r="CE191"/>
      <c r="CF191"/>
      <c r="CG191"/>
      <c r="CH191"/>
      <c r="CI191"/>
      <c r="CJ191"/>
      <c r="CK191"/>
      <c r="CL191"/>
      <c r="CM191"/>
      <c r="CN191"/>
      <c r="CO191"/>
      <c r="CP191"/>
      <c r="CQ191"/>
      <c r="CR191"/>
    </row>
    <row r="192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  <c r="BY192"/>
      <c r="BZ192"/>
      <c r="CA192"/>
      <c r="CB192"/>
      <c r="CC192"/>
      <c r="CD192"/>
      <c r="CE192"/>
      <c r="CF192"/>
      <c r="CG192"/>
      <c r="CH192"/>
      <c r="CI192"/>
      <c r="CJ192"/>
      <c r="CK192"/>
      <c r="CL192"/>
      <c r="CM192"/>
      <c r="CN192"/>
      <c r="CO192"/>
      <c r="CP192"/>
      <c r="CQ192"/>
      <c r="CR192"/>
    </row>
    <row r="19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  <c r="BY193"/>
      <c r="BZ193"/>
      <c r="CA193"/>
      <c r="CB193"/>
      <c r="CC193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/>
    </row>
    <row r="194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  <c r="BY194"/>
      <c r="BZ194"/>
      <c r="CA194"/>
      <c r="CB194"/>
      <c r="CC194"/>
      <c r="CD194"/>
      <c r="CE194"/>
      <c r="CF194"/>
      <c r="CG194"/>
      <c r="CH194"/>
      <c r="CI194"/>
      <c r="CJ194"/>
      <c r="CK194"/>
      <c r="CL194"/>
      <c r="CM194"/>
      <c r="CN194"/>
      <c r="CO194"/>
      <c r="CP194"/>
      <c r="CQ194"/>
      <c r="CR194"/>
    </row>
    <row r="195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  <c r="CA195"/>
      <c r="CB195"/>
      <c r="CC195"/>
      <c r="CD195"/>
      <c r="CE195"/>
      <c r="CF195"/>
      <c r="CG195"/>
      <c r="CH195"/>
      <c r="CI195"/>
      <c r="CJ195"/>
      <c r="CK195"/>
      <c r="CL195"/>
      <c r="CM195"/>
      <c r="CN195"/>
      <c r="CO195"/>
      <c r="CP195"/>
      <c r="CQ195"/>
      <c r="CR195"/>
    </row>
    <row r="196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  <c r="BY196"/>
      <c r="BZ196"/>
      <c r="CA196"/>
      <c r="CB196"/>
      <c r="CC196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/>
    </row>
    <row r="197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  <c r="BY197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/>
      <c r="CO197"/>
      <c r="CP197"/>
      <c r="CQ197"/>
      <c r="CR197"/>
    </row>
    <row r="19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/>
    </row>
    <row r="199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/>
    </row>
    <row r="200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  <c r="CG200"/>
      <c r="CH200"/>
      <c r="CI200"/>
      <c r="CJ200"/>
      <c r="CK200"/>
      <c r="CL200"/>
      <c r="CM200"/>
      <c r="CN200"/>
      <c r="CO200"/>
      <c r="CP200"/>
      <c r="CQ200"/>
      <c r="CR200"/>
    </row>
    <row r="201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D201"/>
      <c r="CE201"/>
      <c r="CF201"/>
      <c r="CG201"/>
      <c r="CH201"/>
      <c r="CI201"/>
      <c r="CJ201"/>
      <c r="CK201"/>
      <c r="CL201"/>
      <c r="CM201"/>
      <c r="CN201"/>
      <c r="CO201"/>
      <c r="CP201"/>
      <c r="CQ201"/>
      <c r="CR201"/>
    </row>
    <row r="202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  <c r="CG202"/>
      <c r="CH202"/>
      <c r="CI202"/>
      <c r="CJ202"/>
      <c r="CK202"/>
      <c r="CL202"/>
      <c r="CM202"/>
      <c r="CN202"/>
      <c r="CO202"/>
      <c r="CP202"/>
      <c r="CQ202"/>
      <c r="CR202"/>
    </row>
    <row r="20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  <c r="CA203"/>
      <c r="CB203"/>
      <c r="CC203"/>
      <c r="CD203"/>
      <c r="CE203"/>
      <c r="CF203"/>
      <c r="CG203"/>
      <c r="CH203"/>
      <c r="CI203"/>
      <c r="CJ203"/>
      <c r="CK203"/>
      <c r="CL203"/>
      <c r="CM203"/>
      <c r="CN203"/>
      <c r="CO203"/>
      <c r="CP203"/>
      <c r="CQ203"/>
      <c r="CR203"/>
    </row>
    <row r="204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/>
      <c r="CE204"/>
      <c r="CF204"/>
      <c r="CG204"/>
      <c r="CH204"/>
      <c r="CI204"/>
      <c r="CJ204"/>
      <c r="CK204"/>
      <c r="CL204"/>
      <c r="CM204"/>
      <c r="CN204"/>
      <c r="CO204"/>
      <c r="CP204"/>
      <c r="CQ204"/>
      <c r="CR204"/>
    </row>
    <row r="205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  <c r="BY205"/>
      <c r="BZ205"/>
      <c r="CA205"/>
      <c r="CB205"/>
      <c r="CC205"/>
      <c r="CD205"/>
      <c r="CE205"/>
      <c r="CF205"/>
      <c r="CG205"/>
      <c r="CH205"/>
      <c r="CI205"/>
      <c r="CJ205"/>
      <c r="CK205"/>
      <c r="CL205"/>
      <c r="CM205"/>
      <c r="CN205"/>
      <c r="CO205"/>
      <c r="CP205"/>
      <c r="CQ205"/>
      <c r="CR205"/>
    </row>
    <row r="206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  <c r="BY206"/>
      <c r="BZ206"/>
      <c r="CA206"/>
      <c r="CB206"/>
      <c r="CC206"/>
      <c r="CD206"/>
      <c r="CE206"/>
      <c r="CF206"/>
      <c r="CG206"/>
      <c r="CH206"/>
      <c r="CI206"/>
      <c r="CJ206"/>
      <c r="CK206"/>
      <c r="CL206"/>
      <c r="CM206"/>
      <c r="CN206"/>
      <c r="CO206"/>
      <c r="CP206"/>
      <c r="CQ206"/>
      <c r="CR206"/>
    </row>
    <row r="207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  <c r="CC207"/>
      <c r="CD207"/>
      <c r="CE207"/>
      <c r="CF207"/>
      <c r="CG207"/>
      <c r="CH207"/>
      <c r="CI207"/>
      <c r="CJ207"/>
      <c r="CK207"/>
      <c r="CL207"/>
      <c r="CM207"/>
      <c r="CN207"/>
      <c r="CO207"/>
      <c r="CP207"/>
      <c r="CQ207"/>
      <c r="CR207"/>
    </row>
    <row r="208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</row>
    <row r="209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</row>
    <row r="210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</row>
    <row r="211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</row>
    <row r="212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</row>
    <row r="21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</row>
    <row r="214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</row>
    <row r="215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</row>
    <row r="216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</row>
    <row r="217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</row>
    <row r="218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</row>
    <row r="219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</row>
    <row r="220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</row>
    <row r="221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</row>
    <row r="222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</row>
    <row r="22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</row>
    <row r="224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</row>
    <row r="225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</row>
    <row r="226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</row>
    <row r="227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</row>
    <row r="228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</row>
    <row r="229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</row>
    <row r="230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</row>
    <row r="231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</row>
    <row r="232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</row>
    <row r="233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</row>
    <row r="234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</row>
    <row r="235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</row>
    <row r="236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</row>
    <row r="237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</row>
    <row r="238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</row>
    <row r="239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</row>
    <row r="240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</row>
    <row r="241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</row>
    <row r="242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</row>
    <row r="243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</row>
    <row r="244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</row>
    <row r="245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</row>
    <row r="246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</row>
    <row r="247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</row>
    <row r="248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</row>
    <row r="249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</row>
    <row r="250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</row>
    <row r="251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  <c r="BY251"/>
      <c r="BZ251"/>
      <c r="CA251"/>
      <c r="CB251"/>
      <c r="CC251"/>
      <c r="CD251"/>
      <c r="CE251"/>
      <c r="CF251"/>
      <c r="CG251"/>
      <c r="CH251"/>
      <c r="CI251"/>
      <c r="CJ251"/>
      <c r="CK251"/>
      <c r="CL251"/>
      <c r="CM251"/>
      <c r="CN251"/>
      <c r="CO251"/>
      <c r="CP251"/>
      <c r="CQ251"/>
      <c r="CR251"/>
    </row>
    <row r="252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  <c r="CO252"/>
      <c r="CP252"/>
      <c r="CQ252"/>
      <c r="CR252"/>
    </row>
    <row r="253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  <c r="CG253"/>
      <c r="CH253"/>
      <c r="CI253"/>
      <c r="CJ253"/>
      <c r="CK253"/>
      <c r="CL253"/>
      <c r="CM253"/>
      <c r="CN253"/>
      <c r="CO253"/>
      <c r="CP253"/>
      <c r="CQ253"/>
      <c r="CR253"/>
    </row>
    <row r="254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  <c r="CG254"/>
      <c r="CH254"/>
      <c r="CI254"/>
      <c r="CJ254"/>
      <c r="CK254"/>
      <c r="CL254"/>
      <c r="CM254"/>
      <c r="CN254"/>
      <c r="CO254"/>
      <c r="CP254"/>
      <c r="CQ254"/>
      <c r="CR254"/>
    </row>
    <row r="255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  <c r="CO255"/>
      <c r="CP255"/>
      <c r="CQ255"/>
      <c r="CR255"/>
    </row>
    <row r="256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  <c r="CG256"/>
      <c r="CH256"/>
      <c r="CI256"/>
      <c r="CJ256"/>
      <c r="CK256"/>
      <c r="CL256"/>
      <c r="CM256"/>
      <c r="CN256"/>
      <c r="CO256"/>
      <c r="CP256"/>
      <c r="CQ256"/>
      <c r="CR256"/>
    </row>
    <row r="257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  <c r="CA257"/>
      <c r="CB257"/>
      <c r="CC257"/>
      <c r="CD257"/>
      <c r="CE257"/>
      <c r="CF257"/>
      <c r="CG257"/>
      <c r="CH257"/>
      <c r="CI257"/>
      <c r="CJ257"/>
      <c r="CK257"/>
      <c r="CL257"/>
      <c r="CM257"/>
      <c r="CN257"/>
      <c r="CO257"/>
      <c r="CP257"/>
      <c r="CQ257"/>
      <c r="CR257"/>
    </row>
    <row r="258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  <c r="CO258"/>
      <c r="CP258"/>
      <c r="CQ258"/>
      <c r="CR258"/>
    </row>
    <row r="259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  <c r="CA259"/>
      <c r="CB259"/>
      <c r="CC259"/>
      <c r="CD259"/>
      <c r="CE259"/>
      <c r="CF259"/>
      <c r="CG259"/>
      <c r="CH259"/>
      <c r="CI259"/>
      <c r="CJ259"/>
      <c r="CK259"/>
      <c r="CL259"/>
      <c r="CM259"/>
      <c r="CN259"/>
      <c r="CO259"/>
      <c r="CP259"/>
      <c r="CQ259"/>
      <c r="CR259"/>
    </row>
    <row r="260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  <c r="CF260"/>
      <c r="CG260"/>
      <c r="CH260"/>
      <c r="CI260"/>
      <c r="CJ260"/>
      <c r="CK260"/>
      <c r="CL260"/>
      <c r="CM260"/>
      <c r="CN260"/>
      <c r="CO260"/>
      <c r="CP260"/>
      <c r="CQ260"/>
      <c r="CR260"/>
    </row>
    <row r="261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  <c r="BY261"/>
      <c r="BZ261"/>
      <c r="CA261"/>
      <c r="CB261"/>
      <c r="CC261"/>
      <c r="CD261"/>
      <c r="CE261"/>
      <c r="CF261"/>
      <c r="CG261"/>
      <c r="CH261"/>
      <c r="CI261"/>
      <c r="CJ261"/>
      <c r="CK261"/>
      <c r="CL261"/>
      <c r="CM261"/>
      <c r="CN261"/>
      <c r="CO261"/>
      <c r="CP261"/>
      <c r="CQ261"/>
      <c r="CR261"/>
    </row>
    <row r="262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  <c r="CN262"/>
      <c r="CO262"/>
      <c r="CP262"/>
      <c r="CQ262"/>
      <c r="CR262"/>
    </row>
    <row r="263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  <c r="CN263"/>
      <c r="CO263"/>
      <c r="CP263"/>
      <c r="CQ263"/>
      <c r="CR263"/>
    </row>
    <row r="264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  <c r="CA264"/>
      <c r="CB264"/>
      <c r="CC264"/>
      <c r="CD264"/>
      <c r="CE264"/>
      <c r="CF264"/>
      <c r="CG264"/>
      <c r="CH264"/>
      <c r="CI264"/>
      <c r="CJ264"/>
      <c r="CK264"/>
      <c r="CL264"/>
      <c r="CM264"/>
      <c r="CN264"/>
      <c r="CO264"/>
      <c r="CP264"/>
      <c r="CQ264"/>
      <c r="CR264"/>
    </row>
    <row r="265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  <c r="CF265"/>
      <c r="CG265"/>
      <c r="CH265"/>
      <c r="CI265"/>
      <c r="CJ265"/>
      <c r="CK265"/>
      <c r="CL265"/>
      <c r="CM265"/>
      <c r="CN265"/>
      <c r="CO265"/>
      <c r="CP265"/>
      <c r="CQ265"/>
      <c r="CR265"/>
    </row>
    <row r="266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  <c r="CO266"/>
      <c r="CP266"/>
      <c r="CQ266"/>
      <c r="CR266"/>
    </row>
    <row r="267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  <c r="BY267"/>
      <c r="BZ267"/>
      <c r="CA267"/>
      <c r="CB267"/>
      <c r="CC267"/>
      <c r="CD267"/>
      <c r="CE267"/>
      <c r="CF267"/>
      <c r="CG267"/>
      <c r="CH267"/>
      <c r="CI267"/>
      <c r="CJ267"/>
      <c r="CK267"/>
      <c r="CL267"/>
      <c r="CM267"/>
      <c r="CN267"/>
      <c r="CO267"/>
      <c r="CP267"/>
      <c r="CQ267"/>
      <c r="CR267"/>
    </row>
    <row r="268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  <c r="CA268"/>
      <c r="CB268"/>
      <c r="CC268"/>
      <c r="CD268"/>
      <c r="CE268"/>
      <c r="CF268"/>
      <c r="CG268"/>
      <c r="CH268"/>
      <c r="CI268"/>
      <c r="CJ268"/>
      <c r="CK268"/>
      <c r="CL268"/>
      <c r="CM268"/>
      <c r="CN268"/>
      <c r="CO268"/>
      <c r="CP268"/>
      <c r="CQ268"/>
      <c r="CR268"/>
    </row>
    <row r="269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  <c r="CA269"/>
      <c r="CB269"/>
      <c r="CC269"/>
      <c r="CD269"/>
      <c r="CE269"/>
      <c r="CF269"/>
      <c r="CG269"/>
      <c r="CH269"/>
      <c r="CI269"/>
      <c r="CJ269"/>
      <c r="CK269"/>
      <c r="CL269"/>
      <c r="CM269"/>
      <c r="CN269"/>
      <c r="CO269"/>
      <c r="CP269"/>
      <c r="CQ269"/>
      <c r="CR269"/>
    </row>
    <row r="270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  <c r="CA270"/>
      <c r="CB270"/>
      <c r="CC270"/>
      <c r="CD270"/>
      <c r="CE270"/>
      <c r="CF270"/>
      <c r="CG270"/>
      <c r="CH270"/>
      <c r="CI270"/>
      <c r="CJ270"/>
      <c r="CK270"/>
      <c r="CL270"/>
      <c r="CM270"/>
      <c r="CN270"/>
      <c r="CO270"/>
      <c r="CP270"/>
      <c r="CQ270"/>
      <c r="CR270"/>
    </row>
    <row r="271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  <c r="CF271"/>
      <c r="CG271"/>
      <c r="CH271"/>
      <c r="CI271"/>
      <c r="CJ271"/>
      <c r="CK271"/>
      <c r="CL271"/>
      <c r="CM271"/>
      <c r="CN271"/>
      <c r="CO271"/>
      <c r="CP271"/>
      <c r="CQ271"/>
      <c r="CR271"/>
    </row>
    <row r="272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  <c r="CC272"/>
      <c r="CD272"/>
      <c r="CE272"/>
      <c r="CF272"/>
      <c r="CG272"/>
      <c r="CH272"/>
      <c r="CI272"/>
      <c r="CJ272"/>
      <c r="CK272"/>
      <c r="CL272"/>
      <c r="CM272"/>
      <c r="CN272"/>
      <c r="CO272"/>
      <c r="CP272"/>
      <c r="CQ272"/>
      <c r="CR272"/>
    </row>
    <row r="273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  <c r="CO273"/>
      <c r="CP273"/>
      <c r="CQ273"/>
      <c r="CR273"/>
    </row>
    <row r="274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  <c r="CA274"/>
      <c r="CB274"/>
      <c r="CC274"/>
      <c r="CD274"/>
      <c r="CE274"/>
      <c r="CF274"/>
      <c r="CG274"/>
      <c r="CH274"/>
      <c r="CI274"/>
      <c r="CJ274"/>
      <c r="CK274"/>
      <c r="CL274"/>
      <c r="CM274"/>
      <c r="CN274"/>
      <c r="CO274"/>
      <c r="CP274"/>
      <c r="CQ274"/>
      <c r="CR274"/>
    </row>
    <row r="275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  <c r="BY275"/>
      <c r="BZ275"/>
      <c r="CA275"/>
      <c r="CB275"/>
      <c r="CC275"/>
      <c r="CD275"/>
      <c r="CE275"/>
      <c r="CF275"/>
      <c r="CG275"/>
      <c r="CH275"/>
      <c r="CI275"/>
      <c r="CJ275"/>
      <c r="CK275"/>
      <c r="CL275"/>
      <c r="CM275"/>
      <c r="CN275"/>
      <c r="CO275"/>
      <c r="CP275"/>
      <c r="CQ275"/>
      <c r="CR275"/>
    </row>
    <row r="276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  <c r="BY276"/>
      <c r="BZ276"/>
      <c r="CA276"/>
      <c r="CB276"/>
      <c r="CC276"/>
      <c r="CD276"/>
      <c r="CE276"/>
      <c r="CF276"/>
      <c r="CG276"/>
      <c r="CH276"/>
      <c r="CI276"/>
      <c r="CJ276"/>
      <c r="CK276"/>
      <c r="CL276"/>
      <c r="CM276"/>
      <c r="CN276"/>
      <c r="CO276"/>
      <c r="CP276"/>
      <c r="CQ276"/>
      <c r="CR276"/>
    </row>
    <row r="277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  <c r="BY277"/>
      <c r="BZ277"/>
      <c r="CA277"/>
      <c r="CB277"/>
      <c r="CC277"/>
      <c r="CD277"/>
      <c r="CE277"/>
      <c r="CF277"/>
      <c r="CG277"/>
      <c r="CH277"/>
      <c r="CI277"/>
      <c r="CJ277"/>
      <c r="CK277"/>
      <c r="CL277"/>
      <c r="CM277"/>
      <c r="CN277"/>
      <c r="CO277"/>
      <c r="CP277"/>
      <c r="CQ277"/>
      <c r="CR277"/>
    </row>
    <row r="278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  <c r="BY278"/>
      <c r="BZ278"/>
      <c r="CA278"/>
      <c r="CB278"/>
      <c r="CC278"/>
      <c r="CD278"/>
      <c r="CE278"/>
      <c r="CF278"/>
      <c r="CG278"/>
      <c r="CH278"/>
      <c r="CI278"/>
      <c r="CJ278"/>
      <c r="CK278"/>
      <c r="CL278"/>
      <c r="CM278"/>
      <c r="CN278"/>
      <c r="CO278"/>
      <c r="CP278"/>
      <c r="CQ278"/>
      <c r="CR278"/>
    </row>
    <row r="279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  <c r="BY279"/>
      <c r="BZ279"/>
      <c r="CA279"/>
      <c r="CB279"/>
      <c r="CC279"/>
      <c r="CD279"/>
      <c r="CE279"/>
      <c r="CF279"/>
      <c r="CG279"/>
      <c r="CH279"/>
      <c r="CI279"/>
      <c r="CJ279"/>
      <c r="CK279"/>
      <c r="CL279"/>
      <c r="CM279"/>
      <c r="CN279"/>
      <c r="CO279"/>
      <c r="CP279"/>
      <c r="CQ279"/>
      <c r="CR279"/>
    </row>
    <row r="280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  <c r="BY280"/>
      <c r="BZ280"/>
      <c r="CA280"/>
      <c r="CB280"/>
      <c r="CC280"/>
      <c r="CD280"/>
      <c r="CE280"/>
      <c r="CF280"/>
      <c r="CG280"/>
      <c r="CH280"/>
      <c r="CI280"/>
      <c r="CJ280"/>
      <c r="CK280"/>
      <c r="CL280"/>
      <c r="CM280"/>
      <c r="CN280"/>
      <c r="CO280"/>
      <c r="CP280"/>
      <c r="CQ280"/>
      <c r="CR280"/>
    </row>
    <row r="281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  <c r="BY281"/>
      <c r="BZ281"/>
      <c r="CA281"/>
      <c r="CB281"/>
      <c r="CC281"/>
      <c r="CD281"/>
      <c r="CE281"/>
      <c r="CF281"/>
      <c r="CG281"/>
      <c r="CH281"/>
      <c r="CI281"/>
      <c r="CJ281"/>
      <c r="CK281"/>
      <c r="CL281"/>
      <c r="CM281"/>
      <c r="CN281"/>
      <c r="CO281"/>
      <c r="CP281"/>
      <c r="CQ281"/>
      <c r="CR281"/>
    </row>
    <row r="282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  <c r="BY282"/>
      <c r="BZ282"/>
      <c r="CA282"/>
      <c r="CB282"/>
      <c r="CC282"/>
      <c r="CD282"/>
      <c r="CE282"/>
      <c r="CF282"/>
      <c r="CG282"/>
      <c r="CH282"/>
      <c r="CI282"/>
      <c r="CJ282"/>
      <c r="CK282"/>
      <c r="CL282"/>
      <c r="CM282"/>
      <c r="CN282"/>
      <c r="CO282"/>
      <c r="CP282"/>
      <c r="CQ282"/>
      <c r="CR282"/>
    </row>
    <row r="283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  <c r="BY283"/>
      <c r="BZ283"/>
      <c r="CA283"/>
      <c r="CB283"/>
      <c r="CC283"/>
      <c r="CD283"/>
      <c r="CE283"/>
      <c r="CF283"/>
      <c r="CG283"/>
      <c r="CH283"/>
      <c r="CI283"/>
      <c r="CJ283"/>
      <c r="CK283"/>
      <c r="CL283"/>
      <c r="CM283"/>
      <c r="CN283"/>
      <c r="CO283"/>
      <c r="CP283"/>
      <c r="CQ283"/>
      <c r="CR283"/>
    </row>
    <row r="284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  <c r="CN284"/>
      <c r="CO284"/>
      <c r="CP284"/>
      <c r="CQ284"/>
      <c r="CR284"/>
    </row>
    <row r="285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  <c r="BY285"/>
      <c r="BZ285"/>
      <c r="CA285"/>
      <c r="CB285"/>
      <c r="CC285"/>
      <c r="CD285"/>
      <c r="CE285"/>
      <c r="CF285"/>
      <c r="CG285"/>
      <c r="CH285"/>
      <c r="CI285"/>
      <c r="CJ285"/>
      <c r="CK285"/>
      <c r="CL285"/>
      <c r="CM285"/>
      <c r="CN285"/>
      <c r="CO285"/>
      <c r="CP285"/>
      <c r="CQ285"/>
      <c r="CR285"/>
    </row>
    <row r="286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  <c r="BY286"/>
      <c r="BZ286"/>
      <c r="CA286"/>
      <c r="CB286"/>
      <c r="CC286"/>
      <c r="CD286"/>
      <c r="CE286"/>
      <c r="CF286"/>
      <c r="CG286"/>
      <c r="CH286"/>
      <c r="CI286"/>
      <c r="CJ286"/>
      <c r="CK286"/>
      <c r="CL286"/>
      <c r="CM286"/>
      <c r="CN286"/>
      <c r="CO286"/>
      <c r="CP286"/>
      <c r="CQ286"/>
      <c r="CR286"/>
    </row>
    <row r="287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  <c r="BY287"/>
      <c r="BZ287"/>
      <c r="CA287"/>
      <c r="CB287"/>
      <c r="CC287"/>
      <c r="CD287"/>
      <c r="CE287"/>
      <c r="CF287"/>
      <c r="CG287"/>
      <c r="CH287"/>
      <c r="CI287"/>
      <c r="CJ287"/>
      <c r="CK287"/>
      <c r="CL287"/>
      <c r="CM287"/>
      <c r="CN287"/>
      <c r="CO287"/>
      <c r="CP287"/>
      <c r="CQ287"/>
      <c r="CR287"/>
    </row>
    <row r="288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  <c r="BY288"/>
      <c r="BZ288"/>
      <c r="CA288"/>
      <c r="CB288"/>
      <c r="CC288"/>
      <c r="CD288"/>
      <c r="CE288"/>
      <c r="CF288"/>
      <c r="CG288"/>
      <c r="CH288"/>
      <c r="CI288"/>
      <c r="CJ288"/>
      <c r="CK288"/>
      <c r="CL288"/>
      <c r="CM288"/>
      <c r="CN288"/>
      <c r="CO288"/>
      <c r="CP288"/>
      <c r="CQ288"/>
      <c r="CR288"/>
    </row>
    <row r="289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  <c r="BY289"/>
      <c r="BZ289"/>
      <c r="CA289"/>
      <c r="CB289"/>
      <c r="CC289"/>
      <c r="CD289"/>
      <c r="CE289"/>
      <c r="CF289"/>
      <c r="CG289"/>
      <c r="CH289"/>
      <c r="CI289"/>
      <c r="CJ289"/>
      <c r="CK289"/>
      <c r="CL289"/>
      <c r="CM289"/>
      <c r="CN289"/>
      <c r="CO289"/>
      <c r="CP289"/>
      <c r="CQ289"/>
      <c r="CR289"/>
    </row>
    <row r="290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  <c r="BY290"/>
      <c r="BZ290"/>
      <c r="CA290"/>
      <c r="CB290"/>
      <c r="CC290"/>
      <c r="CD290"/>
      <c r="CE290"/>
      <c r="CF290"/>
      <c r="CG290"/>
      <c r="CH290"/>
      <c r="CI290"/>
      <c r="CJ290"/>
      <c r="CK290"/>
      <c r="CL290"/>
      <c r="CM290"/>
      <c r="CN290"/>
      <c r="CO290"/>
      <c r="CP290"/>
      <c r="CQ290"/>
      <c r="CR290"/>
    </row>
    <row r="291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  <c r="BY291"/>
      <c r="BZ291"/>
      <c r="CA291"/>
      <c r="CB291"/>
      <c r="CC291"/>
      <c r="CD291"/>
      <c r="CE291"/>
      <c r="CF291"/>
      <c r="CG291"/>
      <c r="CH291"/>
      <c r="CI291"/>
      <c r="CJ291"/>
      <c r="CK291"/>
      <c r="CL291"/>
      <c r="CM291"/>
      <c r="CN291"/>
      <c r="CO291"/>
      <c r="CP291"/>
      <c r="CQ291"/>
      <c r="CR291"/>
    </row>
    <row r="292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  <c r="BY292"/>
      <c r="BZ292"/>
      <c r="CA292"/>
      <c r="CB292"/>
      <c r="CC292"/>
      <c r="CD292"/>
      <c r="CE292"/>
      <c r="CF292"/>
      <c r="CG292"/>
      <c r="CH292"/>
      <c r="CI292"/>
      <c r="CJ292"/>
      <c r="CK292"/>
      <c r="CL292"/>
      <c r="CM292"/>
      <c r="CN292"/>
      <c r="CO292"/>
      <c r="CP292"/>
      <c r="CQ292"/>
      <c r="CR292"/>
    </row>
    <row r="293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  <c r="BY293"/>
      <c r="BZ293"/>
      <c r="CA293"/>
      <c r="CB293"/>
      <c r="CC293"/>
      <c r="CD293"/>
      <c r="CE293"/>
      <c r="CF293"/>
      <c r="CG293"/>
      <c r="CH293"/>
      <c r="CI293"/>
      <c r="CJ293"/>
      <c r="CK293"/>
      <c r="CL293"/>
      <c r="CM293"/>
      <c r="CN293"/>
      <c r="CO293"/>
      <c r="CP293"/>
      <c r="CQ293"/>
      <c r="CR293"/>
    </row>
    <row r="294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  <c r="BY294"/>
      <c r="BZ294"/>
      <c r="CA294"/>
      <c r="CB294"/>
      <c r="CC294"/>
      <c r="CD294"/>
      <c r="CE294"/>
      <c r="CF294"/>
      <c r="CG294"/>
      <c r="CH294"/>
      <c r="CI294"/>
      <c r="CJ294"/>
      <c r="CK294"/>
      <c r="CL294"/>
      <c r="CM294"/>
      <c r="CN294"/>
      <c r="CO294"/>
      <c r="CP294"/>
      <c r="CQ294"/>
      <c r="CR294"/>
    </row>
    <row r="295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  <c r="BY295"/>
      <c r="BZ295"/>
      <c r="CA295"/>
      <c r="CB295"/>
      <c r="CC295"/>
      <c r="CD295"/>
      <c r="CE295"/>
      <c r="CF295"/>
      <c r="CG295"/>
      <c r="CH295"/>
      <c r="CI295"/>
      <c r="CJ295"/>
      <c r="CK295"/>
      <c r="CL295"/>
      <c r="CM295"/>
      <c r="CN295"/>
      <c r="CO295"/>
      <c r="CP295"/>
      <c r="CQ295"/>
      <c r="CR295"/>
    </row>
    <row r="296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  <c r="BY296"/>
      <c r="BZ296"/>
      <c r="CA296"/>
      <c r="CB296"/>
      <c r="CC296"/>
      <c r="CD296"/>
      <c r="CE296"/>
      <c r="CF296"/>
      <c r="CG296"/>
      <c r="CH296"/>
      <c r="CI296"/>
      <c r="CJ296"/>
      <c r="CK296"/>
      <c r="CL296"/>
      <c r="CM296"/>
      <c r="CN296"/>
      <c r="CO296"/>
      <c r="CP296"/>
      <c r="CQ296"/>
      <c r="CR296"/>
    </row>
    <row r="297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  <c r="BY297"/>
      <c r="BZ297"/>
      <c r="CA297"/>
      <c r="CB297"/>
      <c r="CC297"/>
      <c r="CD297"/>
      <c r="CE297"/>
      <c r="CF297"/>
      <c r="CG297"/>
      <c r="CH297"/>
      <c r="CI297"/>
      <c r="CJ297"/>
      <c r="CK297"/>
      <c r="CL297"/>
      <c r="CM297"/>
      <c r="CN297"/>
      <c r="CO297"/>
      <c r="CP297"/>
      <c r="CQ297"/>
      <c r="CR297"/>
    </row>
    <row r="298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  <c r="BY298"/>
      <c r="BZ298"/>
      <c r="CA298"/>
      <c r="CB298"/>
      <c r="CC298"/>
      <c r="CD298"/>
      <c r="CE298"/>
      <c r="CF298"/>
      <c r="CG298"/>
      <c r="CH298"/>
      <c r="CI298"/>
      <c r="CJ298"/>
      <c r="CK298"/>
      <c r="CL298"/>
      <c r="CM298"/>
      <c r="CN298"/>
      <c r="CO298"/>
      <c r="CP298"/>
      <c r="CQ298"/>
      <c r="CR298"/>
    </row>
    <row r="299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  <c r="BY299"/>
      <c r="BZ299"/>
      <c r="CA299"/>
      <c r="CB299"/>
      <c r="CC299"/>
      <c r="CD299"/>
      <c r="CE299"/>
      <c r="CF299"/>
      <c r="CG299"/>
      <c r="CH299"/>
      <c r="CI299"/>
      <c r="CJ299"/>
      <c r="CK299"/>
      <c r="CL299"/>
      <c r="CM299"/>
      <c r="CN299"/>
      <c r="CO299"/>
      <c r="CP299"/>
      <c r="CQ299"/>
      <c r="CR299"/>
    </row>
    <row r="300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  <c r="BY300"/>
      <c r="BZ300"/>
      <c r="CA300"/>
      <c r="CB300"/>
      <c r="CC300"/>
      <c r="CD300"/>
      <c r="CE300"/>
      <c r="CF300"/>
      <c r="CG300"/>
      <c r="CH300"/>
      <c r="CI300"/>
      <c r="CJ300"/>
      <c r="CK300"/>
      <c r="CL300"/>
      <c r="CM300"/>
      <c r="CN300"/>
      <c r="CO300"/>
      <c r="CP300"/>
      <c r="CQ300"/>
      <c r="CR300"/>
    </row>
    <row r="301">
      <c r="A301"/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  <c r="BY301"/>
      <c r="BZ301"/>
      <c r="CA301"/>
      <c r="CB301"/>
      <c r="CC301"/>
      <c r="CD301"/>
      <c r="CE301"/>
      <c r="CF301"/>
      <c r="CG301"/>
      <c r="CH301"/>
      <c r="CI301"/>
      <c r="CJ301"/>
      <c r="CK301"/>
      <c r="CL301"/>
      <c r="CM301"/>
      <c r="CN301"/>
      <c r="CO301"/>
      <c r="CP301"/>
      <c r="CQ301"/>
      <c r="CR301"/>
    </row>
    <row r="302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  <c r="BY302"/>
      <c r="BZ302"/>
      <c r="CA302"/>
      <c r="CB302"/>
      <c r="CC302"/>
      <c r="CD302"/>
      <c r="CE302"/>
      <c r="CF302"/>
      <c r="CG302"/>
      <c r="CH302"/>
      <c r="CI302"/>
      <c r="CJ302"/>
      <c r="CK302"/>
      <c r="CL302"/>
      <c r="CM302"/>
      <c r="CN302"/>
      <c r="CO302"/>
      <c r="CP302"/>
      <c r="CQ302"/>
      <c r="CR302"/>
    </row>
    <row r="303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  <c r="CA303"/>
      <c r="CB303"/>
      <c r="CC303"/>
      <c r="CD303"/>
      <c r="CE303"/>
      <c r="CF303"/>
      <c r="CG303"/>
      <c r="CH303"/>
      <c r="CI303"/>
      <c r="CJ303"/>
      <c r="CK303"/>
      <c r="CL303"/>
      <c r="CM303"/>
      <c r="CN303"/>
      <c r="CO303"/>
      <c r="CP303"/>
      <c r="CQ303"/>
      <c r="CR303"/>
    </row>
    <row r="304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  <c r="BY304"/>
      <c r="BZ304"/>
      <c r="CA304"/>
      <c r="CB304"/>
      <c r="CC304"/>
      <c r="CD304"/>
      <c r="CE304"/>
      <c r="CF304"/>
      <c r="CG304"/>
      <c r="CH304"/>
      <c r="CI304"/>
      <c r="CJ304"/>
      <c r="CK304"/>
      <c r="CL304"/>
      <c r="CM304"/>
      <c r="CN304"/>
      <c r="CO304"/>
      <c r="CP304"/>
      <c r="CQ304"/>
      <c r="CR304"/>
    </row>
    <row r="305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  <c r="BY305"/>
      <c r="BZ305"/>
      <c r="CA305"/>
      <c r="CB305"/>
      <c r="CC305"/>
      <c r="CD305"/>
      <c r="CE305"/>
      <c r="CF305"/>
      <c r="CG305"/>
      <c r="CH305"/>
      <c r="CI305"/>
      <c r="CJ305"/>
      <c r="CK305"/>
      <c r="CL305"/>
      <c r="CM305"/>
      <c r="CN305"/>
      <c r="CO305"/>
      <c r="CP305"/>
      <c r="CQ305"/>
      <c r="CR305"/>
    </row>
    <row r="306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  <c r="BY306"/>
      <c r="BZ306"/>
      <c r="CA306"/>
      <c r="CB306"/>
      <c r="CC306"/>
      <c r="CD306"/>
      <c r="CE306"/>
      <c r="CF306"/>
      <c r="CG306"/>
      <c r="CH306"/>
      <c r="CI306"/>
      <c r="CJ306"/>
      <c r="CK306"/>
      <c r="CL306"/>
      <c r="CM306"/>
      <c r="CN306"/>
      <c r="CO306"/>
      <c r="CP306"/>
      <c r="CQ306"/>
      <c r="CR306"/>
    </row>
    <row r="307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  <c r="CN307"/>
      <c r="CO307"/>
      <c r="CP307"/>
      <c r="CQ307"/>
      <c r="CR307"/>
    </row>
    <row r="308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  <c r="BY308"/>
      <c r="BZ308"/>
      <c r="CA308"/>
      <c r="CB308"/>
      <c r="CC308"/>
      <c r="CD308"/>
      <c r="CE308"/>
      <c r="CF308"/>
      <c r="CG308"/>
      <c r="CH308"/>
      <c r="CI308"/>
      <c r="CJ308"/>
      <c r="CK308"/>
      <c r="CL308"/>
      <c r="CM308"/>
      <c r="CN308"/>
      <c r="CO308"/>
      <c r="CP308"/>
      <c r="CQ308"/>
      <c r="CR308"/>
    </row>
    <row r="309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  <c r="BY309"/>
      <c r="BZ309"/>
      <c r="CA309"/>
      <c r="CB309"/>
      <c r="CC309"/>
      <c r="CD309"/>
      <c r="CE309"/>
      <c r="CF309"/>
      <c r="CG309"/>
      <c r="CH309"/>
      <c r="CI309"/>
      <c r="CJ309"/>
      <c r="CK309"/>
      <c r="CL309"/>
      <c r="CM309"/>
      <c r="CN309"/>
      <c r="CO309"/>
      <c r="CP309"/>
      <c r="CQ309"/>
      <c r="CR309"/>
    </row>
    <row r="310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  <c r="BY310"/>
      <c r="BZ310"/>
      <c r="CA310"/>
      <c r="CB310"/>
      <c r="CC310"/>
      <c r="CD310"/>
      <c r="CE310"/>
      <c r="CF310"/>
      <c r="CG310"/>
      <c r="CH310"/>
      <c r="CI310"/>
      <c r="CJ310"/>
      <c r="CK310"/>
      <c r="CL310"/>
      <c r="CM310"/>
      <c r="CN310"/>
      <c r="CO310"/>
      <c r="CP310"/>
      <c r="CQ310"/>
      <c r="CR310"/>
    </row>
    <row r="311">
      <c r="A311"/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  <c r="BY311"/>
      <c r="BZ311"/>
      <c r="CA311"/>
      <c r="CB311"/>
      <c r="CC311"/>
      <c r="CD311"/>
      <c r="CE311"/>
      <c r="CF311"/>
      <c r="CG311"/>
      <c r="CH311"/>
      <c r="CI311"/>
      <c r="CJ311"/>
      <c r="CK311"/>
      <c r="CL311"/>
      <c r="CM311"/>
      <c r="CN311"/>
      <c r="CO311"/>
      <c r="CP311"/>
      <c r="CQ311"/>
      <c r="CR311"/>
    </row>
    <row r="312">
      <c r="A312"/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  <c r="BY312"/>
      <c r="BZ312"/>
      <c r="CA312"/>
      <c r="CB312"/>
      <c r="CC312"/>
      <c r="CD312"/>
      <c r="CE312"/>
      <c r="CF312"/>
      <c r="CG312"/>
      <c r="CH312"/>
      <c r="CI312"/>
      <c r="CJ312"/>
      <c r="CK312"/>
      <c r="CL312"/>
      <c r="CM312"/>
      <c r="CN312"/>
      <c r="CO312"/>
      <c r="CP312"/>
      <c r="CQ312"/>
      <c r="CR312"/>
    </row>
    <row r="313">
      <c r="A313"/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  <c r="BY313"/>
      <c r="BZ313"/>
      <c r="CA313"/>
      <c r="CB313"/>
      <c r="CC313"/>
      <c r="CD313"/>
      <c r="CE313"/>
      <c r="CF313"/>
      <c r="CG313"/>
      <c r="CH313"/>
      <c r="CI313"/>
      <c r="CJ313"/>
      <c r="CK313"/>
      <c r="CL313"/>
      <c r="CM313"/>
      <c r="CN313"/>
      <c r="CO313"/>
      <c r="CP313"/>
      <c r="CQ313"/>
      <c r="CR313"/>
    </row>
    <row r="314">
      <c r="A314"/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  <c r="BY314"/>
      <c r="BZ314"/>
      <c r="CA314"/>
      <c r="CB314"/>
      <c r="CC314"/>
      <c r="CD314"/>
      <c r="CE314"/>
      <c r="CF314"/>
      <c r="CG314"/>
      <c r="CH314"/>
      <c r="CI314"/>
      <c r="CJ314"/>
      <c r="CK314"/>
      <c r="CL314"/>
      <c r="CM314"/>
      <c r="CN314"/>
      <c r="CO314"/>
      <c r="CP314"/>
      <c r="CQ314"/>
      <c r="CR314"/>
    </row>
    <row r="315">
      <c r="A315"/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  <c r="BY315"/>
      <c r="BZ315"/>
      <c r="CA315"/>
      <c r="CB315"/>
      <c r="CC315"/>
      <c r="CD315"/>
      <c r="CE315"/>
      <c r="CF315"/>
      <c r="CG315"/>
      <c r="CH315"/>
      <c r="CI315"/>
      <c r="CJ315"/>
      <c r="CK315"/>
      <c r="CL315"/>
      <c r="CM315"/>
      <c r="CN315"/>
      <c r="CO315"/>
      <c r="CP315"/>
      <c r="CQ315"/>
      <c r="CR315"/>
    </row>
    <row r="316">
      <c r="A316"/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  <c r="BY316"/>
      <c r="BZ316"/>
      <c r="CA316"/>
      <c r="CB316"/>
      <c r="CC316"/>
      <c r="CD316"/>
      <c r="CE316"/>
      <c r="CF316"/>
      <c r="CG316"/>
      <c r="CH316"/>
      <c r="CI316"/>
      <c r="CJ316"/>
      <c r="CK316"/>
      <c r="CL316"/>
      <c r="CM316"/>
      <c r="CN316"/>
      <c r="CO316"/>
      <c r="CP316"/>
      <c r="CQ316"/>
      <c r="CR316"/>
    </row>
    <row r="317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  <c r="CA317"/>
      <c r="CB317"/>
      <c r="CC317"/>
      <c r="CD317"/>
      <c r="CE317"/>
      <c r="CF317"/>
      <c r="CG317"/>
      <c r="CH317"/>
      <c r="CI317"/>
      <c r="CJ317"/>
      <c r="CK317"/>
      <c r="CL317"/>
      <c r="CM317"/>
      <c r="CN317"/>
      <c r="CO317"/>
      <c r="CP317"/>
      <c r="CQ317"/>
      <c r="CR317"/>
    </row>
    <row r="318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  <c r="CA318"/>
      <c r="CB318"/>
      <c r="CC318"/>
      <c r="CD318"/>
      <c r="CE318"/>
      <c r="CF318"/>
      <c r="CG318"/>
      <c r="CH318"/>
      <c r="CI318"/>
      <c r="CJ318"/>
      <c r="CK318"/>
      <c r="CL318"/>
      <c r="CM318"/>
      <c r="CN318"/>
      <c r="CO318"/>
      <c r="CP318"/>
      <c r="CQ318"/>
      <c r="CR318"/>
    </row>
    <row r="319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  <c r="CA319"/>
      <c r="CB319"/>
      <c r="CC319"/>
      <c r="CD319"/>
      <c r="CE319"/>
      <c r="CF319"/>
      <c r="CG319"/>
      <c r="CH319"/>
      <c r="CI319"/>
      <c r="CJ319"/>
      <c r="CK319"/>
      <c r="CL319"/>
      <c r="CM319"/>
      <c r="CN319"/>
      <c r="CO319"/>
      <c r="CP319"/>
      <c r="CQ319"/>
      <c r="CR319"/>
    </row>
    <row r="320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  <c r="BY320"/>
      <c r="BZ320"/>
      <c r="CA320"/>
      <c r="CB320"/>
      <c r="CC320"/>
      <c r="CD320"/>
      <c r="CE320"/>
      <c r="CF320"/>
      <c r="CG320"/>
      <c r="CH320"/>
      <c r="CI320"/>
      <c r="CJ320"/>
      <c r="CK320"/>
      <c r="CL320"/>
      <c r="CM320"/>
      <c r="CN320"/>
      <c r="CO320"/>
      <c r="CP320"/>
      <c r="CQ320"/>
      <c r="CR320"/>
    </row>
    <row r="321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  <c r="CA321"/>
      <c r="CB321"/>
      <c r="CC321"/>
      <c r="CD321"/>
      <c r="CE321"/>
      <c r="CF321"/>
      <c r="CG321"/>
      <c r="CH321"/>
      <c r="CI321"/>
      <c r="CJ321"/>
      <c r="CK321"/>
      <c r="CL321"/>
      <c r="CM321"/>
      <c r="CN321"/>
      <c r="CO321"/>
      <c r="CP321"/>
      <c r="CQ321"/>
      <c r="CR321"/>
    </row>
    <row r="322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  <c r="BY322"/>
      <c r="BZ322"/>
      <c r="CA322"/>
      <c r="CB322"/>
      <c r="CC322"/>
      <c r="CD322"/>
      <c r="CE322"/>
      <c r="CF322"/>
      <c r="CG322"/>
      <c r="CH322"/>
      <c r="CI322"/>
      <c r="CJ322"/>
      <c r="CK322"/>
      <c r="CL322"/>
      <c r="CM322"/>
      <c r="CN322"/>
      <c r="CO322"/>
      <c r="CP322"/>
      <c r="CQ322"/>
      <c r="CR322"/>
    </row>
    <row r="323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  <c r="BY323"/>
      <c r="BZ323"/>
      <c r="CA323"/>
      <c r="CB323"/>
      <c r="CC323"/>
      <c r="CD323"/>
      <c r="CE323"/>
      <c r="CF323"/>
      <c r="CG323"/>
      <c r="CH323"/>
      <c r="CI323"/>
      <c r="CJ323"/>
      <c r="CK323"/>
      <c r="CL323"/>
      <c r="CM323"/>
      <c r="CN323"/>
      <c r="CO323"/>
      <c r="CP323"/>
      <c r="CQ323"/>
      <c r="CR323"/>
    </row>
    <row r="324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  <c r="BY324"/>
      <c r="BZ324"/>
      <c r="CA324"/>
      <c r="CB324"/>
      <c r="CC324"/>
      <c r="CD324"/>
      <c r="CE324"/>
      <c r="CF324"/>
      <c r="CG324"/>
      <c r="CH324"/>
      <c r="CI324"/>
      <c r="CJ324"/>
      <c r="CK324"/>
      <c r="CL324"/>
      <c r="CM324"/>
      <c r="CN324"/>
      <c r="CO324"/>
      <c r="CP324"/>
      <c r="CQ324"/>
      <c r="CR324"/>
    </row>
    <row r="325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  <c r="BY325"/>
      <c r="BZ325"/>
      <c r="CA325"/>
      <c r="CB325"/>
      <c r="CC325"/>
      <c r="CD325"/>
      <c r="CE325"/>
      <c r="CF325"/>
      <c r="CG325"/>
      <c r="CH325"/>
      <c r="CI325"/>
      <c r="CJ325"/>
      <c r="CK325"/>
      <c r="CL325"/>
      <c r="CM325"/>
      <c r="CN325"/>
      <c r="CO325"/>
      <c r="CP325"/>
      <c r="CQ325"/>
      <c r="CR325"/>
    </row>
    <row r="326">
      <c r="A326"/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  <c r="BY326"/>
      <c r="BZ326"/>
      <c r="CA326"/>
      <c r="CB326"/>
      <c r="CC326"/>
      <c r="CD326"/>
      <c r="CE326"/>
      <c r="CF326"/>
      <c r="CG326"/>
      <c r="CH326"/>
      <c r="CI326"/>
      <c r="CJ326"/>
      <c r="CK326"/>
      <c r="CL326"/>
      <c r="CM326"/>
      <c r="CN326"/>
      <c r="CO326"/>
      <c r="CP326"/>
      <c r="CQ326"/>
      <c r="CR326"/>
    </row>
    <row r="327">
      <c r="A327"/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  <c r="BY327"/>
      <c r="BZ327"/>
      <c r="CA327"/>
      <c r="CB327"/>
      <c r="CC327"/>
      <c r="CD327"/>
      <c r="CE327"/>
      <c r="CF327"/>
      <c r="CG327"/>
      <c r="CH327"/>
      <c r="CI327"/>
      <c r="CJ327"/>
      <c r="CK327"/>
      <c r="CL327"/>
      <c r="CM327"/>
      <c r="CN327"/>
      <c r="CO327"/>
      <c r="CP327"/>
      <c r="CQ327"/>
      <c r="CR327"/>
    </row>
    <row r="328">
      <c r="A328"/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  <c r="BY328"/>
      <c r="BZ328"/>
      <c r="CA328"/>
      <c r="CB328"/>
      <c r="CC328"/>
      <c r="CD328"/>
      <c r="CE328"/>
      <c r="CF328"/>
      <c r="CG328"/>
      <c r="CH328"/>
      <c r="CI328"/>
      <c r="CJ328"/>
      <c r="CK328"/>
      <c r="CL328"/>
      <c r="CM328"/>
      <c r="CN328"/>
      <c r="CO328"/>
      <c r="CP328"/>
      <c r="CQ328"/>
      <c r="CR328"/>
    </row>
    <row r="329">
      <c r="A329"/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  <c r="BY329"/>
      <c r="BZ329"/>
      <c r="CA329"/>
      <c r="CB329"/>
      <c r="CC329"/>
      <c r="CD329"/>
      <c r="CE329"/>
      <c r="CF329"/>
      <c r="CG329"/>
      <c r="CH329"/>
      <c r="CI329"/>
      <c r="CJ329"/>
      <c r="CK329"/>
      <c r="CL329"/>
      <c r="CM329"/>
      <c r="CN329"/>
      <c r="CO329"/>
      <c r="CP329"/>
      <c r="CQ329"/>
      <c r="CR329"/>
    </row>
    <row r="330">
      <c r="A330"/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</row>
    <row r="331">
      <c r="A331"/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  <c r="BY331"/>
      <c r="BZ331"/>
      <c r="CA331"/>
      <c r="CB331"/>
      <c r="CC331"/>
      <c r="CD331"/>
      <c r="CE331"/>
      <c r="CF331"/>
      <c r="CG331"/>
      <c r="CH331"/>
      <c r="CI331"/>
      <c r="CJ331"/>
      <c r="CK331"/>
      <c r="CL331"/>
      <c r="CM331"/>
      <c r="CN331"/>
      <c r="CO331"/>
      <c r="CP331"/>
      <c r="CQ331"/>
      <c r="CR331"/>
    </row>
    <row r="332">
      <c r="A332"/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  <c r="BY332"/>
      <c r="BZ332"/>
      <c r="CA332"/>
      <c r="CB332"/>
      <c r="CC332"/>
      <c r="CD332"/>
      <c r="CE332"/>
      <c r="CF332"/>
      <c r="CG332"/>
      <c r="CH332"/>
      <c r="CI332"/>
      <c r="CJ332"/>
      <c r="CK332"/>
      <c r="CL332"/>
      <c r="CM332"/>
      <c r="CN332"/>
      <c r="CO332"/>
      <c r="CP332"/>
      <c r="CQ332"/>
      <c r="CR332"/>
    </row>
    <row r="333">
      <c r="A333"/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  <c r="BY333"/>
      <c r="BZ333"/>
      <c r="CA333"/>
      <c r="CB333"/>
      <c r="CC333"/>
      <c r="CD333"/>
      <c r="CE333"/>
      <c r="CF333"/>
      <c r="CG333"/>
      <c r="CH333"/>
      <c r="CI333"/>
      <c r="CJ333"/>
      <c r="CK333"/>
      <c r="CL333"/>
      <c r="CM333"/>
      <c r="CN333"/>
      <c r="CO333"/>
      <c r="CP333"/>
      <c r="CQ333"/>
      <c r="CR333"/>
    </row>
    <row r="334">
      <c r="A334"/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  <c r="BY334"/>
      <c r="BZ334"/>
      <c r="CA334"/>
      <c r="CB334"/>
      <c r="CC334"/>
      <c r="CD334"/>
      <c r="CE334"/>
      <c r="CF334"/>
      <c r="CG334"/>
      <c r="CH334"/>
      <c r="CI334"/>
      <c r="CJ334"/>
      <c r="CK334"/>
      <c r="CL334"/>
      <c r="CM334"/>
      <c r="CN334"/>
      <c r="CO334"/>
      <c r="CP334"/>
      <c r="CQ334"/>
      <c r="CR334"/>
    </row>
    <row r="335">
      <c r="A335"/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  <c r="BY335"/>
      <c r="BZ335"/>
      <c r="CA335"/>
      <c r="CB335"/>
      <c r="CC335"/>
      <c r="CD335"/>
      <c r="CE335"/>
      <c r="CF335"/>
      <c r="CG335"/>
      <c r="CH335"/>
      <c r="CI335"/>
      <c r="CJ335"/>
      <c r="CK335"/>
      <c r="CL335"/>
      <c r="CM335"/>
      <c r="CN335"/>
      <c r="CO335"/>
      <c r="CP335"/>
      <c r="CQ335"/>
      <c r="CR335"/>
    </row>
    <row r="336">
      <c r="A336"/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  <c r="BY336"/>
      <c r="BZ336"/>
      <c r="CA336"/>
      <c r="CB336"/>
      <c r="CC336"/>
      <c r="CD336"/>
      <c r="CE336"/>
      <c r="CF336"/>
      <c r="CG336"/>
      <c r="CH336"/>
      <c r="CI336"/>
      <c r="CJ336"/>
      <c r="CK336"/>
      <c r="CL336"/>
      <c r="CM336"/>
      <c r="CN336"/>
      <c r="CO336"/>
      <c r="CP336"/>
      <c r="CQ336"/>
      <c r="CR336"/>
    </row>
    <row r="337">
      <c r="A337"/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  <c r="BY337"/>
      <c r="BZ337"/>
      <c r="CA337"/>
      <c r="CB337"/>
      <c r="CC337"/>
      <c r="CD337"/>
      <c r="CE337"/>
      <c r="CF337"/>
      <c r="CG337"/>
      <c r="CH337"/>
      <c r="CI337"/>
      <c r="CJ337"/>
      <c r="CK337"/>
      <c r="CL337"/>
      <c r="CM337"/>
      <c r="CN337"/>
      <c r="CO337"/>
      <c r="CP337"/>
      <c r="CQ337"/>
      <c r="CR337"/>
    </row>
    <row r="338">
      <c r="A338"/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  <c r="BY338"/>
      <c r="BZ338"/>
      <c r="CA338"/>
      <c r="CB338"/>
      <c r="CC338"/>
      <c r="CD338"/>
      <c r="CE338"/>
      <c r="CF338"/>
      <c r="CG338"/>
      <c r="CH338"/>
      <c r="CI338"/>
      <c r="CJ338"/>
      <c r="CK338"/>
      <c r="CL338"/>
      <c r="CM338"/>
      <c r="CN338"/>
      <c r="CO338"/>
      <c r="CP338"/>
      <c r="CQ338"/>
      <c r="CR338"/>
    </row>
    <row r="339">
      <c r="A339"/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  <c r="BY339"/>
      <c r="BZ339"/>
      <c r="CA339"/>
      <c r="CB339"/>
      <c r="CC339"/>
      <c r="CD339"/>
      <c r="CE339"/>
      <c r="CF339"/>
      <c r="CG339"/>
      <c r="CH339"/>
      <c r="CI339"/>
      <c r="CJ339"/>
      <c r="CK339"/>
      <c r="CL339"/>
      <c r="CM339"/>
      <c r="CN339"/>
      <c r="CO339"/>
      <c r="CP339"/>
      <c r="CQ339"/>
      <c r="CR339"/>
    </row>
    <row r="340">
      <c r="A340"/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  <c r="BY340"/>
      <c r="BZ340"/>
      <c r="CA340"/>
      <c r="CB340"/>
      <c r="CC340"/>
      <c r="CD340"/>
      <c r="CE340"/>
      <c r="CF340"/>
      <c r="CG340"/>
      <c r="CH340"/>
      <c r="CI340"/>
      <c r="CJ340"/>
      <c r="CK340"/>
      <c r="CL340"/>
      <c r="CM340"/>
      <c r="CN340"/>
      <c r="CO340"/>
      <c r="CP340"/>
      <c r="CQ340"/>
      <c r="CR340"/>
    </row>
    <row r="341">
      <c r="A341"/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  <c r="BY341"/>
      <c r="BZ341"/>
      <c r="CA341"/>
      <c r="CB341"/>
      <c r="CC341"/>
      <c r="CD341"/>
      <c r="CE341"/>
      <c r="CF341"/>
      <c r="CG341"/>
      <c r="CH341"/>
      <c r="CI341"/>
      <c r="CJ341"/>
      <c r="CK341"/>
      <c r="CL341"/>
      <c r="CM341"/>
      <c r="CN341"/>
      <c r="CO341"/>
      <c r="CP341"/>
      <c r="CQ341"/>
      <c r="CR341"/>
    </row>
    <row r="342">
      <c r="A342"/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  <c r="BY342"/>
      <c r="BZ342"/>
      <c r="CA342"/>
      <c r="CB342"/>
      <c r="CC342"/>
      <c r="CD342"/>
      <c r="CE342"/>
      <c r="CF342"/>
      <c r="CG342"/>
      <c r="CH342"/>
      <c r="CI342"/>
      <c r="CJ342"/>
      <c r="CK342"/>
      <c r="CL342"/>
      <c r="CM342"/>
      <c r="CN342"/>
      <c r="CO342"/>
      <c r="CP342"/>
      <c r="CQ342"/>
      <c r="CR342"/>
    </row>
    <row r="343">
      <c r="A343"/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  <c r="BY343"/>
      <c r="BZ343"/>
      <c r="CA343"/>
      <c r="CB343"/>
      <c r="CC343"/>
      <c r="CD343"/>
      <c r="CE343"/>
      <c r="CF343"/>
      <c r="CG343"/>
      <c r="CH343"/>
      <c r="CI343"/>
      <c r="CJ343"/>
      <c r="CK343"/>
      <c r="CL343"/>
      <c r="CM343"/>
      <c r="CN343"/>
      <c r="CO343"/>
      <c r="CP343"/>
      <c r="CQ343"/>
      <c r="CR343"/>
    </row>
    <row r="344">
      <c r="A344"/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  <c r="BY344"/>
      <c r="BZ344"/>
      <c r="CA344"/>
      <c r="CB344"/>
      <c r="CC344"/>
      <c r="CD344"/>
      <c r="CE344"/>
      <c r="CF344"/>
      <c r="CG344"/>
      <c r="CH344"/>
      <c r="CI344"/>
      <c r="CJ344"/>
      <c r="CK344"/>
      <c r="CL344"/>
      <c r="CM344"/>
      <c r="CN344"/>
      <c r="CO344"/>
      <c r="CP344"/>
      <c r="CQ344"/>
      <c r="CR344"/>
    </row>
    <row r="345">
      <c r="A345"/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  <c r="BY345"/>
      <c r="BZ345"/>
      <c r="CA345"/>
      <c r="CB345"/>
      <c r="CC345"/>
      <c r="CD345"/>
      <c r="CE345"/>
      <c r="CF345"/>
      <c r="CG345"/>
      <c r="CH345"/>
      <c r="CI345"/>
      <c r="CJ345"/>
      <c r="CK345"/>
      <c r="CL345"/>
      <c r="CM345"/>
      <c r="CN345"/>
      <c r="CO345"/>
      <c r="CP345"/>
      <c r="CQ345"/>
      <c r="CR345"/>
    </row>
    <row r="346">
      <c r="A346"/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  <c r="BY346"/>
      <c r="BZ346"/>
      <c r="CA346"/>
      <c r="CB346"/>
      <c r="CC346"/>
      <c r="CD346"/>
      <c r="CE346"/>
      <c r="CF346"/>
      <c r="CG346"/>
      <c r="CH346"/>
      <c r="CI346"/>
      <c r="CJ346"/>
      <c r="CK346"/>
      <c r="CL346"/>
      <c r="CM346"/>
      <c r="CN346"/>
      <c r="CO346"/>
      <c r="CP346"/>
      <c r="CQ346"/>
      <c r="CR346"/>
    </row>
    <row r="347">
      <c r="A347"/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  <c r="BY347"/>
      <c r="BZ347"/>
      <c r="CA347"/>
      <c r="CB347"/>
      <c r="CC347"/>
      <c r="CD347"/>
      <c r="CE347"/>
      <c r="CF347"/>
      <c r="CG347"/>
      <c r="CH347"/>
      <c r="CI347"/>
      <c r="CJ347"/>
      <c r="CK347"/>
      <c r="CL347"/>
      <c r="CM347"/>
      <c r="CN347"/>
      <c r="CO347"/>
      <c r="CP347"/>
      <c r="CQ347"/>
      <c r="CR347"/>
    </row>
    <row r="348">
      <c r="A348"/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  <c r="BY348"/>
      <c r="BZ348"/>
      <c r="CA348"/>
      <c r="CB348"/>
      <c r="CC348"/>
      <c r="CD348"/>
      <c r="CE348"/>
      <c r="CF348"/>
      <c r="CG348"/>
      <c r="CH348"/>
      <c r="CI348"/>
      <c r="CJ348"/>
      <c r="CK348"/>
      <c r="CL348"/>
      <c r="CM348"/>
      <c r="CN348"/>
      <c r="CO348"/>
      <c r="CP348"/>
      <c r="CQ348"/>
      <c r="CR348"/>
    </row>
    <row r="349">
      <c r="A349"/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  <c r="BY349"/>
      <c r="BZ349"/>
      <c r="CA349"/>
      <c r="CB349"/>
      <c r="CC349"/>
      <c r="CD349"/>
      <c r="CE349"/>
      <c r="CF349"/>
      <c r="CG349"/>
      <c r="CH349"/>
      <c r="CI349"/>
      <c r="CJ349"/>
      <c r="CK349"/>
      <c r="CL349"/>
      <c r="CM349"/>
      <c r="CN349"/>
      <c r="CO349"/>
      <c r="CP349"/>
      <c r="CQ349"/>
      <c r="CR349"/>
    </row>
    <row r="350">
      <c r="A350"/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  <c r="BY350"/>
      <c r="BZ350"/>
      <c r="CA350"/>
      <c r="CB350"/>
      <c r="CC350"/>
      <c r="CD350"/>
      <c r="CE350"/>
      <c r="CF350"/>
      <c r="CG350"/>
      <c r="CH350"/>
      <c r="CI350"/>
      <c r="CJ350"/>
      <c r="CK350"/>
      <c r="CL350"/>
      <c r="CM350"/>
      <c r="CN350"/>
      <c r="CO350"/>
      <c r="CP350"/>
      <c r="CQ350"/>
      <c r="CR350"/>
    </row>
    <row r="351">
      <c r="A351"/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  <c r="BY351"/>
      <c r="BZ351"/>
      <c r="CA351"/>
      <c r="CB351"/>
      <c r="CC351"/>
      <c r="CD351"/>
      <c r="CE351"/>
      <c r="CF351"/>
      <c r="CG351"/>
      <c r="CH351"/>
      <c r="CI351"/>
      <c r="CJ351"/>
      <c r="CK351"/>
      <c r="CL351"/>
      <c r="CM351"/>
      <c r="CN351"/>
      <c r="CO351"/>
      <c r="CP351"/>
      <c r="CQ351"/>
      <c r="CR351"/>
    </row>
    <row r="352">
      <c r="A352"/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  <c r="BY352"/>
      <c r="BZ352"/>
      <c r="CA352"/>
      <c r="CB352"/>
      <c r="CC352"/>
      <c r="CD352"/>
      <c r="CE352"/>
      <c r="CF352"/>
      <c r="CG352"/>
      <c r="CH352"/>
      <c r="CI352"/>
      <c r="CJ352"/>
      <c r="CK352"/>
      <c r="CL352"/>
      <c r="CM352"/>
      <c r="CN352"/>
      <c r="CO352"/>
      <c r="CP352"/>
      <c r="CQ352"/>
      <c r="CR352"/>
    </row>
    <row r="353">
      <c r="A353"/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  <c r="BY353"/>
      <c r="BZ353"/>
      <c r="CA353"/>
      <c r="CB353"/>
      <c r="CC353"/>
      <c r="CD353"/>
      <c r="CE353"/>
      <c r="CF353"/>
      <c r="CG353"/>
      <c r="CH353"/>
      <c r="CI353"/>
      <c r="CJ353"/>
      <c r="CK353"/>
      <c r="CL353"/>
      <c r="CM353"/>
      <c r="CN353"/>
      <c r="CO353"/>
      <c r="CP353"/>
      <c r="CQ353"/>
      <c r="CR353"/>
    </row>
    <row r="354">
      <c r="A354"/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  <c r="BY354"/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  <c r="CO354"/>
      <c r="CP354"/>
      <c r="CQ354"/>
      <c r="CR354"/>
    </row>
    <row r="355">
      <c r="A355"/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  <c r="BY355"/>
      <c r="BZ355"/>
      <c r="CA355"/>
      <c r="CB355"/>
      <c r="CC355"/>
      <c r="CD355"/>
      <c r="CE355"/>
      <c r="CF355"/>
      <c r="CG355"/>
      <c r="CH355"/>
      <c r="CI355"/>
      <c r="CJ355"/>
      <c r="CK355"/>
      <c r="CL355"/>
      <c r="CM355"/>
      <c r="CN355"/>
      <c r="CO355"/>
      <c r="CP355"/>
      <c r="CQ355"/>
      <c r="CR355"/>
    </row>
    <row r="356">
      <c r="A356"/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  <c r="BY356"/>
      <c r="BZ356"/>
      <c r="CA356"/>
      <c r="CB356"/>
      <c r="CC356"/>
      <c r="CD356"/>
      <c r="CE356"/>
      <c r="CF356"/>
      <c r="CG356"/>
      <c r="CH356"/>
      <c r="CI356"/>
      <c r="CJ356"/>
      <c r="CK356"/>
      <c r="CL356"/>
      <c r="CM356"/>
      <c r="CN356"/>
      <c r="CO356"/>
      <c r="CP356"/>
      <c r="CQ356"/>
      <c r="CR356"/>
    </row>
    <row r="357">
      <c r="A357"/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A357"/>
      <c r="CB357"/>
      <c r="CC357"/>
      <c r="CD357"/>
      <c r="CE357"/>
      <c r="CF357"/>
      <c r="CG357"/>
      <c r="CH357"/>
      <c r="CI357"/>
      <c r="CJ357"/>
      <c r="CK357"/>
      <c r="CL357"/>
      <c r="CM357"/>
      <c r="CN357"/>
      <c r="CO357"/>
      <c r="CP357"/>
      <c r="CQ357"/>
      <c r="CR357"/>
    </row>
    <row r="358">
      <c r="A358"/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  <c r="BY358"/>
      <c r="BZ358"/>
      <c r="CA358"/>
      <c r="CB358"/>
      <c r="CC358"/>
      <c r="CD358"/>
      <c r="CE358"/>
      <c r="CF358"/>
      <c r="CG358"/>
      <c r="CH358"/>
      <c r="CI358"/>
      <c r="CJ358"/>
      <c r="CK358"/>
      <c r="CL358"/>
      <c r="CM358"/>
      <c r="CN358"/>
      <c r="CO358"/>
      <c r="CP358"/>
      <c r="CQ358"/>
      <c r="CR358"/>
    </row>
    <row r="359">
      <c r="A359"/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  <c r="BY359"/>
      <c r="BZ359"/>
      <c r="CA359"/>
      <c r="CB359"/>
      <c r="CC359"/>
      <c r="CD359"/>
      <c r="CE359"/>
      <c r="CF359"/>
      <c r="CG359"/>
      <c r="CH359"/>
      <c r="CI359"/>
      <c r="CJ359"/>
      <c r="CK359"/>
      <c r="CL359"/>
      <c r="CM359"/>
      <c r="CN359"/>
      <c r="CO359"/>
      <c r="CP359"/>
      <c r="CQ359"/>
      <c r="CR359"/>
    </row>
    <row r="360">
      <c r="A360"/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  <c r="BY360"/>
      <c r="BZ360"/>
      <c r="CA360"/>
      <c r="CB360"/>
      <c r="CC360"/>
      <c r="CD360"/>
      <c r="CE360"/>
      <c r="CF360"/>
      <c r="CG360"/>
      <c r="CH360"/>
      <c r="CI360"/>
      <c r="CJ360"/>
      <c r="CK360"/>
      <c r="CL360"/>
      <c r="CM360"/>
      <c r="CN360"/>
      <c r="CO360"/>
      <c r="CP360"/>
      <c r="CQ360"/>
      <c r="CR360"/>
    </row>
    <row r="361">
      <c r="A361"/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  <c r="BY361"/>
      <c r="BZ361"/>
      <c r="CA361"/>
      <c r="CB361"/>
      <c r="CC361"/>
      <c r="CD361"/>
      <c r="CE361"/>
      <c r="CF361"/>
      <c r="CG361"/>
      <c r="CH361"/>
      <c r="CI361"/>
      <c r="CJ361"/>
      <c r="CK361"/>
      <c r="CL361"/>
      <c r="CM361"/>
      <c r="CN361"/>
      <c r="CO361"/>
      <c r="CP361"/>
      <c r="CQ361"/>
      <c r="CR361"/>
    </row>
    <row r="362">
      <c r="A362"/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A362"/>
      <c r="CB362"/>
      <c r="CC362"/>
      <c r="CD362"/>
      <c r="CE362"/>
      <c r="CF362"/>
      <c r="CG362"/>
      <c r="CH362"/>
      <c r="CI362"/>
      <c r="CJ362"/>
      <c r="CK362"/>
      <c r="CL362"/>
      <c r="CM362"/>
      <c r="CN362"/>
      <c r="CO362"/>
      <c r="CP362"/>
      <c r="CQ362"/>
      <c r="CR362"/>
    </row>
    <row r="363">
      <c r="A363"/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  <c r="BY363"/>
      <c r="BZ363"/>
      <c r="CA363"/>
      <c r="CB363"/>
      <c r="CC363"/>
      <c r="CD363"/>
      <c r="CE363"/>
      <c r="CF363"/>
      <c r="CG363"/>
      <c r="CH363"/>
      <c r="CI363"/>
      <c r="CJ363"/>
      <c r="CK363"/>
      <c r="CL363"/>
      <c r="CM363"/>
      <c r="CN363"/>
      <c r="CO363"/>
      <c r="CP363"/>
      <c r="CQ363"/>
      <c r="CR363"/>
    </row>
    <row r="364">
      <c r="A364"/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  <c r="CG364"/>
      <c r="CH364"/>
      <c r="CI364"/>
      <c r="CJ364"/>
      <c r="CK364"/>
      <c r="CL364"/>
      <c r="CM364"/>
      <c r="CN364"/>
      <c r="CO364"/>
      <c r="CP364"/>
      <c r="CQ364"/>
      <c r="CR364"/>
    </row>
    <row r="365">
      <c r="A365"/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  <c r="BY365"/>
      <c r="BZ365"/>
      <c r="CA365"/>
      <c r="CB365"/>
      <c r="CC365"/>
      <c r="CD365"/>
      <c r="CE365"/>
      <c r="CF365"/>
      <c r="CG365"/>
      <c r="CH365"/>
      <c r="CI365"/>
      <c r="CJ365"/>
      <c r="CK365"/>
      <c r="CL365"/>
      <c r="CM365"/>
      <c r="CN365"/>
      <c r="CO365"/>
      <c r="CP365"/>
      <c r="CQ365"/>
      <c r="CR365"/>
    </row>
    <row r="366">
      <c r="A366"/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  <c r="BY366"/>
      <c r="BZ366"/>
      <c r="CA366"/>
      <c r="CB366"/>
      <c r="CC366"/>
      <c r="CD366"/>
      <c r="CE366"/>
      <c r="CF366"/>
      <c r="CG366"/>
      <c r="CH366"/>
      <c r="CI366"/>
      <c r="CJ366"/>
      <c r="CK366"/>
      <c r="CL366"/>
      <c r="CM366"/>
      <c r="CN366"/>
      <c r="CO366"/>
      <c r="CP366"/>
      <c r="CQ366"/>
      <c r="CR366"/>
    </row>
    <row r="367">
      <c r="A367"/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  <c r="CF367"/>
      <c r="CG367"/>
      <c r="CH367"/>
      <c r="CI367"/>
      <c r="CJ367"/>
      <c r="CK367"/>
      <c r="CL367"/>
      <c r="CM367"/>
      <c r="CN367"/>
      <c r="CO367"/>
      <c r="CP367"/>
      <c r="CQ367"/>
      <c r="CR367"/>
    </row>
    <row r="368">
      <c r="A368"/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  <c r="CG368"/>
      <c r="CH368"/>
      <c r="CI368"/>
      <c r="CJ368"/>
      <c r="CK368"/>
      <c r="CL368"/>
      <c r="CM368"/>
      <c r="CN368"/>
      <c r="CO368"/>
      <c r="CP368"/>
      <c r="CQ368"/>
      <c r="CR368"/>
    </row>
    <row r="369">
      <c r="A369"/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  <c r="BY369"/>
      <c r="BZ369"/>
      <c r="CA369"/>
      <c r="CB369"/>
      <c r="CC369"/>
      <c r="CD369"/>
      <c r="CE369"/>
      <c r="CF369"/>
      <c r="CG369"/>
      <c r="CH369"/>
      <c r="CI369"/>
      <c r="CJ369"/>
      <c r="CK369"/>
      <c r="CL369"/>
      <c r="CM369"/>
      <c r="CN369"/>
      <c r="CO369"/>
      <c r="CP369"/>
      <c r="CQ369"/>
      <c r="CR369"/>
    </row>
    <row r="370">
      <c r="A370"/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  <c r="CF370"/>
      <c r="CG370"/>
      <c r="CH370"/>
      <c r="CI370"/>
      <c r="CJ370"/>
      <c r="CK370"/>
      <c r="CL370"/>
      <c r="CM370"/>
      <c r="CN370"/>
      <c r="CO370"/>
      <c r="CP370"/>
      <c r="CQ370"/>
      <c r="CR370"/>
    </row>
    <row r="371">
      <c r="A371"/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  <c r="CF371"/>
      <c r="CG371"/>
      <c r="CH371"/>
      <c r="CI371"/>
      <c r="CJ371"/>
      <c r="CK371"/>
      <c r="CL371"/>
      <c r="CM371"/>
      <c r="CN371"/>
      <c r="CO371"/>
      <c r="CP371"/>
      <c r="CQ371"/>
      <c r="CR371"/>
    </row>
    <row r="372">
      <c r="A372"/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  <c r="BY372"/>
      <c r="BZ372"/>
      <c r="CA372"/>
      <c r="CB372"/>
      <c r="CC372"/>
      <c r="CD372"/>
      <c r="CE372"/>
      <c r="CF372"/>
      <c r="CG372"/>
      <c r="CH372"/>
      <c r="CI372"/>
      <c r="CJ372"/>
      <c r="CK372"/>
      <c r="CL372"/>
      <c r="CM372"/>
      <c r="CN372"/>
      <c r="CO372"/>
      <c r="CP372"/>
      <c r="CQ372"/>
      <c r="CR372"/>
    </row>
    <row r="373">
      <c r="A373"/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  <c r="BY373"/>
      <c r="BZ373"/>
      <c r="CA373"/>
      <c r="CB373"/>
      <c r="CC373"/>
      <c r="CD373"/>
      <c r="CE373"/>
      <c r="CF373"/>
      <c r="CG373"/>
      <c r="CH373"/>
      <c r="CI373"/>
      <c r="CJ373"/>
      <c r="CK373"/>
      <c r="CL373"/>
      <c r="CM373"/>
      <c r="CN373"/>
      <c r="CO373"/>
      <c r="CP373"/>
      <c r="CQ373"/>
      <c r="CR373"/>
    </row>
    <row r="374">
      <c r="A374"/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  <c r="BY374"/>
      <c r="BZ374"/>
      <c r="CA374"/>
      <c r="CB374"/>
      <c r="CC374"/>
      <c r="CD374"/>
      <c r="CE374"/>
      <c r="CF374"/>
      <c r="CG374"/>
      <c r="CH374"/>
      <c r="CI374"/>
      <c r="CJ374"/>
      <c r="CK374"/>
      <c r="CL374"/>
      <c r="CM374"/>
      <c r="CN374"/>
      <c r="CO374"/>
      <c r="CP374"/>
      <c r="CQ374"/>
      <c r="CR374"/>
    </row>
    <row r="375">
      <c r="A375"/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  <c r="BY375"/>
      <c r="BZ375"/>
      <c r="CA375"/>
      <c r="CB375"/>
      <c r="CC375"/>
      <c r="CD375"/>
      <c r="CE375"/>
      <c r="CF375"/>
      <c r="CG375"/>
      <c r="CH375"/>
      <c r="CI375"/>
      <c r="CJ375"/>
      <c r="CK375"/>
      <c r="CL375"/>
      <c r="CM375"/>
      <c r="CN375"/>
      <c r="CO375"/>
      <c r="CP375"/>
      <c r="CQ375"/>
      <c r="CR375"/>
    </row>
    <row r="376">
      <c r="A376"/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  <c r="BY376"/>
      <c r="BZ376"/>
      <c r="CA376"/>
      <c r="CB376"/>
      <c r="CC376"/>
      <c r="CD376"/>
      <c r="CE376"/>
      <c r="CF376"/>
      <c r="CG376"/>
      <c r="CH376"/>
      <c r="CI376"/>
      <c r="CJ376"/>
      <c r="CK376"/>
      <c r="CL376"/>
      <c r="CM376"/>
      <c r="CN376"/>
      <c r="CO376"/>
      <c r="CP376"/>
      <c r="CQ376"/>
      <c r="CR376"/>
    </row>
    <row r="377">
      <c r="A377"/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  <c r="BY377"/>
      <c r="BZ377"/>
      <c r="CA377"/>
      <c r="CB377"/>
      <c r="CC377"/>
      <c r="CD377"/>
      <c r="CE377"/>
      <c r="CF377"/>
      <c r="CG377"/>
      <c r="CH377"/>
      <c r="CI377"/>
      <c r="CJ377"/>
      <c r="CK377"/>
      <c r="CL377"/>
      <c r="CM377"/>
      <c r="CN377"/>
      <c r="CO377"/>
      <c r="CP377"/>
      <c r="CQ377"/>
      <c r="CR377"/>
    </row>
    <row r="378">
      <c r="A378"/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  <c r="BY378"/>
      <c r="BZ378"/>
      <c r="CA378"/>
      <c r="CB378"/>
      <c r="CC378"/>
      <c r="CD378"/>
      <c r="CE378"/>
      <c r="CF378"/>
      <c r="CG378"/>
      <c r="CH378"/>
      <c r="CI378"/>
      <c r="CJ378"/>
      <c r="CK378"/>
      <c r="CL378"/>
      <c r="CM378"/>
      <c r="CN378"/>
      <c r="CO378"/>
      <c r="CP378"/>
      <c r="CQ378"/>
      <c r="CR378"/>
    </row>
    <row r="379">
      <c r="A379"/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  <c r="BY379"/>
      <c r="BZ379"/>
      <c r="CA379"/>
      <c r="CB379"/>
      <c r="CC379"/>
      <c r="CD379"/>
      <c r="CE379"/>
      <c r="CF379"/>
      <c r="CG379"/>
      <c r="CH379"/>
      <c r="CI379"/>
      <c r="CJ379"/>
      <c r="CK379"/>
      <c r="CL379"/>
      <c r="CM379"/>
      <c r="CN379"/>
      <c r="CO379"/>
      <c r="CP379"/>
      <c r="CQ379"/>
      <c r="CR379"/>
    </row>
    <row r="380">
      <c r="A380"/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  <c r="BY380"/>
      <c r="BZ380"/>
      <c r="CA380"/>
      <c r="CB380"/>
      <c r="CC380"/>
      <c r="CD380"/>
      <c r="CE380"/>
      <c r="CF380"/>
      <c r="CG380"/>
      <c r="CH380"/>
      <c r="CI380"/>
      <c r="CJ380"/>
      <c r="CK380"/>
      <c r="CL380"/>
      <c r="CM380"/>
      <c r="CN380"/>
      <c r="CO380"/>
      <c r="CP380"/>
      <c r="CQ380"/>
      <c r="CR380"/>
    </row>
    <row r="381">
      <c r="A381"/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  <c r="BY381"/>
      <c r="BZ381"/>
      <c r="CA381"/>
      <c r="CB381"/>
      <c r="CC381"/>
      <c r="CD381"/>
      <c r="CE381"/>
      <c r="CF381"/>
      <c r="CG381"/>
      <c r="CH381"/>
      <c r="CI381"/>
      <c r="CJ381"/>
      <c r="CK381"/>
      <c r="CL381"/>
      <c r="CM381"/>
      <c r="CN381"/>
      <c r="CO381"/>
      <c r="CP381"/>
      <c r="CQ381"/>
      <c r="CR381"/>
    </row>
    <row r="382">
      <c r="A382"/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  <c r="CF382"/>
      <c r="CG382"/>
      <c r="CH382"/>
      <c r="CI382"/>
      <c r="CJ382"/>
      <c r="CK382"/>
      <c r="CL382"/>
      <c r="CM382"/>
      <c r="CN382"/>
      <c r="CO382"/>
      <c r="CP382"/>
      <c r="CQ382"/>
      <c r="CR382"/>
    </row>
    <row r="383">
      <c r="A383"/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  <c r="CF383"/>
      <c r="CG383"/>
      <c r="CH383"/>
      <c r="CI383"/>
      <c r="CJ383"/>
      <c r="CK383"/>
      <c r="CL383"/>
      <c r="CM383"/>
      <c r="CN383"/>
      <c r="CO383"/>
      <c r="CP383"/>
      <c r="CQ383"/>
      <c r="CR383"/>
    </row>
    <row r="384">
      <c r="A384"/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  <c r="CD384"/>
      <c r="CE384"/>
      <c r="CF384"/>
      <c r="CG384"/>
      <c r="CH384"/>
      <c r="CI384"/>
      <c r="CJ384"/>
      <c r="CK384"/>
      <c r="CL384"/>
      <c r="CM384"/>
      <c r="CN384"/>
      <c r="CO384"/>
      <c r="CP384"/>
      <c r="CQ384"/>
      <c r="CR384"/>
    </row>
    <row r="385">
      <c r="A385"/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  <c r="CD385"/>
      <c r="CE385"/>
      <c r="CF385"/>
      <c r="CG385"/>
      <c r="CH385"/>
      <c r="CI385"/>
      <c r="CJ385"/>
      <c r="CK385"/>
      <c r="CL385"/>
      <c r="CM385"/>
      <c r="CN385"/>
      <c r="CO385"/>
      <c r="CP385"/>
      <c r="CQ385"/>
      <c r="CR385"/>
    </row>
    <row r="386">
      <c r="A386"/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  <c r="BY386"/>
      <c r="BZ386"/>
      <c r="CA386"/>
      <c r="CB386"/>
      <c r="CC386"/>
      <c r="CD386"/>
      <c r="CE386"/>
      <c r="CF386"/>
      <c r="CG386"/>
      <c r="CH386"/>
      <c r="CI386"/>
      <c r="CJ386"/>
      <c r="CK386"/>
      <c r="CL386"/>
      <c r="CM386"/>
      <c r="CN386"/>
      <c r="CO386"/>
      <c r="CP386"/>
      <c r="CQ386"/>
      <c r="CR386"/>
    </row>
    <row r="387">
      <c r="A387"/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  <c r="BY387"/>
      <c r="BZ387"/>
      <c r="CA387"/>
      <c r="CB387"/>
      <c r="CC387"/>
      <c r="CD387"/>
      <c r="CE387"/>
      <c r="CF387"/>
      <c r="CG387"/>
      <c r="CH387"/>
      <c r="CI387"/>
      <c r="CJ387"/>
      <c r="CK387"/>
      <c r="CL387"/>
      <c r="CM387"/>
      <c r="CN387"/>
      <c r="CO387"/>
      <c r="CP387"/>
      <c r="CQ387"/>
      <c r="CR387"/>
    </row>
    <row r="388">
      <c r="A388"/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  <c r="BY388"/>
      <c r="BZ388"/>
      <c r="CA388"/>
      <c r="CB388"/>
      <c r="CC388"/>
      <c r="CD388"/>
      <c r="CE388"/>
      <c r="CF388"/>
      <c r="CG388"/>
      <c r="CH388"/>
      <c r="CI388"/>
      <c r="CJ388"/>
      <c r="CK388"/>
      <c r="CL388"/>
      <c r="CM388"/>
      <c r="CN388"/>
      <c r="CO388"/>
      <c r="CP388"/>
      <c r="CQ388"/>
      <c r="CR388"/>
    </row>
    <row r="389">
      <c r="A389"/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  <c r="BY389"/>
      <c r="BZ389"/>
      <c r="CA389"/>
      <c r="CB389"/>
      <c r="CC389"/>
      <c r="CD389"/>
      <c r="CE389"/>
      <c r="CF389"/>
      <c r="CG389"/>
      <c r="CH389"/>
      <c r="CI389"/>
      <c r="CJ389"/>
      <c r="CK389"/>
      <c r="CL389"/>
      <c r="CM389"/>
      <c r="CN389"/>
      <c r="CO389"/>
      <c r="CP389"/>
      <c r="CQ389"/>
      <c r="CR389"/>
    </row>
    <row r="390">
      <c r="A390"/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  <c r="BY390"/>
      <c r="BZ390"/>
      <c r="CA390"/>
      <c r="CB390"/>
      <c r="CC390"/>
      <c r="CD390"/>
      <c r="CE390"/>
      <c r="CF390"/>
      <c r="CG390"/>
      <c r="CH390"/>
      <c r="CI390"/>
      <c r="CJ390"/>
      <c r="CK390"/>
      <c r="CL390"/>
      <c r="CM390"/>
      <c r="CN390"/>
      <c r="CO390"/>
      <c r="CP390"/>
      <c r="CQ390"/>
      <c r="CR390"/>
    </row>
    <row r="391">
      <c r="A391"/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  <c r="BY391"/>
      <c r="BZ391"/>
      <c r="CA391"/>
      <c r="CB391"/>
      <c r="CC391"/>
      <c r="CD391"/>
      <c r="CE391"/>
      <c r="CF391"/>
      <c r="CG391"/>
      <c r="CH391"/>
      <c r="CI391"/>
      <c r="CJ391"/>
      <c r="CK391"/>
      <c r="CL391"/>
      <c r="CM391"/>
      <c r="CN391"/>
      <c r="CO391"/>
      <c r="CP391"/>
      <c r="CQ391"/>
      <c r="CR391"/>
    </row>
    <row r="392">
      <c r="A392"/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  <c r="BY392"/>
      <c r="BZ392"/>
      <c r="CA392"/>
      <c r="CB392"/>
      <c r="CC392"/>
      <c r="CD392"/>
      <c r="CE392"/>
      <c r="CF392"/>
      <c r="CG392"/>
      <c r="CH392"/>
      <c r="CI392"/>
      <c r="CJ392"/>
      <c r="CK392"/>
      <c r="CL392"/>
      <c r="CM392"/>
      <c r="CN392"/>
      <c r="CO392"/>
      <c r="CP392"/>
      <c r="CQ392"/>
      <c r="CR392"/>
    </row>
    <row r="393">
      <c r="A393"/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  <c r="BY393"/>
      <c r="BZ393"/>
      <c r="CA393"/>
      <c r="CB393"/>
      <c r="CC393"/>
      <c r="CD393"/>
      <c r="CE393"/>
      <c r="CF393"/>
      <c r="CG393"/>
      <c r="CH393"/>
      <c r="CI393"/>
      <c r="CJ393"/>
      <c r="CK393"/>
      <c r="CL393"/>
      <c r="CM393"/>
      <c r="CN393"/>
      <c r="CO393"/>
      <c r="CP393"/>
      <c r="CQ393"/>
      <c r="CR393"/>
    </row>
    <row r="394">
      <c r="A394"/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  <c r="CG394"/>
      <c r="CH394"/>
      <c r="CI394"/>
      <c r="CJ394"/>
      <c r="CK394"/>
      <c r="CL394"/>
      <c r="CM394"/>
      <c r="CN394"/>
      <c r="CO394"/>
      <c r="CP394"/>
      <c r="CQ394"/>
      <c r="CR394"/>
    </row>
    <row r="395">
      <c r="A395"/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  <c r="CG395"/>
      <c r="CH395"/>
      <c r="CI395"/>
      <c r="CJ395"/>
      <c r="CK395"/>
      <c r="CL395"/>
      <c r="CM395"/>
      <c r="CN395"/>
      <c r="CO395"/>
      <c r="CP395"/>
      <c r="CQ395"/>
      <c r="CR395"/>
    </row>
    <row r="396">
      <c r="A396"/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  <c r="CG396"/>
      <c r="CH396"/>
      <c r="CI396"/>
      <c r="CJ396"/>
      <c r="CK396"/>
      <c r="CL396"/>
      <c r="CM396"/>
      <c r="CN396"/>
      <c r="CO396"/>
      <c r="CP396"/>
      <c r="CQ396"/>
      <c r="CR396"/>
    </row>
    <row r="397">
      <c r="A397"/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  <c r="CG397"/>
      <c r="CH397"/>
      <c r="CI397"/>
      <c r="CJ397"/>
      <c r="CK397"/>
      <c r="CL397"/>
      <c r="CM397"/>
      <c r="CN397"/>
      <c r="CO397"/>
      <c r="CP397"/>
      <c r="CQ397"/>
      <c r="CR397"/>
    </row>
    <row r="398">
      <c r="A398"/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  <c r="CG398"/>
      <c r="CH398"/>
      <c r="CI398"/>
      <c r="CJ398"/>
      <c r="CK398"/>
      <c r="CL398"/>
      <c r="CM398"/>
      <c r="CN398"/>
      <c r="CO398"/>
      <c r="CP398"/>
      <c r="CQ398"/>
      <c r="CR398"/>
    </row>
    <row r="399">
      <c r="A399"/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  <c r="BY399"/>
      <c r="BZ399"/>
      <c r="CA399"/>
      <c r="CB399"/>
      <c r="CC399"/>
      <c r="CD399"/>
      <c r="CE399"/>
      <c r="CF399"/>
      <c r="CG399"/>
      <c r="CH399"/>
      <c r="CI399"/>
      <c r="CJ399"/>
      <c r="CK399"/>
      <c r="CL399"/>
      <c r="CM399"/>
      <c r="CN399"/>
      <c r="CO399"/>
      <c r="CP399"/>
      <c r="CQ399"/>
      <c r="CR399"/>
    </row>
    <row r="400">
      <c r="A400"/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  <c r="BY400"/>
      <c r="BZ400"/>
      <c r="CA400"/>
      <c r="CB400"/>
      <c r="CC400"/>
      <c r="CD400"/>
      <c r="CE400"/>
      <c r="CF400"/>
      <c r="CG400"/>
      <c r="CH400"/>
      <c r="CI400"/>
      <c r="CJ400"/>
      <c r="CK400"/>
      <c r="CL400"/>
      <c r="CM400"/>
      <c r="CN400"/>
      <c r="CO400"/>
      <c r="CP400"/>
      <c r="CQ400"/>
      <c r="CR400"/>
    </row>
    <row r="401">
      <c r="A401"/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  <c r="BY401"/>
      <c r="BZ401"/>
      <c r="CA401"/>
      <c r="CB401"/>
      <c r="CC401"/>
      <c r="CD401"/>
      <c r="CE401"/>
      <c r="CF401"/>
      <c r="CG401"/>
      <c r="CH401"/>
      <c r="CI401"/>
      <c r="CJ401"/>
      <c r="CK401"/>
      <c r="CL401"/>
      <c r="CM401"/>
      <c r="CN401"/>
      <c r="CO401"/>
      <c r="CP401"/>
      <c r="CQ401"/>
      <c r="CR401"/>
    </row>
    <row r="402">
      <c r="A402"/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  <c r="BY402"/>
      <c r="BZ402"/>
      <c r="CA402"/>
      <c r="CB402"/>
      <c r="CC402"/>
      <c r="CD402"/>
      <c r="CE402"/>
      <c r="CF402"/>
      <c r="CG402"/>
      <c r="CH402"/>
      <c r="CI402"/>
      <c r="CJ402"/>
      <c r="CK402"/>
      <c r="CL402"/>
      <c r="CM402"/>
      <c r="CN402"/>
      <c r="CO402"/>
      <c r="CP402"/>
      <c r="CQ402"/>
      <c r="CR402"/>
    </row>
    <row r="403">
      <c r="A403"/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A403"/>
      <c r="CB403"/>
      <c r="CC403"/>
      <c r="CD403"/>
      <c r="CE403"/>
      <c r="CF403"/>
      <c r="CG403"/>
      <c r="CH403"/>
      <c r="CI403"/>
      <c r="CJ403"/>
      <c r="CK403"/>
      <c r="CL403"/>
      <c r="CM403"/>
      <c r="CN403"/>
      <c r="CO403"/>
      <c r="CP403"/>
      <c r="CQ403"/>
      <c r="CR403"/>
    </row>
    <row r="404">
      <c r="A404"/>
      <c r="B404"/>
      <c r="C404"/>
      <c r="D404"/>
      <c r="E404"/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  <c r="BY404"/>
      <c r="BZ404"/>
      <c r="CA404"/>
      <c r="CB404"/>
      <c r="CC404"/>
      <c r="CD404"/>
      <c r="CE404"/>
      <c r="CF404"/>
      <c r="CG404"/>
      <c r="CH404"/>
      <c r="CI404"/>
      <c r="CJ404"/>
      <c r="CK404"/>
      <c r="CL404"/>
      <c r="CM404"/>
      <c r="CN404"/>
      <c r="CO404"/>
      <c r="CP404"/>
      <c r="CQ404"/>
      <c r="CR404"/>
    </row>
    <row r="405">
      <c r="A405"/>
      <c r="B405"/>
      <c r="C405"/>
      <c r="D405"/>
      <c r="E405"/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  <c r="BY405"/>
      <c r="BZ405"/>
      <c r="CA405"/>
      <c r="CB405"/>
      <c r="CC405"/>
      <c r="CD405"/>
      <c r="CE405"/>
      <c r="CF405"/>
      <c r="CG405"/>
      <c r="CH405"/>
      <c r="CI405"/>
      <c r="CJ405"/>
      <c r="CK405"/>
      <c r="CL405"/>
      <c r="CM405"/>
      <c r="CN405"/>
      <c r="CO405"/>
      <c r="CP405"/>
      <c r="CQ405"/>
      <c r="CR405"/>
    </row>
    <row r="406">
      <c r="A406"/>
      <c r="B406"/>
      <c r="C406"/>
      <c r="D406"/>
      <c r="E406"/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  <c r="BY406"/>
      <c r="BZ406"/>
      <c r="CA406"/>
      <c r="CB406"/>
      <c r="CC406"/>
      <c r="CD406"/>
      <c r="CE406"/>
      <c r="CF406"/>
      <c r="CG406"/>
      <c r="CH406"/>
      <c r="CI406"/>
      <c r="CJ406"/>
      <c r="CK406"/>
      <c r="CL406"/>
      <c r="CM406"/>
      <c r="CN406"/>
      <c r="CO406"/>
      <c r="CP406"/>
      <c r="CQ406"/>
      <c r="CR406"/>
    </row>
    <row r="407">
      <c r="A407"/>
      <c r="B407"/>
      <c r="C407"/>
      <c r="D407"/>
      <c r="E407"/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  <c r="BY407"/>
      <c r="BZ407"/>
      <c r="CA407"/>
      <c r="CB407"/>
      <c r="CC407"/>
      <c r="CD407"/>
      <c r="CE407"/>
      <c r="CF407"/>
      <c r="CG407"/>
      <c r="CH407"/>
      <c r="CI407"/>
      <c r="CJ407"/>
      <c r="CK407"/>
      <c r="CL407"/>
      <c r="CM407"/>
      <c r="CN407"/>
      <c r="CO407"/>
      <c r="CP407"/>
      <c r="CQ407"/>
      <c r="CR407"/>
    </row>
    <row r="408">
      <c r="A408"/>
      <c r="B408"/>
      <c r="C408"/>
      <c r="D408"/>
      <c r="E408"/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  <c r="BY408"/>
      <c r="BZ408"/>
      <c r="CA408"/>
      <c r="CB408"/>
      <c r="CC408"/>
      <c r="CD408"/>
      <c r="CE408"/>
      <c r="CF408"/>
      <c r="CG408"/>
      <c r="CH408"/>
      <c r="CI408"/>
      <c r="CJ408"/>
      <c r="CK408"/>
      <c r="CL408"/>
      <c r="CM408"/>
      <c r="CN408"/>
      <c r="CO408"/>
      <c r="CP408"/>
      <c r="CQ408"/>
      <c r="CR408"/>
    </row>
    <row r="409">
      <c r="A409"/>
      <c r="B409"/>
      <c r="C409"/>
      <c r="D409"/>
      <c r="E409"/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  <c r="BY409"/>
      <c r="BZ409"/>
      <c r="CA409"/>
      <c r="CB409"/>
      <c r="CC409"/>
      <c r="CD409"/>
      <c r="CE409"/>
      <c r="CF409"/>
      <c r="CG409"/>
      <c r="CH409"/>
      <c r="CI409"/>
      <c r="CJ409"/>
      <c r="CK409"/>
      <c r="CL409"/>
      <c r="CM409"/>
      <c r="CN409"/>
      <c r="CO409"/>
      <c r="CP409"/>
      <c r="CQ409"/>
      <c r="CR409"/>
    </row>
    <row r="410">
      <c r="A410"/>
      <c r="B410"/>
      <c r="C410"/>
      <c r="D410"/>
      <c r="E410"/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  <c r="BY410"/>
      <c r="BZ410"/>
      <c r="CA410"/>
      <c r="CB410"/>
      <c r="CC410"/>
      <c r="CD410"/>
      <c r="CE410"/>
      <c r="CF410"/>
      <c r="CG410"/>
      <c r="CH410"/>
      <c r="CI410"/>
      <c r="CJ410"/>
      <c r="CK410"/>
      <c r="CL410"/>
      <c r="CM410"/>
      <c r="CN410"/>
      <c r="CO410"/>
      <c r="CP410"/>
      <c r="CQ410"/>
      <c r="CR410"/>
    </row>
    <row r="411">
      <c r="A411"/>
      <c r="B411"/>
      <c r="C411"/>
      <c r="D411"/>
      <c r="E411"/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  <c r="BY411"/>
      <c r="BZ411"/>
      <c r="CA411"/>
      <c r="CB411"/>
      <c r="CC411"/>
      <c r="CD411"/>
      <c r="CE411"/>
      <c r="CF411"/>
      <c r="CG411"/>
      <c r="CH411"/>
      <c r="CI411"/>
      <c r="CJ411"/>
      <c r="CK411"/>
      <c r="CL411"/>
      <c r="CM411"/>
      <c r="CN411"/>
      <c r="CO411"/>
      <c r="CP411"/>
      <c r="CQ411"/>
      <c r="CR411"/>
    </row>
    <row r="412">
      <c r="A412"/>
      <c r="B412"/>
      <c r="C412"/>
      <c r="D412"/>
      <c r="E412"/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  <c r="BY412"/>
      <c r="BZ412"/>
      <c r="CA412"/>
      <c r="CB412"/>
      <c r="CC412"/>
      <c r="CD412"/>
      <c r="CE412"/>
      <c r="CF412"/>
      <c r="CG412"/>
      <c r="CH412"/>
      <c r="CI412"/>
      <c r="CJ412"/>
      <c r="CK412"/>
      <c r="CL412"/>
      <c r="CM412"/>
      <c r="CN412"/>
      <c r="CO412"/>
      <c r="CP412"/>
      <c r="CQ412"/>
      <c r="CR412"/>
    </row>
    <row r="413">
      <c r="A413"/>
      <c r="B413"/>
      <c r="C413"/>
      <c r="D413"/>
      <c r="E413"/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  <c r="BY413"/>
      <c r="BZ413"/>
      <c r="CA413"/>
      <c r="CB413"/>
      <c r="CC413"/>
      <c r="CD413"/>
      <c r="CE413"/>
      <c r="CF413"/>
      <c r="CG413"/>
      <c r="CH413"/>
      <c r="CI413"/>
      <c r="CJ413"/>
      <c r="CK413"/>
      <c r="CL413"/>
      <c r="CM413"/>
      <c r="CN413"/>
      <c r="CO413"/>
      <c r="CP413"/>
      <c r="CQ413"/>
      <c r="CR413"/>
    </row>
    <row r="414">
      <c r="A414"/>
      <c r="B414"/>
      <c r="C414"/>
      <c r="D414"/>
      <c r="E414"/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  <c r="BY414"/>
      <c r="BZ414"/>
      <c r="CA414"/>
      <c r="CB414"/>
      <c r="CC414"/>
      <c r="CD414"/>
      <c r="CE414"/>
      <c r="CF414"/>
      <c r="CG414"/>
      <c r="CH414"/>
      <c r="CI414"/>
      <c r="CJ414"/>
      <c r="CK414"/>
      <c r="CL414"/>
      <c r="CM414"/>
      <c r="CN414"/>
      <c r="CO414"/>
      <c r="CP414"/>
      <c r="CQ414"/>
      <c r="CR414"/>
    </row>
    <row r="415">
      <c r="A415"/>
      <c r="B415"/>
      <c r="C415"/>
      <c r="D415"/>
      <c r="E415"/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  <c r="CG415"/>
      <c r="CH415"/>
      <c r="CI415"/>
      <c r="CJ415"/>
      <c r="CK415"/>
      <c r="CL415"/>
      <c r="CM415"/>
      <c r="CN415"/>
      <c r="CO415"/>
      <c r="CP415"/>
      <c r="CQ415"/>
      <c r="CR415"/>
    </row>
    <row r="416">
      <c r="A416"/>
      <c r="B416"/>
      <c r="C416"/>
      <c r="D416"/>
      <c r="E416"/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  <c r="BY416"/>
      <c r="BZ416"/>
      <c r="CA416"/>
      <c r="CB416"/>
      <c r="CC416"/>
      <c r="CD416"/>
      <c r="CE416"/>
      <c r="CF416"/>
      <c r="CG416"/>
      <c r="CH416"/>
      <c r="CI416"/>
      <c r="CJ416"/>
      <c r="CK416"/>
      <c r="CL416"/>
      <c r="CM416"/>
      <c r="CN416"/>
      <c r="CO416"/>
      <c r="CP416"/>
      <c r="CQ416"/>
      <c r="CR416"/>
    </row>
    <row r="417">
      <c r="A417"/>
      <c r="B417"/>
      <c r="C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  <c r="BY417"/>
      <c r="BZ417"/>
      <c r="CA417"/>
      <c r="CB417"/>
      <c r="CC417"/>
      <c r="CD417"/>
      <c r="CE417"/>
      <c r="CF417"/>
      <c r="CG417"/>
      <c r="CH417"/>
      <c r="CI417"/>
      <c r="CJ417"/>
      <c r="CK417"/>
      <c r="CL417"/>
      <c r="CM417"/>
      <c r="CN417"/>
      <c r="CO417"/>
      <c r="CP417"/>
      <c r="CQ417"/>
      <c r="CR417"/>
    </row>
    <row r="418">
      <c r="A418"/>
      <c r="B418"/>
      <c r="C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  <c r="BY418"/>
      <c r="BZ418"/>
      <c r="CA418"/>
      <c r="CB418"/>
      <c r="CC418"/>
      <c r="CD418"/>
      <c r="CE418"/>
      <c r="CF418"/>
      <c r="CG418"/>
      <c r="CH418"/>
      <c r="CI418"/>
      <c r="CJ418"/>
      <c r="CK418"/>
      <c r="CL418"/>
      <c r="CM418"/>
      <c r="CN418"/>
      <c r="CO418"/>
      <c r="CP418"/>
      <c r="CQ418"/>
      <c r="CR418"/>
    </row>
    <row r="419">
      <c r="A419"/>
      <c r="B419"/>
      <c r="C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  <c r="BY419"/>
      <c r="BZ419"/>
      <c r="CA419"/>
      <c r="CB419"/>
      <c r="CC419"/>
      <c r="CD419"/>
      <c r="CE419"/>
      <c r="CF419"/>
      <c r="CG419"/>
      <c r="CH419"/>
      <c r="CI419"/>
      <c r="CJ419"/>
      <c r="CK419"/>
      <c r="CL419"/>
      <c r="CM419"/>
      <c r="CN419"/>
      <c r="CO419"/>
      <c r="CP419"/>
      <c r="CQ419"/>
      <c r="CR419"/>
    </row>
  </sheetData>
  <conditionalFormatting sqref="B6:H11">
    <cfRule type="expression" dxfId="84" priority="2">
      <formula>AND(B6&lt;&gt;"",COUNTIFS($B$15:$B$45,DATE($B$2,1,B6),$C$15:$C$45,"?*")&gt;0)</formula>
    </cfRule>
  </conditionalFormatting>
  <conditionalFormatting sqref="B6:H11">
    <cfRule type="expression" dxfId="106" priority="1">
      <formula>AND(B6&lt;&gt;"",DATE($B$2,1,B6)=TODAY())</formula>
    </cfRule>
  </conditionalFormatting>
  <conditionalFormatting sqref="J6:P11">
    <cfRule type="expression" dxfId="85" priority="4">
      <formula>AND(J6&lt;&gt;"",COUNTIFS($J$15:$J$43,DATE($B$2,2,J6),$K$15:$K$43,"?*")&gt;0)</formula>
    </cfRule>
  </conditionalFormatting>
  <conditionalFormatting sqref="J6:P11">
    <cfRule type="expression" dxfId="105" priority="3">
      <formula>AND(J6&lt;&gt;"",DATE($B$2,2,J6)=TODAY())</formula>
    </cfRule>
  </conditionalFormatting>
  <conditionalFormatting sqref="R6:X11">
    <cfRule type="expression" dxfId="86" priority="6">
      <formula>AND(R6&lt;&gt;"",COUNTIFS($R$15:$R$45,DATE($B$2,3,R6),$S$15:$S$45,"?*")&gt;0)</formula>
    </cfRule>
  </conditionalFormatting>
  <conditionalFormatting sqref="R6:X11">
    <cfRule type="expression" dxfId="99" priority="5">
      <formula>AND(R6&lt;&gt;"",DATE($B$2,3,R6)=TODAY())</formula>
    </cfRule>
  </conditionalFormatting>
  <conditionalFormatting sqref="Z6:AF11">
    <cfRule type="expression" dxfId="87" priority="8">
      <formula>AND(Z6&lt;&gt;"",COUNTIFS($Z$15:$Z$44,DATE($B$2,4,Z6),$AA$15:$AA$44,"?*")&gt;0)</formula>
    </cfRule>
  </conditionalFormatting>
  <conditionalFormatting sqref="Z6:AF11">
    <cfRule type="expression" dxfId="100" priority="7">
      <formula>AND(Z6&lt;&gt;"",DATE($B$2,4,Z6)=TODAY())</formula>
    </cfRule>
  </conditionalFormatting>
  <conditionalFormatting sqref="AH6:AN11">
    <cfRule type="expression" dxfId="88" priority="10">
      <formula>AND(AH6&lt;&gt;"",COUNTIFS($AH$15:$AH$45,DATE($B$2,5,AH6),$AI$15:$AI$45,"?*")&gt;0)</formula>
    </cfRule>
  </conditionalFormatting>
  <conditionalFormatting sqref="AH6:AN11">
    <cfRule type="expression" dxfId="107" priority="9">
      <formula>AND(AH6&lt;&gt;"",DATE($B$2,5,AH6)=TODAY())</formula>
    </cfRule>
  </conditionalFormatting>
  <conditionalFormatting sqref="AP6:AV11">
    <cfRule type="expression" dxfId="89" priority="12">
      <formula>AND(AP6&lt;&gt;"",COUNTIFS($AP$15:$AP$44,DATE($B$2,6,AP6),$AQ$15:$AQ$44,"?*")&gt;0)</formula>
    </cfRule>
  </conditionalFormatting>
  <conditionalFormatting sqref="AP6:AV11">
    <cfRule type="expression" dxfId="97" priority="11">
      <formula>AND(AP6&lt;&gt;"",DATE($B$2,6,AP6)=TODAY())</formula>
    </cfRule>
  </conditionalFormatting>
  <conditionalFormatting sqref="AX6:BD11">
    <cfRule type="expression" dxfId="95" priority="14">
      <formula>AND(AX6&lt;&gt;"",COUNTIFS($AX$15:$AX$45,DATE($B$2,7,AX6),$AY$15:$AY$45,"?*")&gt;0)</formula>
    </cfRule>
  </conditionalFormatting>
  <conditionalFormatting sqref="AX6:BD11">
    <cfRule type="expression" dxfId="104" priority="13">
      <formula>AND(AX6&lt;&gt;"",DATE($B$2,7,AX6)=TODAY())</formula>
    </cfRule>
  </conditionalFormatting>
  <conditionalFormatting sqref="BF6:BL11">
    <cfRule type="expression" dxfId="94" priority="16">
      <formula>AND(BF6&lt;&gt;"",COUNTIFS($BF$15:$BF$45,DATE($B$2,8,BF6),$BG$15:$BG$45,"?*")&gt;0)</formula>
    </cfRule>
  </conditionalFormatting>
  <conditionalFormatting sqref="BF6:BL11">
    <cfRule type="expression" dxfId="103" priority="15">
      <formula>AND(BF6&lt;&gt;"",DATE($B$2,8,BF6)=TODAY())</formula>
    </cfRule>
  </conditionalFormatting>
  <conditionalFormatting sqref="BN6:BT11">
    <cfRule type="expression" dxfId="93" priority="18">
      <formula>AND(BN6&lt;&gt;"",COUNTIFS($BN$15:$BN$44,DATE($B$2,9,BN6),$BO$15:$BO$44,"?*")&gt;0)</formula>
    </cfRule>
  </conditionalFormatting>
  <conditionalFormatting sqref="BN6:BT11">
    <cfRule type="expression" dxfId="102" priority="17">
      <formula>AND(BN6&lt;&gt;"",DATE($B$2,9,BN6)=TODAY())</formula>
    </cfRule>
  </conditionalFormatting>
  <conditionalFormatting sqref="BV6:CB11">
    <cfRule type="expression" dxfId="92" priority="20">
      <formula>AND(BV6&lt;&gt;"",COUNTIFS($BV$15:$BV$45,DATE($B$2,10,BV6),$BW$15:$BW$45,"?*")&gt;0)</formula>
    </cfRule>
  </conditionalFormatting>
  <conditionalFormatting sqref="BV6:CB11">
    <cfRule type="expression" dxfId="101" priority="19">
      <formula>AND(BV6&lt;&gt;"",DATE($B$2,10,BV6)=TODAY())</formula>
    </cfRule>
  </conditionalFormatting>
  <conditionalFormatting sqref="CD6:CJ11">
    <cfRule type="expression" dxfId="91" priority="22">
      <formula>AND(CD6&lt;&gt;"",COUNTIFS($CD$15:$CD$44,DATE($B$2,11,CD6),$CE$15:$CE$44,"?*")&gt;0)</formula>
    </cfRule>
  </conditionalFormatting>
  <conditionalFormatting sqref="CD6:CJ11">
    <cfRule type="expression" dxfId="98" priority="21">
      <formula>AND(CD6&lt;&gt;"",DATE($B$2,11,CD6)=TODAY())</formula>
    </cfRule>
  </conditionalFormatting>
  <conditionalFormatting sqref="CL6:CR11">
    <cfRule type="expression" dxfId="90" priority="24">
      <formula>AND(CL6&lt;&gt;"",COUNTIFS($CL$15:$CL$45,DATE($B$2,12,CL6),$CM$15:$CM$45,"?*")&gt;0)</formula>
    </cfRule>
  </conditionalFormatting>
  <conditionalFormatting sqref="CL6:CR11">
    <cfRule type="expression" dxfId="96" priority="23">
      <formula>AND(CL6&lt;&gt;"",DATE($B$2,12,CL6)=TODAY())</formula>
    </cfRule>
  </conditionalFormatting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IronCalc Sheets</Application>
  <AppVersion>10.0000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Anonymous User</dc:creator>
  <cp:keywords/>
  <dc:description/>
  <cp:lastModifiedBy>IronCalc User</cp:lastModifiedBy>
  <cp:revision/>
  <dcterms:created xsi:type="dcterms:W3CDTF">2026-05-25T08:17:17Z</dcterms:created>
  <dcterms:modified xsi:type="dcterms:W3CDTF">2026-06-20T17:41:02Z</dcterms:modified>
  <cp:category/>
  <cp:contentStatus/>
</cp:coreProperties>
</file>