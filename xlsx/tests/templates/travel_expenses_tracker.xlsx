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"/>
    </mc:Choice>
  </mc:AlternateContent>
  <xr:revisionPtr revIDLastSave="0" documentId="8_{556B2A96-6E28-F246-82CC-0885509BAC12}" xr6:coauthVersionLast="47" xr6:coauthVersionMax="47" xr10:uidLastSave="{00000000-0000-0000-0000-000000000000}"/>
  <bookViews>
    <workbookView xWindow="-6240" yWindow="-21460" windowWidth="29400" windowHeight="18380" xr2:uid="{00000000-000D-0000-FFFF-FFFF00000000}"/>
  </bookViews>
  <sheets>
    <sheet name="Overview" sheetId="1" r:id="rId1"/>
    <sheet name="Expenses log" sheetId="2" r:id="rId2"/>
  </sheets>
  <definedNames>
    <definedName name="expense_amount">'Expenses log'!$F$5:$F$150</definedName>
    <definedName name="expense_type">'Expenses log'!$D$5:$D$150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 a="1"/>
  <c r="D29" i="1" s="1"/>
  <c r="D28" i="1" a="1"/>
  <c r="D28" i="1" s="1"/>
  <c r="D27" i="1" a="1"/>
  <c r="D27" i="1" s="1"/>
  <c r="A2" i="2" a="1"/>
  <c r="A2" i="2" s="1"/>
  <c r="B39" i="1" a="1"/>
  <c r="B39" i="1" s="1"/>
  <c r="D35" i="1"/>
  <c r="D34" i="1"/>
  <c r="D33" i="1"/>
  <c r="C29" i="1"/>
  <c r="C28" i="1"/>
  <c r="C27" i="1"/>
  <c r="D23" i="1" a="1"/>
  <c r="D23" i="1" s="1"/>
  <c r="C23" i="1"/>
  <c r="D22" i="1" a="1"/>
  <c r="D22" i="1" s="1"/>
  <c r="C22" i="1"/>
  <c r="D21" i="1" a="1"/>
  <c r="D21" i="1"/>
  <c r="C21" i="1"/>
  <c r="E13" i="1"/>
  <c r="E12" i="1"/>
  <c r="F12" i="1" s="1"/>
  <c r="E11" i="1"/>
  <c r="E10" i="1"/>
  <c r="F10" i="1" s="1"/>
  <c r="E9" i="1"/>
  <c r="E8" i="1"/>
  <c r="F8" i="1" s="1"/>
  <c r="E14" i="1" l="1"/>
  <c r="G9" i="1" s="1"/>
  <c r="H9" i="1" s="1"/>
  <c r="G8" i="1"/>
  <c r="H8" i="1" s="1"/>
  <c r="G10" i="1"/>
  <c r="H10" i="1" s="1"/>
  <c r="G12" i="1"/>
  <c r="H12" i="1" s="1"/>
  <c r="F9" i="1"/>
  <c r="F11" i="1"/>
  <c r="F13" i="1"/>
  <c r="F14" i="1" s="1"/>
  <c r="G11" i="1" l="1"/>
  <c r="H11" i="1" s="1"/>
  <c r="G13" i="1"/>
  <c r="H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<sst xmlns="http://schemas.openxmlformats.org/spreadsheetml/2006/main" count="184" uniqueCount="66">
  <si>
    <t>Budget your next trip here and easily track your expenses</t>
  </si>
  <si>
    <t>Expense type</t>
  </si>
  <si>
    <t>🚕</t>
  </si>
  <si>
    <t>✈️</t>
  </si>
  <si>
    <t>🏨</t>
  </si>
  <si>
    <t>Accommodation</t>
  </si>
  <si>
    <t>🍕</t>
  </si>
  <si>
    <t>Food</t>
  </si>
  <si>
    <t>🛍️</t>
  </si>
  <si>
    <t>Shopping</t>
  </si>
  <si>
    <t>👟</t>
  </si>
  <si>
    <t>Activities</t>
  </si>
  <si>
    <t>TOTAL</t>
  </si>
  <si>
    <t>Expense</t>
  </si>
  <si>
    <t>City</t>
  </si>
  <si>
    <t>Date</t>
  </si>
  <si>
    <t>Amount</t>
  </si>
  <si>
    <t>Type</t>
  </si>
  <si>
    <t>Flight Berlin-Beijing</t>
  </si>
  <si>
    <t>Beijing</t>
  </si>
  <si>
    <t>Hotel Beijing</t>
  </si>
  <si>
    <t>Airport taxi</t>
  </si>
  <si>
    <t>Lunch</t>
  </si>
  <si>
    <t>Thrifting</t>
  </si>
  <si>
    <t>Coffee</t>
  </si>
  <si>
    <t>Dinner</t>
  </si>
  <si>
    <t>Breakfast</t>
  </si>
  <si>
    <t>Subway tickets</t>
  </si>
  <si>
    <t>Forbidden City tickets</t>
  </si>
  <si>
    <t>Souvenirs</t>
  </si>
  <si>
    <t>Train Beijing-Xi'an</t>
  </si>
  <si>
    <t>Xi'an</t>
  </si>
  <si>
    <t>Xi'an Wall</t>
  </si>
  <si>
    <t>Ice cream</t>
  </si>
  <si>
    <t>Clothes shopping</t>
  </si>
  <si>
    <t>Bus tickets</t>
  </si>
  <si>
    <t>Terracotta warriors tickets</t>
  </si>
  <si>
    <t>Taxi</t>
  </si>
  <si>
    <t>Snacks</t>
  </si>
  <si>
    <t>Flight Xi'an-Shanghai</t>
  </si>
  <si>
    <t>Shanghai</t>
  </si>
  <si>
    <t>Metro card</t>
  </si>
  <si>
    <t>Yu Garden entrance</t>
  </si>
  <si>
    <t>Magnets</t>
  </si>
  <si>
    <t>Bubble tea</t>
  </si>
  <si>
    <t>Snacks &amp; drinks</t>
  </si>
  <si>
    <t>Shanghai Tower ticket</t>
  </si>
  <si>
    <t>Museum entrance</t>
  </si>
  <si>
    <t>Transportation</t>
  </si>
  <si>
    <t>Flights/Trains</t>
  </si>
  <si>
    <t>#</t>
  </si>
  <si>
    <t>Cost p/day</t>
  </si>
  <si>
    <t>Cost</t>
  </si>
  <si>
    <t>Breakdown</t>
  </si>
  <si>
    <t>Trip overview</t>
  </si>
  <si>
    <t>Expenses breakdown</t>
  </si>
  <si>
    <t>Top 3 highest expenses</t>
  </si>
  <si>
    <t>Hotel Shanghai</t>
  </si>
  <si>
    <t>Hotel Xi'an</t>
  </si>
  <si>
    <t>Total days</t>
  </si>
  <si>
    <t>Start date</t>
  </si>
  <si>
    <t>End date</t>
  </si>
  <si>
    <t>Cities visited</t>
  </si>
  <si>
    <t>Top 3 days with most expenses</t>
  </si>
  <si>
    <t>Overview</t>
  </si>
  <si>
    <t>Travel expenses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</si>
</sst>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&quot; €&quot;"/>
    <numFmt numFmtId="165" formatCode="&quot;€&quot;#,##0.00"/>
    <numFmt numFmtId="166" formatCode="m/d/yy"/>
    <numFmt numFmtId="167" formatCode="mmmm\ d\,\ yyyy"/>
  </numFmts>
  <fonts count="26" x14ac:knownFonts="1">
    <font>
      <sz val="13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0"/>
      <color rgb="FF9E9E9E"/>
      <name val="Aptos Narrow"/>
      <family val="2"/>
      <scheme val="minor"/>
    </font>
    <font>
      <sz val="12"/>
      <color rgb="FF757575"/>
      <name val="Aptos Narrow"/>
      <family val="2"/>
      <scheme val="minor"/>
    </font>
    <font>
      <sz val="13"/>
      <color rgb="FF757575"/>
      <name val="Aptos Narrow"/>
      <family val="2"/>
      <scheme val="minor"/>
    </font>
    <font>
      <sz val="13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3"/>
      <color rgb="FFFFFFFF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2"/>
      <color rgb="FF9E9E9E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rgb="FF9E9E9E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20"/>
      <color theme="3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2"/>
      <color theme="1" tint="0.34998626667073579"/>
      <name val="Aptos Narrow"/>
      <family val="2"/>
      <scheme val="minor"/>
    </font>
    <font>
      <b/>
      <sz val="22"/>
      <color rgb="FF00000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theme="3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4" tint="0.79998168889431442"/>
      </left>
      <right/>
      <top style="thin">
        <color theme="4" tint="0.79998168889431442"/>
      </top>
      <bottom/>
      <diagonal/>
    </border>
    <border>
      <left/>
      <right/>
      <top style="thin">
        <color theme="4" tint="0.79998168889431442"/>
      </top>
      <bottom/>
      <diagonal/>
    </border>
    <border>
      <left/>
      <right style="thin">
        <color theme="4" tint="0.79998168889431442"/>
      </right>
      <top style="thin">
        <color theme="4" tint="0.79998168889431442"/>
      </top>
      <bottom/>
      <diagonal/>
    </border>
    <border>
      <left style="thin">
        <color theme="4" tint="0.79998168889431442"/>
      </left>
      <right/>
      <top/>
      <bottom/>
      <diagonal/>
    </border>
    <border>
      <left/>
      <right style="thin">
        <color theme="4" tint="0.79998168889431442"/>
      </right>
      <top/>
      <bottom/>
      <diagonal/>
    </border>
    <border>
      <left style="thin">
        <color theme="4" tint="0.79998168889431442"/>
      </left>
      <right/>
      <top/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 style="thin">
        <color theme="4" tint="0.79998168889431442"/>
      </right>
      <top/>
      <bottom style="thin">
        <color theme="4" tint="0.79998168889431442"/>
      </bottom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5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166" fontId="4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right" vertical="center"/>
    </xf>
    <xf numFmtId="10" fontId="1" fillId="0" borderId="0" xfId="0" applyNumberFormat="1" applyFont="1" applyAlignment="1">
      <alignment horizontal="right" vertical="center"/>
    </xf>
    <xf numFmtId="0" fontId="6" fillId="0" borderId="0" xfId="0" applyFont="1"/>
    <xf numFmtId="0" fontId="7" fillId="0" borderId="0" xfId="0" applyFont="1"/>
    <xf numFmtId="0" fontId="6" fillId="2" borderId="0" xfId="0" applyFont="1" applyFill="1"/>
    <xf numFmtId="164" fontId="1" fillId="2" borderId="0" xfId="0" applyNumberFormat="1" applyFont="1" applyFill="1" applyAlignment="1">
      <alignment horizontal="right" vertical="center"/>
    </xf>
    <xf numFmtId="10" fontId="1" fillId="2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center"/>
    </xf>
    <xf numFmtId="165" fontId="2" fillId="2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/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15" fillId="3" borderId="0" xfId="0" applyFont="1" applyFill="1" applyAlignment="1">
      <alignment horizontal="center"/>
    </xf>
    <xf numFmtId="165" fontId="14" fillId="3" borderId="0" xfId="0" applyNumberFormat="1" applyFont="1" applyFill="1" applyAlignment="1">
      <alignment horizontal="left"/>
    </xf>
    <xf numFmtId="0" fontId="17" fillId="0" borderId="2" xfId="0" applyFont="1" applyBorder="1"/>
    <xf numFmtId="0" fontId="8" fillId="4" borderId="3" xfId="0" applyFont="1" applyFill="1" applyBorder="1" applyAlignment="1">
      <alignment horizontal="center" vertical="center"/>
    </xf>
    <xf numFmtId="165" fontId="9" fillId="4" borderId="4" xfId="0" applyNumberFormat="1" applyFont="1" applyFill="1" applyBorder="1" applyAlignment="1">
      <alignment vertical="center"/>
    </xf>
    <xf numFmtId="0" fontId="10" fillId="4" borderId="4" xfId="0" applyFont="1" applyFill="1" applyBorder="1"/>
    <xf numFmtId="0" fontId="9" fillId="4" borderId="4" xfId="0" applyFont="1" applyFill="1" applyBorder="1" applyAlignment="1">
      <alignment horizontal="right" vertical="center"/>
    </xf>
    <xf numFmtId="0" fontId="10" fillId="4" borderId="5" xfId="0" applyFont="1" applyFill="1" applyBorder="1"/>
    <xf numFmtId="0" fontId="1" fillId="0" borderId="6" xfId="0" applyFont="1" applyBorder="1" applyAlignment="1">
      <alignment horizontal="center" vertical="center"/>
    </xf>
    <xf numFmtId="0" fontId="6" fillId="0" borderId="7" xfId="0" applyFont="1" applyBorder="1"/>
    <xf numFmtId="0" fontId="1" fillId="2" borderId="6" xfId="0" applyFont="1" applyFill="1" applyBorder="1" applyAlignment="1">
      <alignment horizontal="center" vertical="center"/>
    </xf>
    <xf numFmtId="0" fontId="6" fillId="2" borderId="7" xfId="0" applyFont="1" applyFill="1" applyBorder="1"/>
    <xf numFmtId="0" fontId="18" fillId="0" borderId="1" xfId="0" applyFont="1" applyBorder="1" applyAlignment="1">
      <alignment vertical="center"/>
    </xf>
    <xf numFmtId="0" fontId="20" fillId="0" borderId="1" xfId="0" applyFont="1" applyBorder="1" applyAlignment="1">
      <alignment vertical="top"/>
    </xf>
    <xf numFmtId="0" fontId="21" fillId="0" borderId="0" xfId="0" applyFont="1"/>
    <xf numFmtId="0" fontId="19" fillId="0" borderId="11" xfId="0" applyFont="1" applyBorder="1"/>
    <xf numFmtId="0" fontId="23" fillId="4" borderId="0" xfId="0" applyFont="1" applyFill="1" applyAlignment="1">
      <alignment horizontal="center" vertical="center"/>
    </xf>
    <xf numFmtId="0" fontId="23" fillId="4" borderId="0" xfId="0" applyFont="1" applyFill="1" applyAlignment="1">
      <alignment vertical="center"/>
    </xf>
    <xf numFmtId="0" fontId="23" fillId="4" borderId="0" xfId="0" applyFont="1" applyFill="1" applyAlignment="1">
      <alignment horizontal="left" vertical="center"/>
    </xf>
    <xf numFmtId="0" fontId="23" fillId="4" borderId="0" xfId="0" applyFont="1" applyFill="1" applyAlignment="1">
      <alignment horizontal="right" vertical="center"/>
    </xf>
    <xf numFmtId="0" fontId="24" fillId="4" borderId="8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vertical="center"/>
    </xf>
    <xf numFmtId="0" fontId="22" fillId="4" borderId="9" xfId="0" applyFont="1" applyFill="1" applyBorder="1"/>
    <xf numFmtId="164" fontId="23" fillId="4" borderId="9" xfId="0" applyNumberFormat="1" applyFont="1" applyFill="1" applyBorder="1" applyAlignment="1">
      <alignment horizontal="right" vertical="center"/>
    </xf>
    <xf numFmtId="0" fontId="24" fillId="4" borderId="9" xfId="0" applyFont="1" applyFill="1" applyBorder="1" applyAlignment="1">
      <alignment horizontal="right" vertical="center"/>
    </xf>
    <xf numFmtId="0" fontId="22" fillId="4" borderId="10" xfId="0" applyFont="1" applyFill="1" applyBorder="1"/>
    <xf numFmtId="0" fontId="25" fillId="0" borderId="2" xfId="0" applyFont="1" applyBorder="1"/>
    <xf numFmtId="167" fontId="16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/>
    </xf>
    <xf numFmtId="167" fontId="2" fillId="0" borderId="0" xfId="0" applyNumberFormat="1" applyFont="1" applyAlignment="1">
      <alignment horizontal="left"/>
    </xf>
    <xf numFmtId="0" fontId="15" fillId="0" borderId="0" xfId="0" applyFont="1" applyAlignment="1">
      <alignment horizontal="center"/>
    </xf>
    <xf numFmtId="165" fontId="14" fillId="0" borderId="0" xfId="0" applyNumberFormat="1" applyFont="1" applyAlignment="1">
      <alignment horizontal="left"/>
    </xf>
    <xf numFmtId="167" fontId="16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017357-08AC-FC4E-8A22-1D9C2E1BD558}">
  <we:reference id="wa200009404" version="1.0.0.8" store="en-GB" storeType="OMEX"/>
  <we:alternateReferences>
    <we:reference id="wa200009404" version="1.0.0.8" store="en-US" storeType="OMEX"/>
  </we:alternateReferences>
  <we:properties>
    <we:property name="claude.fileId" value="&quot;0c388c75-56d8-4057-893d-75f86ad00a2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showGridLines="0" tabSelected="1" workbookViewId="0"/>
  </sheetViews>
  <sheetFormatPr baseColWidth="10" defaultRowHeight="18" x14ac:dyDescent="0.25"/>
  <cols>
    <col min="1" max="1" width="2.7109375" customWidth="1"/>
    <col min="2" max="2" width="2.7109375" style="24" customWidth="1"/>
    <col min="3" max="8" width="13.28515625" customWidth="1"/>
    <col min="9" max="10" width="2.7109375" customWidth="1"/>
  </cols>
  <sheetData>
    <row r="1" spans="1:15" ht="16" customHeight="1" x14ac:dyDescent="0.25">
      <c r="A1" s="9"/>
      <c r="B1" s="15"/>
      <c r="C1" s="1"/>
      <c r="E1" s="7"/>
      <c r="F1" s="1"/>
      <c r="G1" s="1"/>
      <c r="I1" s="1"/>
      <c r="J1" s="1"/>
      <c r="K1" s="1"/>
      <c r="L1" s="2"/>
      <c r="M1" s="2"/>
      <c r="N1" s="2"/>
      <c r="O1" s="2"/>
    </row>
    <row r="2" spans="1:15" s="9" customFormat="1" ht="25.5" customHeight="1" x14ac:dyDescent="0.35">
      <c r="B2" s="48" t="s">
        <v>65</v>
      </c>
      <c r="C2"/>
      <c r="D2"/>
      <c r="E2"/>
      <c r="F2"/>
      <c r="G2"/>
      <c r="H2"/>
      <c r="I2"/>
      <c r="J2" s="1"/>
      <c r="K2" s="1"/>
      <c r="L2" s="1"/>
      <c r="M2" s="1"/>
      <c r="N2" s="1"/>
      <c r="O2" s="1"/>
    </row>
    <row r="3" spans="1:15" ht="25.5" customHeight="1" x14ac:dyDescent="0.25">
      <c r="B3" s="47" t="s">
        <v>0</v>
      </c>
      <c r="C3" s="46"/>
      <c r="D3" s="46"/>
      <c r="E3" s="46"/>
      <c r="F3" s="46"/>
      <c r="G3" s="46"/>
      <c r="H3" s="46"/>
      <c r="I3" s="46"/>
    </row>
    <row r="4" spans="1:15" ht="16" customHeight="1" x14ac:dyDescent="0.25">
      <c r="A4" s="9"/>
      <c r="B4" s="16"/>
      <c r="C4" s="19"/>
      <c r="E4" s="4"/>
      <c r="F4" s="1"/>
      <c r="G4" s="1"/>
      <c r="I4" s="1"/>
      <c r="J4" s="1"/>
      <c r="K4" s="1"/>
      <c r="L4" s="2"/>
      <c r="M4" s="2"/>
      <c r="N4" s="2"/>
      <c r="O4" s="2"/>
    </row>
    <row r="5" spans="1:15" ht="16" customHeight="1" x14ac:dyDescent="0.25">
      <c r="B5" s="60" t="s">
        <v>55</v>
      </c>
      <c r="C5" s="36"/>
      <c r="D5" s="36"/>
      <c r="E5" s="36"/>
      <c r="F5" s="36"/>
      <c r="G5" s="36"/>
      <c r="H5" s="36"/>
      <c r="I5" s="36"/>
    </row>
    <row r="7" spans="1:15" ht="19.25" customHeight="1" x14ac:dyDescent="0.25">
      <c r="A7" s="9"/>
      <c r="B7" s="37"/>
      <c r="C7" s="38" t="s">
        <v>1</v>
      </c>
      <c r="D7" s="39"/>
      <c r="E7" s="40" t="s">
        <v>52</v>
      </c>
      <c r="F7" s="40" t="s">
        <v>51</v>
      </c>
      <c r="G7" s="40" t="s">
        <v>53</v>
      </c>
      <c r="H7" s="40"/>
      <c r="I7" s="41"/>
      <c r="J7" s="19"/>
      <c r="K7" s="1"/>
      <c r="L7" s="2"/>
      <c r="M7" s="2"/>
      <c r="N7" s="2"/>
      <c r="O7" s="2"/>
    </row>
    <row r="8" spans="1:15" ht="19.25" customHeight="1" x14ac:dyDescent="0.25">
      <c r="A8" s="9"/>
      <c r="B8" s="42" t="s">
        <v>2</v>
      </c>
      <c r="C8" s="3" t="s">
        <v>48</v>
      </c>
      <c r="D8" s="19"/>
      <c r="E8" s="17">
        <f>SUMIF(expense_type,Overview!$C8,expense_amount)</f>
        <v>64.8</v>
      </c>
      <c r="F8" s="17">
        <f>E8/(MAX('Expenses log'!$E$2:$E$147)-MIN('Expenses log'!$E$2:$E$147)+1)</f>
        <v>9.2571428571428562</v>
      </c>
      <c r="G8" s="18">
        <f t="shared" ref="G8:G13" si="0">E8/$E$14</f>
        <v>7.1976007997334224E-2</v>
      </c>
      <c r="H8" s="18">
        <f t="shared" ref="H8:H13" si="1">G8</f>
        <v>7.1976007997334224E-2</v>
      </c>
      <c r="I8" s="43"/>
      <c r="J8" s="19"/>
      <c r="K8" s="1"/>
      <c r="L8" s="2"/>
      <c r="M8" s="2"/>
      <c r="N8" s="2"/>
      <c r="O8" s="2"/>
    </row>
    <row r="9" spans="1:15" ht="19.25" customHeight="1" x14ac:dyDescent="0.25">
      <c r="A9" s="9"/>
      <c r="B9" s="44" t="s">
        <v>3</v>
      </c>
      <c r="C9" s="10" t="s">
        <v>49</v>
      </c>
      <c r="D9" s="21"/>
      <c r="E9" s="22">
        <f>SUMIF(expense_type,Overview!$C9,expense_amount)</f>
        <v>220</v>
      </c>
      <c r="F9" s="22">
        <f>E9/(MAX('Expenses log'!$E$2:$E$147)-MIN('Expenses log'!$E$2:$E$147)+1)</f>
        <v>31.428571428571427</v>
      </c>
      <c r="G9" s="23">
        <f t="shared" si="0"/>
        <v>0.24436299011440632</v>
      </c>
      <c r="H9" s="23">
        <f t="shared" si="1"/>
        <v>0.24436299011440632</v>
      </c>
      <c r="I9" s="45"/>
      <c r="J9" s="19"/>
      <c r="K9" s="1"/>
      <c r="L9" s="2"/>
      <c r="M9" s="2"/>
      <c r="N9" s="2"/>
      <c r="O9" s="2"/>
    </row>
    <row r="10" spans="1:15" ht="19.25" customHeight="1" x14ac:dyDescent="0.25">
      <c r="A10" s="9"/>
      <c r="B10" s="42" t="s">
        <v>4</v>
      </c>
      <c r="C10" s="3" t="s">
        <v>5</v>
      </c>
      <c r="D10" s="19"/>
      <c r="E10" s="17">
        <f>SUMIF(expense_type,Overview!$C10,expense_amount)</f>
        <v>280</v>
      </c>
      <c r="F10" s="17">
        <f>E10/(MAX('Expenses log'!$E$2:$E$147)-MIN('Expenses log'!$E$2:$E$147)+1)</f>
        <v>40</v>
      </c>
      <c r="G10" s="18">
        <f t="shared" si="0"/>
        <v>0.31100744196378988</v>
      </c>
      <c r="H10" s="18">
        <f t="shared" si="1"/>
        <v>0.31100744196378988</v>
      </c>
      <c r="I10" s="43"/>
      <c r="J10" s="19"/>
      <c r="K10" s="1"/>
      <c r="L10" s="2"/>
      <c r="M10" s="2"/>
      <c r="N10" s="2"/>
      <c r="O10" s="2"/>
    </row>
    <row r="11" spans="1:15" ht="19.25" customHeight="1" x14ac:dyDescent="0.25">
      <c r="A11" s="9"/>
      <c r="B11" s="44" t="s">
        <v>6</v>
      </c>
      <c r="C11" s="10" t="s">
        <v>7</v>
      </c>
      <c r="D11" s="21"/>
      <c r="E11" s="22">
        <f>SUMIF(expense_type,Overview!$C11,expense_amount)</f>
        <v>193.5</v>
      </c>
      <c r="F11" s="22">
        <f>E11/(MAX('Expenses log'!$E$2:$E$147)-MIN('Expenses log'!$E$2:$E$147)+1)</f>
        <v>27.642857142857142</v>
      </c>
      <c r="G11" s="23">
        <f t="shared" si="0"/>
        <v>0.21492835721426193</v>
      </c>
      <c r="H11" s="23">
        <f t="shared" si="1"/>
        <v>0.21492835721426193</v>
      </c>
      <c r="I11" s="45"/>
      <c r="J11" s="19"/>
      <c r="K11" s="1"/>
      <c r="L11" s="2"/>
      <c r="M11" s="2"/>
      <c r="N11" s="2"/>
      <c r="O11" s="2"/>
    </row>
    <row r="12" spans="1:15" ht="19.25" customHeight="1" x14ac:dyDescent="0.25">
      <c r="A12" s="9"/>
      <c r="B12" s="42" t="s">
        <v>8</v>
      </c>
      <c r="C12" s="3" t="s">
        <v>9</v>
      </c>
      <c r="D12" s="19"/>
      <c r="E12" s="17">
        <f>SUMIF(expense_type,Overview!$C12,expense_amount)</f>
        <v>83</v>
      </c>
      <c r="F12" s="17">
        <f>E12/(MAX('Expenses log'!$E$2:$E$147)-MIN('Expenses log'!$E$2:$E$147)+1)</f>
        <v>11.857142857142858</v>
      </c>
      <c r="G12" s="18">
        <f t="shared" si="0"/>
        <v>9.2191491724980562E-2</v>
      </c>
      <c r="H12" s="18">
        <f t="shared" si="1"/>
        <v>9.2191491724980562E-2</v>
      </c>
      <c r="I12" s="43"/>
      <c r="J12" s="19"/>
      <c r="K12" s="1"/>
      <c r="L12" s="2"/>
      <c r="M12" s="2"/>
      <c r="N12" s="2"/>
      <c r="O12" s="2"/>
    </row>
    <row r="13" spans="1:15" ht="19.25" customHeight="1" x14ac:dyDescent="0.25">
      <c r="A13" s="9"/>
      <c r="B13" s="44" t="s">
        <v>10</v>
      </c>
      <c r="C13" s="10" t="s">
        <v>11</v>
      </c>
      <c r="D13" s="21"/>
      <c r="E13" s="22">
        <f>SUMIF(expense_type,Overview!$C13,expense_amount)</f>
        <v>59</v>
      </c>
      <c r="F13" s="22">
        <f>E13/(MAX('Expenses log'!$E$2:$E$147)-MIN('Expenses log'!$E$2:$E$147)+1)</f>
        <v>8.4285714285714288</v>
      </c>
      <c r="G13" s="23">
        <f t="shared" si="0"/>
        <v>6.5533710985227145E-2</v>
      </c>
      <c r="H13" s="23">
        <f t="shared" si="1"/>
        <v>6.5533710985227145E-2</v>
      </c>
      <c r="I13" s="45"/>
      <c r="J13" s="19"/>
      <c r="K13" s="1"/>
      <c r="L13" s="2"/>
      <c r="M13" s="2"/>
      <c r="N13" s="2"/>
      <c r="O13" s="2"/>
    </row>
    <row r="14" spans="1:15" ht="19.25" customHeight="1" x14ac:dyDescent="0.25">
      <c r="A14" s="9"/>
      <c r="B14" s="54"/>
      <c r="C14" s="55" t="s">
        <v>12</v>
      </c>
      <c r="D14" s="56"/>
      <c r="E14" s="57">
        <f>SUM(E8:E13)</f>
        <v>900.3</v>
      </c>
      <c r="F14" s="57">
        <f>SUM(F8:F13)</f>
        <v>128.6142857142857</v>
      </c>
      <c r="G14" s="58"/>
      <c r="H14" s="58"/>
      <c r="I14" s="59"/>
      <c r="J14" s="19"/>
      <c r="K14" s="1"/>
      <c r="L14" s="2"/>
      <c r="M14" s="2"/>
      <c r="N14" s="2"/>
      <c r="O14" s="2"/>
    </row>
    <row r="17" spans="1:15" ht="16" customHeight="1" x14ac:dyDescent="0.25">
      <c r="A17" s="9"/>
      <c r="B17" s="60" t="s">
        <v>54</v>
      </c>
      <c r="C17" s="36"/>
      <c r="D17" s="36"/>
      <c r="E17" s="36"/>
      <c r="F17" s="36"/>
      <c r="G17" s="36"/>
      <c r="H17" s="36"/>
      <c r="I17" s="36"/>
      <c r="J17" s="1"/>
      <c r="K17" s="1"/>
      <c r="L17" s="2"/>
      <c r="M17" s="2"/>
      <c r="N17" s="2"/>
      <c r="O17" s="2"/>
    </row>
    <row r="18" spans="1:15" ht="16" customHeight="1" x14ac:dyDescent="0.25">
      <c r="B18" s="27"/>
      <c r="C18" s="2"/>
      <c r="D18" s="2"/>
      <c r="E18" s="2"/>
      <c r="F18" s="2"/>
      <c r="G18" s="2"/>
      <c r="H18" s="2"/>
      <c r="I18" s="2"/>
    </row>
    <row r="19" spans="1:15" ht="16" customHeight="1" x14ac:dyDescent="0.25">
      <c r="A19" s="1"/>
      <c r="B19" s="49" t="s">
        <v>56</v>
      </c>
      <c r="C19" s="49"/>
      <c r="D19" s="49"/>
      <c r="E19" s="49"/>
      <c r="F19" s="49"/>
      <c r="G19" s="49"/>
      <c r="H19" s="49"/>
      <c r="I19" s="49"/>
      <c r="J19" s="1"/>
      <c r="K19" s="1"/>
      <c r="L19" s="2"/>
      <c r="M19" s="2"/>
      <c r="N19" s="2"/>
      <c r="O19" s="2"/>
    </row>
    <row r="20" spans="1:15" ht="16" customHeight="1" x14ac:dyDescent="0.25">
      <c r="A20" s="2"/>
      <c r="B20" s="27"/>
      <c r="C20" s="2"/>
      <c r="D20" s="2"/>
      <c r="E20" s="2"/>
      <c r="F20" s="2"/>
      <c r="G20" s="2"/>
      <c r="H20" s="2"/>
      <c r="I20" s="2"/>
    </row>
    <row r="21" spans="1:15" ht="16" customHeight="1" x14ac:dyDescent="0.25">
      <c r="A21" s="1"/>
      <c r="B21" s="28">
        <v>1</v>
      </c>
      <c r="C21" s="25">
        <f>LARGE('Expenses log'!$F$2:$F$147,B21)</f>
        <v>500</v>
      </c>
      <c r="D21" s="29" t="str" cm="1">
        <f t="array" ref="D21">INDEX('Expenses log'!$B$2:$B$147,MATCH(LARGE('Expenses log'!$F$2:$F$147,B21),'Expenses log'!$F$2:$F$2147,0))</f>
        <v>Flight Berlin-Beijing</v>
      </c>
      <c r="E21" s="22"/>
      <c r="F21" s="22"/>
      <c r="G21" s="23"/>
      <c r="H21" s="23"/>
      <c r="I21" s="30"/>
      <c r="J21" s="1"/>
      <c r="K21" s="1"/>
      <c r="L21" s="2"/>
      <c r="M21" s="2"/>
      <c r="N21" s="2"/>
      <c r="O21" s="2"/>
    </row>
    <row r="22" spans="1:15" ht="16" customHeight="1" x14ac:dyDescent="0.25">
      <c r="A22" s="1"/>
      <c r="B22" s="31">
        <v>2</v>
      </c>
      <c r="C22" s="5">
        <f>LARGE('Expenses log'!$F$2:$F$147,B22)</f>
        <v>200</v>
      </c>
      <c r="D22" s="32" t="str" cm="1">
        <f t="array" ref="D22">INDEX('Expenses log'!$B$2:$B$147,MATCH(LARGE('Expenses log'!$F$2:$F$147,B22),'Expenses log'!$F$2:$F$2147,0))</f>
        <v>Hotel Beijing</v>
      </c>
      <c r="E22" s="17"/>
      <c r="F22" s="17"/>
      <c r="G22" s="18"/>
      <c r="H22" s="18"/>
      <c r="I22" s="20"/>
      <c r="J22" s="1"/>
      <c r="K22" s="1"/>
      <c r="L22" s="2"/>
      <c r="M22" s="2"/>
      <c r="N22" s="2"/>
      <c r="O22" s="2"/>
    </row>
    <row r="23" spans="1:15" ht="16" customHeight="1" x14ac:dyDescent="0.25">
      <c r="A23" s="1"/>
      <c r="B23" s="28">
        <v>3</v>
      </c>
      <c r="C23" s="25">
        <f>LARGE('Expenses log'!$F$2:$F$147,B23)</f>
        <v>160</v>
      </c>
      <c r="D23" s="29" t="str" cm="1">
        <f t="array" ref="D23">INDEX('Expenses log'!$B$2:$B$147,MATCH(LARGE('Expenses log'!$F$2:$F$147,B23),'Expenses log'!$F$2:$F$2147,0))</f>
        <v>Hotel Shanghai</v>
      </c>
      <c r="E23" s="22"/>
      <c r="F23" s="22"/>
      <c r="G23" s="23"/>
      <c r="H23" s="23"/>
      <c r="I23" s="30"/>
      <c r="J23" s="1"/>
      <c r="K23" s="1"/>
      <c r="L23" s="2"/>
      <c r="M23" s="2"/>
      <c r="N23" s="2"/>
      <c r="O23" s="2"/>
    </row>
    <row r="24" spans="1:15" ht="16" customHeight="1" x14ac:dyDescent="0.25">
      <c r="A24" s="2"/>
      <c r="B24" s="33"/>
      <c r="C24" s="2"/>
      <c r="D24" s="2"/>
      <c r="E24" s="2"/>
      <c r="F24" s="2"/>
      <c r="G24" s="2"/>
      <c r="H24" s="2"/>
      <c r="I24" s="2"/>
    </row>
    <row r="25" spans="1:15" ht="16" customHeight="1" x14ac:dyDescent="0.25">
      <c r="A25" s="2"/>
      <c r="B25" s="49" t="s">
        <v>63</v>
      </c>
      <c r="C25" s="49"/>
      <c r="D25" s="49"/>
      <c r="E25" s="49"/>
      <c r="F25" s="49"/>
      <c r="G25" s="49"/>
      <c r="H25" s="49"/>
      <c r="I25" s="49"/>
    </row>
    <row r="26" spans="1:15" ht="16" customHeight="1" x14ac:dyDescent="0.25">
      <c r="A26" s="2"/>
      <c r="B26" s="33"/>
      <c r="C26" s="2"/>
      <c r="D26" s="2"/>
      <c r="E26" s="2"/>
      <c r="F26" s="2"/>
      <c r="G26" s="2"/>
      <c r="H26" s="2"/>
      <c r="I26" s="2"/>
    </row>
    <row r="27" spans="1:15" ht="16" customHeight="1" x14ac:dyDescent="0.25">
      <c r="A27" s="2"/>
      <c r="B27" s="34">
        <v>1</v>
      </c>
      <c r="C27" s="35">
        <f>LARGE(SUMIF('Expenses log'!$E$2:$E$147,_xlfn.UNIQUE(_xlfn._xlws.FILTER('Expenses log'!$E$2:$E$147,'Expenses log'!$E$2:$E$147&lt;&gt;"")),'Expenses log'!$F$2:$F$147),B27)</f>
        <v>770</v>
      </c>
      <c r="D27" s="61" cm="1">
        <f t="array" ref="D27">INDEX(_xlfn.UNIQUE(_xlfn._xlws.FILTER('Expenses log'!$E$2:$E$147,'Expenses log'!$E$2:$E$147&lt;&gt;"")),MATCH(C27,SUMIF('Expenses log'!$E$2:$E$147,_xlfn.UNIQUE(_xlfn._xlws.FILTER('Expenses log'!$E$2:$E$147,'Expenses log'!$E$2:$E$147&lt;&gt;"")),'Expenses log'!$F$2:$F$147),0))</f>
        <v>45839</v>
      </c>
      <c r="E27" s="22"/>
      <c r="F27" s="22"/>
      <c r="G27" s="23"/>
      <c r="H27" s="23"/>
      <c r="I27" s="30"/>
    </row>
    <row r="28" spans="1:15" ht="16" customHeight="1" x14ac:dyDescent="0.25">
      <c r="B28" s="64">
        <v>2</v>
      </c>
      <c r="C28" s="65">
        <f>LARGE(SUMIF('Expenses log'!$E$2:$E$147,_xlfn.UNIQUE(_xlfn._xlws.FILTER('Expenses log'!$E$2:$E$147,'Expenses log'!$E$2:$E$147&lt;&gt;"")),'Expenses log'!$F$2:$F$147),B28)</f>
        <v>387</v>
      </c>
      <c r="D28" s="66" cm="1">
        <f t="array" ref="D28">INDEX(_xlfn.UNIQUE(_xlfn._xlws.FILTER('Expenses log'!$E$2:$E$147,'Expenses log'!$E$2:$E$147&lt;&gt;"")),MATCH(C28,SUMIF('Expenses log'!$E$2:$E$147,_xlfn.UNIQUE(_xlfn._xlws.FILTER('Expenses log'!$E$2:$E$147,'Expenses log'!$E$2:$E$147&lt;&gt;"")),'Expenses log'!$F$2:$F$147),0))</f>
        <v>45843</v>
      </c>
    </row>
    <row r="29" spans="1:15" ht="16" customHeight="1" x14ac:dyDescent="0.25">
      <c r="B29" s="34">
        <v>3</v>
      </c>
      <c r="C29" s="35">
        <f>LARGE(SUMIF('Expenses log'!$E$2:$E$147,_xlfn.UNIQUE(_xlfn._xlws.FILTER('Expenses log'!$E$2:$E$147,'Expenses log'!$E$2:$E$147&lt;&gt;"")),'Expenses log'!$F$2:$F$147),B29)</f>
        <v>269</v>
      </c>
      <c r="D29" s="61" cm="1">
        <f t="array" ref="D29">INDEX(_xlfn.UNIQUE(_xlfn._xlws.FILTER('Expenses log'!$E$2:$E$147,'Expenses log'!$E$2:$E$147&lt;&gt;"")),MATCH(C29,SUMIF('Expenses log'!$E$2:$E$147,_xlfn.UNIQUE(_xlfn._xlws.FILTER('Expenses log'!$E$2:$E$147,'Expenses log'!$E$2:$E$147&lt;&gt;"")),'Expenses log'!$F$2:$F$147),0))</f>
        <v>45841</v>
      </c>
      <c r="E29" s="22"/>
      <c r="F29" s="22"/>
      <c r="G29" s="23"/>
      <c r="H29" s="23"/>
      <c r="I29" s="30"/>
    </row>
    <row r="31" spans="1:15" ht="16" customHeight="1" x14ac:dyDescent="0.25">
      <c r="A31" s="2"/>
      <c r="B31" s="49" t="s">
        <v>64</v>
      </c>
      <c r="C31" s="49"/>
      <c r="D31" s="49"/>
      <c r="E31" s="49"/>
      <c r="F31" s="49"/>
      <c r="G31" s="49"/>
      <c r="H31" s="49"/>
      <c r="I31" s="49"/>
    </row>
    <row r="32" spans="1:15" ht="16" customHeight="1" x14ac:dyDescent="0.25">
      <c r="A32" s="2"/>
      <c r="C32" s="2"/>
      <c r="D32" s="2"/>
      <c r="E32" s="2"/>
      <c r="F32" s="20"/>
      <c r="G32" s="2"/>
      <c r="H32" s="2"/>
      <c r="I32" s="2"/>
    </row>
    <row r="33" spans="1:9" ht="16" customHeight="1" x14ac:dyDescent="0.25">
      <c r="A33" s="2"/>
      <c r="B33" s="20" t="s">
        <v>59</v>
      </c>
      <c r="C33" s="2"/>
      <c r="D33" s="62">
        <f>MAX('Expenses log'!$E$2:$E$147)-MIN('Expenses log'!$E$2:$E$147)+1</f>
        <v>7</v>
      </c>
      <c r="E33" s="2"/>
      <c r="F33" s="20"/>
      <c r="G33" s="2"/>
      <c r="H33" s="2"/>
      <c r="I33" s="2"/>
    </row>
    <row r="34" spans="1:9" ht="16" customHeight="1" x14ac:dyDescent="0.25">
      <c r="A34" s="2"/>
      <c r="B34" s="20" t="s">
        <v>60</v>
      </c>
      <c r="C34" s="2"/>
      <c r="D34" s="63">
        <f>MIN(_xlfn._xlws.FILTER('Expenses log'!$E$2:$E$147,'Expenses log'!$E$2:$E$147&lt;&gt;""))</f>
        <v>45839</v>
      </c>
      <c r="E34" s="2"/>
      <c r="F34" s="20"/>
      <c r="G34" s="2"/>
      <c r="H34" s="2"/>
      <c r="I34" s="2"/>
    </row>
    <row r="35" spans="1:9" ht="16" customHeight="1" x14ac:dyDescent="0.25">
      <c r="A35" s="2"/>
      <c r="B35" s="20" t="s">
        <v>61</v>
      </c>
      <c r="C35" s="2"/>
      <c r="D35" s="63">
        <f>MAX(_xlfn._xlws.FILTER('Expenses log'!$E$2:$E$147,'Expenses log'!$E$2:$E$147&lt;&gt;""))</f>
        <v>45845</v>
      </c>
      <c r="E35" s="2"/>
      <c r="F35" s="20"/>
      <c r="G35" s="2"/>
      <c r="H35" s="2"/>
      <c r="I35" s="2"/>
    </row>
    <row r="36" spans="1:9" ht="16" customHeight="1" x14ac:dyDescent="0.25">
      <c r="F36" s="2"/>
    </row>
    <row r="37" spans="1:9" ht="16" customHeight="1" x14ac:dyDescent="0.25">
      <c r="B37" s="49" t="s">
        <v>62</v>
      </c>
      <c r="C37" s="49"/>
      <c r="D37" s="49"/>
      <c r="E37" s="49"/>
      <c r="F37" s="49"/>
      <c r="G37" s="49"/>
      <c r="H37" s="49"/>
      <c r="I37" s="49"/>
    </row>
    <row r="38" spans="1:9" ht="16" customHeight="1" x14ac:dyDescent="0.25">
      <c r="B38" s="26"/>
      <c r="F38" s="2"/>
    </row>
    <row r="39" spans="1:9" ht="16" customHeight="1" x14ac:dyDescent="0.25">
      <c r="B39" s="2" t="str" cm="1">
        <f t="array" ref="B39:B41">_xlfn.UNIQUE(_xlfn._xlws.FILTER('Expenses log'!$C$2:$C$147,'Expenses log'!$C$2:$C$147&lt;&gt;""))</f>
        <v>Beijing</v>
      </c>
      <c r="F39" s="2"/>
    </row>
    <row r="40" spans="1:9" ht="16" customHeight="1" x14ac:dyDescent="0.25">
      <c r="B40" s="2" t="str">
        <v>Xi'an</v>
      </c>
      <c r="F40" s="2"/>
    </row>
    <row r="41" spans="1:9" ht="16" customHeight="1" x14ac:dyDescent="0.25">
      <c r="B41" s="2" t="str">
        <v>Shanghai</v>
      </c>
      <c r="F41" s="2"/>
    </row>
    <row r="42" spans="1:9" ht="16" customHeight="1" x14ac:dyDescent="0.25">
      <c r="F42" s="2"/>
    </row>
    <row r="43" spans="1:9" ht="16" customHeight="1" x14ac:dyDescent="0.25">
      <c r="F43" s="2"/>
    </row>
    <row r="44" spans="1:9" ht="16" customHeight="1" x14ac:dyDescent="0.25">
      <c r="F44" s="2"/>
    </row>
    <row r="45" spans="1:9" ht="16" customHeight="1" x14ac:dyDescent="0.25">
      <c r="F45" s="2"/>
    </row>
    <row r="46" spans="1:9" ht="16" customHeight="1" x14ac:dyDescent="0.25">
      <c r="F46" s="2"/>
    </row>
    <row r="47" spans="1:9" ht="16" customHeight="1" x14ac:dyDescent="0.25">
      <c r="F47" s="2"/>
    </row>
    <row r="48" spans="1:9" ht="16" customHeight="1" x14ac:dyDescent="0.25">
      <c r="F48" s="2"/>
    </row>
    <row r="49" spans="6:6" ht="16" customHeight="1" x14ac:dyDescent="0.25">
      <c r="F49" s="2"/>
    </row>
    <row r="50" spans="6:6" ht="16" customHeight="1" x14ac:dyDescent="0.25">
      <c r="F50" s="2"/>
    </row>
    <row r="56" spans="6:6" ht="16" customHeight="1" x14ac:dyDescent="0.25"/>
    <row r="57" spans="6:6" ht="16" customHeight="1" x14ac:dyDescent="0.25"/>
    <row r="58" spans="6:6" ht="16" customHeight="1" x14ac:dyDescent="0.25"/>
    <row r="59" spans="6:6" ht="16" customHeight="1" x14ac:dyDescent="0.25"/>
    <row r="60" spans="6:6" ht="16" customHeight="1" x14ac:dyDescent="0.25"/>
    <row r="61" spans="6:6" ht="16" customHeight="1" x14ac:dyDescent="0.25"/>
    <row r="62" spans="6:6" ht="16" customHeight="1" x14ac:dyDescent="0.25"/>
  </sheetData>
  <conditionalFormatting sqref="H8:H13">
    <cfRule type="dataBar" priority="1">
      <dataBar showValue="0">
        <cfvo type="min"/>
        <cfvo type="max"/>
        <color theme="9"/>
      </dataBar>
      <extLst>
        <ext xmlns:x14="http://schemas.microsoft.com/office/spreadsheetml/2009/9/main" uri="{B025F937-C7B1-47D3-B67F-A62EFF666E3E}">
          <x14:id>{00000001-0000-0000-0000-000000000000}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0000-0000-000000000000}">
            <x14:dataBar minLength="0" maxLength="100" gradient="0">
              <x14:cfvo type="autoMin"/>
              <x14:cfvo type="autoMax"/>
              <x14:negativeFillColor rgb="FFE05C53"/>
              <x14:axisColor rgb="FF000000"/>
            </x14:dataBar>
          </x14:cfRule>
          <xm:sqref>H8:H13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0"/>
  <sheetViews>
    <sheetView showGridLines="0" workbookViewId="0">
      <pane ySplit="1" topLeftCell="A2" activePane="bottomLeft" state="frozen"/>
      <selection pane="bottomLeft" activeCell="V13" sqref="V13"/>
    </sheetView>
  </sheetViews>
  <sheetFormatPr baseColWidth="10" defaultColWidth="2.7109375" defaultRowHeight="18" x14ac:dyDescent="0.25"/>
  <cols>
    <col min="1" max="1" width="2.7109375" style="14" customWidth="1"/>
    <col min="2" max="2" width="17.7109375" style="1" customWidth="1"/>
    <col min="3" max="3" width="8.85546875" style="1" customWidth="1"/>
    <col min="4" max="4" width="17.7109375" style="6" customWidth="1"/>
    <col min="5" max="6" width="8.85546875" style="1" customWidth="1"/>
  </cols>
  <sheetData>
    <row r="1" spans="1:6" ht="16" customHeight="1" x14ac:dyDescent="0.25">
      <c r="A1" s="50" t="s">
        <v>50</v>
      </c>
      <c r="B1" s="51" t="s">
        <v>13</v>
      </c>
      <c r="C1" s="51" t="s">
        <v>14</v>
      </c>
      <c r="D1" s="52" t="s">
        <v>17</v>
      </c>
      <c r="E1" s="53" t="s">
        <v>15</v>
      </c>
      <c r="F1" s="53" t="s">
        <v>16</v>
      </c>
    </row>
    <row r="2" spans="1:6" ht="16" customHeight="1" x14ac:dyDescent="0.25">
      <c r="A2" s="8" cm="1">
        <f t="array" ref="A2:A51">_xlfn.SEQUENCE(COUNTA(B2:B146))</f>
        <v>1</v>
      </c>
      <c r="B2" s="1" t="s">
        <v>18</v>
      </c>
      <c r="C2" s="11" t="s">
        <v>19</v>
      </c>
      <c r="D2" s="12" t="s">
        <v>49</v>
      </c>
      <c r="E2" s="13">
        <v>45839</v>
      </c>
      <c r="F2" s="7">
        <v>500</v>
      </c>
    </row>
    <row r="3" spans="1:6" ht="16" customHeight="1" x14ac:dyDescent="0.25">
      <c r="A3" s="8">
        <v>2</v>
      </c>
      <c r="B3" s="1" t="s">
        <v>20</v>
      </c>
      <c r="C3" s="11" t="s">
        <v>19</v>
      </c>
      <c r="D3" s="12" t="s">
        <v>5</v>
      </c>
      <c r="E3" s="13">
        <v>45839</v>
      </c>
      <c r="F3" s="7">
        <v>200</v>
      </c>
    </row>
    <row r="4" spans="1:6" ht="16" customHeight="1" x14ac:dyDescent="0.25">
      <c r="A4" s="8">
        <v>3</v>
      </c>
      <c r="B4" s="1" t="s">
        <v>21</v>
      </c>
      <c r="C4" s="11" t="s">
        <v>19</v>
      </c>
      <c r="D4" s="11" t="s">
        <v>48</v>
      </c>
      <c r="E4" s="13">
        <v>45839</v>
      </c>
      <c r="F4" s="7">
        <v>15</v>
      </c>
    </row>
    <row r="5" spans="1:6" ht="16" customHeight="1" x14ac:dyDescent="0.25">
      <c r="A5" s="8">
        <v>4</v>
      </c>
      <c r="B5" s="1" t="s">
        <v>22</v>
      </c>
      <c r="C5" s="11" t="s">
        <v>19</v>
      </c>
      <c r="D5" s="12" t="s">
        <v>7</v>
      </c>
      <c r="E5" s="13">
        <v>45839</v>
      </c>
      <c r="F5" s="7">
        <v>10</v>
      </c>
    </row>
    <row r="6" spans="1:6" ht="16" customHeight="1" x14ac:dyDescent="0.25">
      <c r="A6" s="8">
        <v>5</v>
      </c>
      <c r="B6" s="1" t="s">
        <v>23</v>
      </c>
      <c r="C6" s="11" t="s">
        <v>19</v>
      </c>
      <c r="D6" s="12" t="s">
        <v>9</v>
      </c>
      <c r="E6" s="13">
        <v>45839</v>
      </c>
      <c r="F6" s="7">
        <v>25</v>
      </c>
    </row>
    <row r="7" spans="1:6" ht="16" customHeight="1" x14ac:dyDescent="0.25">
      <c r="A7" s="8">
        <v>6</v>
      </c>
      <c r="B7" s="1" t="s">
        <v>24</v>
      </c>
      <c r="C7" s="11" t="s">
        <v>19</v>
      </c>
      <c r="D7" s="12" t="s">
        <v>7</v>
      </c>
      <c r="E7" s="13">
        <v>45839</v>
      </c>
      <c r="F7" s="7">
        <v>5</v>
      </c>
    </row>
    <row r="8" spans="1:6" ht="16" customHeight="1" x14ac:dyDescent="0.25">
      <c r="A8" s="8">
        <v>7</v>
      </c>
      <c r="B8" s="1" t="s">
        <v>25</v>
      </c>
      <c r="C8" s="11" t="s">
        <v>19</v>
      </c>
      <c r="D8" s="12" t="s">
        <v>7</v>
      </c>
      <c r="E8" s="13">
        <v>45839</v>
      </c>
      <c r="F8" s="7">
        <v>15</v>
      </c>
    </row>
    <row r="9" spans="1:6" ht="16" customHeight="1" x14ac:dyDescent="0.25">
      <c r="A9" s="8">
        <v>8</v>
      </c>
      <c r="B9" s="1" t="s">
        <v>26</v>
      </c>
      <c r="C9" s="11" t="s">
        <v>19</v>
      </c>
      <c r="D9" s="12" t="s">
        <v>7</v>
      </c>
      <c r="E9" s="13">
        <v>45840</v>
      </c>
      <c r="F9" s="7">
        <v>5</v>
      </c>
    </row>
    <row r="10" spans="1:6" ht="16" customHeight="1" x14ac:dyDescent="0.25">
      <c r="A10" s="8">
        <v>9</v>
      </c>
      <c r="B10" s="1" t="s">
        <v>27</v>
      </c>
      <c r="C10" s="11" t="s">
        <v>19</v>
      </c>
      <c r="D10" s="11" t="s">
        <v>48</v>
      </c>
      <c r="E10" s="13">
        <v>45840</v>
      </c>
      <c r="F10" s="7">
        <v>1</v>
      </c>
    </row>
    <row r="11" spans="1:6" ht="16" customHeight="1" x14ac:dyDescent="0.25">
      <c r="A11" s="8">
        <v>10</v>
      </c>
      <c r="B11" s="1" t="s">
        <v>28</v>
      </c>
      <c r="C11" s="11" t="s">
        <v>19</v>
      </c>
      <c r="D11" s="12" t="s">
        <v>11</v>
      </c>
      <c r="E11" s="13">
        <v>45840</v>
      </c>
      <c r="F11" s="7">
        <v>8</v>
      </c>
    </row>
    <row r="12" spans="1:6" ht="16" customHeight="1" x14ac:dyDescent="0.25">
      <c r="A12" s="8">
        <v>11</v>
      </c>
      <c r="B12" s="1" t="s">
        <v>22</v>
      </c>
      <c r="C12" s="11" t="s">
        <v>19</v>
      </c>
      <c r="D12" s="12" t="s">
        <v>7</v>
      </c>
      <c r="E12" s="13">
        <v>45840</v>
      </c>
      <c r="F12" s="7">
        <v>12</v>
      </c>
    </row>
    <row r="13" spans="1:6" ht="16" customHeight="1" x14ac:dyDescent="0.25">
      <c r="A13" s="8">
        <v>12</v>
      </c>
      <c r="B13" s="1" t="s">
        <v>27</v>
      </c>
      <c r="C13" s="11" t="s">
        <v>19</v>
      </c>
      <c r="D13" s="11" t="s">
        <v>48</v>
      </c>
      <c r="E13" s="13">
        <v>45840</v>
      </c>
      <c r="F13" s="7">
        <v>1</v>
      </c>
    </row>
    <row r="14" spans="1:6" ht="16" customHeight="1" x14ac:dyDescent="0.25">
      <c r="A14" s="8">
        <v>13</v>
      </c>
      <c r="B14" s="1" t="s">
        <v>29</v>
      </c>
      <c r="C14" s="11" t="s">
        <v>19</v>
      </c>
      <c r="D14" s="12" t="s">
        <v>9</v>
      </c>
      <c r="E14" s="13">
        <v>45840</v>
      </c>
      <c r="F14" s="7">
        <v>14</v>
      </c>
    </row>
    <row r="15" spans="1:6" ht="16" customHeight="1" x14ac:dyDescent="0.25">
      <c r="A15" s="8">
        <v>14</v>
      </c>
      <c r="B15" s="1" t="s">
        <v>25</v>
      </c>
      <c r="C15" s="11" t="s">
        <v>19</v>
      </c>
      <c r="D15" s="12" t="s">
        <v>7</v>
      </c>
      <c r="E15" s="13">
        <v>45840</v>
      </c>
      <c r="F15" s="7">
        <v>28</v>
      </c>
    </row>
    <row r="16" spans="1:6" ht="16" customHeight="1" x14ac:dyDescent="0.25">
      <c r="A16" s="8">
        <v>15</v>
      </c>
      <c r="B16" s="1" t="s">
        <v>26</v>
      </c>
      <c r="C16" s="11" t="s">
        <v>19</v>
      </c>
      <c r="D16" s="12" t="s">
        <v>7</v>
      </c>
      <c r="E16" s="13">
        <v>45841</v>
      </c>
      <c r="F16" s="7">
        <v>3</v>
      </c>
    </row>
    <row r="17" spans="1:6" ht="16" customHeight="1" x14ac:dyDescent="0.25">
      <c r="A17" s="8">
        <v>16</v>
      </c>
      <c r="B17" s="1" t="s">
        <v>27</v>
      </c>
      <c r="C17" s="11" t="s">
        <v>19</v>
      </c>
      <c r="D17" s="11" t="s">
        <v>48</v>
      </c>
      <c r="E17" s="13">
        <v>45841</v>
      </c>
      <c r="F17" s="7">
        <v>1</v>
      </c>
    </row>
    <row r="18" spans="1:6" ht="16" customHeight="1" x14ac:dyDescent="0.25">
      <c r="A18" s="8">
        <v>17</v>
      </c>
      <c r="B18" s="1" t="s">
        <v>30</v>
      </c>
      <c r="C18" s="11" t="s">
        <v>31</v>
      </c>
      <c r="D18" s="12" t="s">
        <v>49</v>
      </c>
      <c r="E18" s="13">
        <v>45841</v>
      </c>
      <c r="F18" s="7">
        <v>70</v>
      </c>
    </row>
    <row r="19" spans="1:6" ht="16" customHeight="1" x14ac:dyDescent="0.25">
      <c r="A19" s="8">
        <v>18</v>
      </c>
      <c r="B19" s="1" t="s">
        <v>27</v>
      </c>
      <c r="C19" s="11" t="s">
        <v>31</v>
      </c>
      <c r="D19" s="11" t="s">
        <v>48</v>
      </c>
      <c r="E19" s="13">
        <v>45841</v>
      </c>
      <c r="F19" s="7">
        <v>2</v>
      </c>
    </row>
    <row r="20" spans="1:6" ht="16" customHeight="1" x14ac:dyDescent="0.25">
      <c r="A20" s="8">
        <v>19</v>
      </c>
      <c r="B20" s="1" t="s">
        <v>58</v>
      </c>
      <c r="C20" s="11" t="s">
        <v>31</v>
      </c>
      <c r="D20" s="12" t="s">
        <v>5</v>
      </c>
      <c r="E20" s="13">
        <v>45841</v>
      </c>
      <c r="F20" s="7">
        <v>120</v>
      </c>
    </row>
    <row r="21" spans="1:6" ht="16" customHeight="1" x14ac:dyDescent="0.25">
      <c r="A21" s="8">
        <v>20</v>
      </c>
      <c r="B21" s="1" t="s">
        <v>32</v>
      </c>
      <c r="C21" s="11" t="s">
        <v>31</v>
      </c>
      <c r="D21" s="12" t="s">
        <v>11</v>
      </c>
      <c r="E21" s="13">
        <v>45841</v>
      </c>
      <c r="F21" s="7">
        <v>5</v>
      </c>
    </row>
    <row r="22" spans="1:6" ht="16" customHeight="1" x14ac:dyDescent="0.25">
      <c r="A22" s="8">
        <v>21</v>
      </c>
      <c r="B22" s="1" t="s">
        <v>33</v>
      </c>
      <c r="C22" s="11" t="s">
        <v>31</v>
      </c>
      <c r="D22" s="12" t="s">
        <v>7</v>
      </c>
      <c r="E22" s="13">
        <v>45841</v>
      </c>
      <c r="F22" s="7">
        <v>2</v>
      </c>
    </row>
    <row r="23" spans="1:6" ht="16" customHeight="1" x14ac:dyDescent="0.25">
      <c r="A23" s="8">
        <v>22</v>
      </c>
      <c r="B23" s="1" t="s">
        <v>24</v>
      </c>
      <c r="C23" s="11" t="s">
        <v>31</v>
      </c>
      <c r="D23" s="12" t="s">
        <v>7</v>
      </c>
      <c r="E23" s="13">
        <v>45841</v>
      </c>
      <c r="F23" s="7">
        <v>3</v>
      </c>
    </row>
    <row r="24" spans="1:6" ht="16" customHeight="1" x14ac:dyDescent="0.25">
      <c r="A24" s="8">
        <v>23</v>
      </c>
      <c r="B24" s="1" t="s">
        <v>34</v>
      </c>
      <c r="C24" s="11" t="s">
        <v>31</v>
      </c>
      <c r="D24" s="12" t="s">
        <v>9</v>
      </c>
      <c r="E24" s="13">
        <v>45841</v>
      </c>
      <c r="F24" s="7">
        <v>35</v>
      </c>
    </row>
    <row r="25" spans="1:6" ht="16" customHeight="1" x14ac:dyDescent="0.25">
      <c r="A25" s="8">
        <v>24</v>
      </c>
      <c r="B25" s="1" t="s">
        <v>25</v>
      </c>
      <c r="C25" s="11" t="s">
        <v>31</v>
      </c>
      <c r="D25" s="12" t="s">
        <v>7</v>
      </c>
      <c r="E25" s="13">
        <v>45841</v>
      </c>
      <c r="F25" s="7">
        <v>28</v>
      </c>
    </row>
    <row r="26" spans="1:6" ht="16" customHeight="1" x14ac:dyDescent="0.25">
      <c r="A26" s="8">
        <v>25</v>
      </c>
      <c r="B26" s="1" t="s">
        <v>24</v>
      </c>
      <c r="C26" s="11" t="s">
        <v>31</v>
      </c>
      <c r="D26" s="12" t="s">
        <v>7</v>
      </c>
      <c r="E26" s="13">
        <v>45842</v>
      </c>
      <c r="F26" s="7">
        <v>2</v>
      </c>
    </row>
    <row r="27" spans="1:6" ht="16" customHeight="1" x14ac:dyDescent="0.25">
      <c r="A27" s="8">
        <v>26</v>
      </c>
      <c r="B27" s="1" t="s">
        <v>27</v>
      </c>
      <c r="C27" s="11" t="s">
        <v>31</v>
      </c>
      <c r="D27" s="11" t="s">
        <v>48</v>
      </c>
      <c r="E27" s="13">
        <v>45842</v>
      </c>
      <c r="F27" s="7">
        <v>1</v>
      </c>
    </row>
    <row r="28" spans="1:6" ht="16" customHeight="1" x14ac:dyDescent="0.25">
      <c r="A28" s="8">
        <v>27</v>
      </c>
      <c r="B28" s="1" t="s">
        <v>35</v>
      </c>
      <c r="C28" s="11" t="s">
        <v>31</v>
      </c>
      <c r="D28" s="11" t="s">
        <v>48</v>
      </c>
      <c r="E28" s="13">
        <v>45842</v>
      </c>
      <c r="F28" s="7">
        <v>0.8</v>
      </c>
    </row>
    <row r="29" spans="1:6" ht="16" customHeight="1" x14ac:dyDescent="0.25">
      <c r="A29" s="8">
        <v>28</v>
      </c>
      <c r="B29" s="1" t="s">
        <v>36</v>
      </c>
      <c r="C29" s="11" t="s">
        <v>31</v>
      </c>
      <c r="D29" s="12" t="s">
        <v>11</v>
      </c>
      <c r="E29" s="13">
        <v>45842</v>
      </c>
      <c r="F29" s="7">
        <v>12</v>
      </c>
    </row>
    <row r="30" spans="1:6" ht="16" customHeight="1" x14ac:dyDescent="0.25">
      <c r="A30" s="8">
        <v>29</v>
      </c>
      <c r="B30" s="1" t="s">
        <v>37</v>
      </c>
      <c r="C30" s="11" t="s">
        <v>31</v>
      </c>
      <c r="D30" s="11" t="s">
        <v>48</v>
      </c>
      <c r="E30" s="13">
        <v>45842</v>
      </c>
      <c r="F30" s="7">
        <v>16</v>
      </c>
    </row>
    <row r="31" spans="1:6" ht="16" customHeight="1" x14ac:dyDescent="0.25">
      <c r="A31" s="8">
        <v>30</v>
      </c>
      <c r="B31" s="1" t="s">
        <v>29</v>
      </c>
      <c r="C31" s="11" t="s">
        <v>31</v>
      </c>
      <c r="D31" s="12" t="s">
        <v>9</v>
      </c>
      <c r="E31" s="13">
        <v>45842</v>
      </c>
      <c r="F31" s="7">
        <v>6</v>
      </c>
    </row>
    <row r="32" spans="1:6" ht="16" customHeight="1" x14ac:dyDescent="0.25">
      <c r="A32" s="8">
        <v>31</v>
      </c>
      <c r="B32" s="1" t="s">
        <v>25</v>
      </c>
      <c r="C32" s="11" t="s">
        <v>31</v>
      </c>
      <c r="D32" s="12" t="s">
        <v>7</v>
      </c>
      <c r="E32" s="13">
        <v>45842</v>
      </c>
      <c r="F32" s="7">
        <v>15</v>
      </c>
    </row>
    <row r="33" spans="1:6" ht="16" customHeight="1" x14ac:dyDescent="0.25">
      <c r="A33" s="8">
        <v>32</v>
      </c>
      <c r="B33" s="1" t="s">
        <v>21</v>
      </c>
      <c r="C33" s="11" t="s">
        <v>31</v>
      </c>
      <c r="D33" s="11" t="s">
        <v>48</v>
      </c>
      <c r="E33" s="13">
        <v>45843</v>
      </c>
      <c r="F33" s="7">
        <v>9</v>
      </c>
    </row>
    <row r="34" spans="1:6" ht="16" customHeight="1" x14ac:dyDescent="0.25">
      <c r="A34" s="8">
        <v>33</v>
      </c>
      <c r="B34" s="1" t="s">
        <v>38</v>
      </c>
      <c r="C34" s="11" t="s">
        <v>31</v>
      </c>
      <c r="D34" s="12" t="s">
        <v>7</v>
      </c>
      <c r="E34" s="13">
        <v>45843</v>
      </c>
      <c r="F34" s="7">
        <v>4</v>
      </c>
    </row>
    <row r="35" spans="1:6" ht="16" customHeight="1" x14ac:dyDescent="0.25">
      <c r="A35" s="8">
        <v>34</v>
      </c>
      <c r="B35" s="1" t="s">
        <v>39</v>
      </c>
      <c r="C35" s="11" t="s">
        <v>40</v>
      </c>
      <c r="D35" s="12" t="s">
        <v>49</v>
      </c>
      <c r="E35" s="13">
        <v>45843</v>
      </c>
      <c r="F35" s="7">
        <v>150</v>
      </c>
    </row>
    <row r="36" spans="1:6" ht="16" customHeight="1" x14ac:dyDescent="0.25">
      <c r="A36" s="8">
        <v>35</v>
      </c>
      <c r="B36" s="1" t="s">
        <v>21</v>
      </c>
      <c r="C36" s="11" t="s">
        <v>40</v>
      </c>
      <c r="D36" s="11" t="s">
        <v>48</v>
      </c>
      <c r="E36" s="13">
        <v>45843</v>
      </c>
      <c r="F36" s="7">
        <v>19</v>
      </c>
    </row>
    <row r="37" spans="1:6" ht="16" customHeight="1" x14ac:dyDescent="0.25">
      <c r="A37" s="8">
        <v>36</v>
      </c>
      <c r="B37" s="1" t="s">
        <v>57</v>
      </c>
      <c r="C37" s="11" t="s">
        <v>40</v>
      </c>
      <c r="D37" s="12" t="s">
        <v>5</v>
      </c>
      <c r="E37" s="13">
        <v>45843</v>
      </c>
      <c r="F37" s="7">
        <v>160</v>
      </c>
    </row>
    <row r="38" spans="1:6" ht="16" customHeight="1" x14ac:dyDescent="0.25">
      <c r="A38" s="8">
        <v>37</v>
      </c>
      <c r="B38" s="1" t="s">
        <v>41</v>
      </c>
      <c r="C38" s="11" t="s">
        <v>40</v>
      </c>
      <c r="D38" s="11" t="s">
        <v>48</v>
      </c>
      <c r="E38" s="13">
        <v>45843</v>
      </c>
      <c r="F38" s="7">
        <v>3</v>
      </c>
    </row>
    <row r="39" spans="1:6" ht="16" customHeight="1" x14ac:dyDescent="0.25">
      <c r="A39" s="8">
        <v>38</v>
      </c>
      <c r="B39" s="1" t="s">
        <v>22</v>
      </c>
      <c r="C39" s="11" t="s">
        <v>40</v>
      </c>
      <c r="D39" s="12" t="s">
        <v>7</v>
      </c>
      <c r="E39" s="13">
        <v>45843</v>
      </c>
      <c r="F39" s="7">
        <v>6</v>
      </c>
    </row>
    <row r="40" spans="1:6" ht="16" customHeight="1" x14ac:dyDescent="0.25">
      <c r="A40" s="8">
        <v>39</v>
      </c>
      <c r="B40" s="1" t="s">
        <v>42</v>
      </c>
      <c r="C40" s="11" t="s">
        <v>40</v>
      </c>
      <c r="D40" s="12" t="s">
        <v>11</v>
      </c>
      <c r="E40" s="13">
        <v>45843</v>
      </c>
      <c r="F40" s="7">
        <v>4</v>
      </c>
    </row>
    <row r="41" spans="1:6" ht="16" customHeight="1" x14ac:dyDescent="0.25">
      <c r="A41" s="8">
        <v>40</v>
      </c>
      <c r="B41" s="1" t="s">
        <v>43</v>
      </c>
      <c r="C41" s="11" t="s">
        <v>40</v>
      </c>
      <c r="D41" s="12" t="s">
        <v>9</v>
      </c>
      <c r="E41" s="13">
        <v>45843</v>
      </c>
      <c r="F41" s="7">
        <v>3</v>
      </c>
    </row>
    <row r="42" spans="1:6" ht="16" customHeight="1" x14ac:dyDescent="0.25">
      <c r="A42" s="8">
        <v>41</v>
      </c>
      <c r="B42" s="1" t="s">
        <v>44</v>
      </c>
      <c r="C42" s="11" t="s">
        <v>40</v>
      </c>
      <c r="D42" s="12" t="s">
        <v>7</v>
      </c>
      <c r="E42" s="13">
        <v>45843</v>
      </c>
      <c r="F42" s="7">
        <v>4</v>
      </c>
    </row>
    <row r="43" spans="1:6" ht="16" customHeight="1" x14ac:dyDescent="0.25">
      <c r="A43" s="8">
        <v>42</v>
      </c>
      <c r="B43" s="1" t="s">
        <v>25</v>
      </c>
      <c r="C43" s="11" t="s">
        <v>40</v>
      </c>
      <c r="D43" s="12" t="s">
        <v>7</v>
      </c>
      <c r="E43" s="13">
        <v>45843</v>
      </c>
      <c r="F43" s="7">
        <v>25</v>
      </c>
    </row>
    <row r="44" spans="1:6" ht="16" customHeight="1" x14ac:dyDescent="0.25">
      <c r="A44" s="8">
        <v>43</v>
      </c>
      <c r="B44" s="1" t="s">
        <v>24</v>
      </c>
      <c r="C44" s="11" t="s">
        <v>40</v>
      </c>
      <c r="D44" s="12" t="s">
        <v>7</v>
      </c>
      <c r="E44" s="13">
        <v>45844</v>
      </c>
      <c r="F44" s="7">
        <v>3.5</v>
      </c>
    </row>
    <row r="45" spans="1:6" ht="16" customHeight="1" x14ac:dyDescent="0.25">
      <c r="A45" s="8">
        <v>44</v>
      </c>
      <c r="B45" s="1" t="s">
        <v>27</v>
      </c>
      <c r="C45" s="11" t="s">
        <v>40</v>
      </c>
      <c r="D45" s="11" t="s">
        <v>48</v>
      </c>
      <c r="E45" s="13">
        <v>45844</v>
      </c>
      <c r="F45" s="7">
        <v>1</v>
      </c>
    </row>
    <row r="46" spans="1:6" ht="16" customHeight="1" x14ac:dyDescent="0.25">
      <c r="A46" s="8">
        <v>45</v>
      </c>
      <c r="B46" s="1" t="s">
        <v>45</v>
      </c>
      <c r="C46" s="11" t="s">
        <v>40</v>
      </c>
      <c r="D46" s="12" t="s">
        <v>7</v>
      </c>
      <c r="E46" s="13">
        <v>45844</v>
      </c>
      <c r="F46" s="7">
        <v>5</v>
      </c>
    </row>
    <row r="47" spans="1:6" ht="16" customHeight="1" x14ac:dyDescent="0.25">
      <c r="A47" s="8">
        <v>46</v>
      </c>
      <c r="B47" s="1" t="s">
        <v>46</v>
      </c>
      <c r="C47" s="11" t="s">
        <v>40</v>
      </c>
      <c r="D47" s="12" t="s">
        <v>11</v>
      </c>
      <c r="E47" s="13">
        <v>45844</v>
      </c>
      <c r="F47" s="7">
        <v>22</v>
      </c>
    </row>
    <row r="48" spans="1:6" ht="16" customHeight="1" x14ac:dyDescent="0.25">
      <c r="A48" s="8">
        <v>47</v>
      </c>
      <c r="B48" s="1" t="s">
        <v>25</v>
      </c>
      <c r="C48" s="11" t="s">
        <v>40</v>
      </c>
      <c r="D48" s="12" t="s">
        <v>7</v>
      </c>
      <c r="E48" s="13">
        <v>45844</v>
      </c>
      <c r="F48" s="7">
        <v>12</v>
      </c>
    </row>
    <row r="49" spans="1:6" ht="16" customHeight="1" x14ac:dyDescent="0.25">
      <c r="A49" s="8">
        <v>48</v>
      </c>
      <c r="B49" s="1" t="s">
        <v>26</v>
      </c>
      <c r="C49" s="11" t="s">
        <v>40</v>
      </c>
      <c r="D49" s="12" t="s">
        <v>7</v>
      </c>
      <c r="E49" s="13">
        <v>45845</v>
      </c>
      <c r="F49" s="7">
        <v>6</v>
      </c>
    </row>
    <row r="50" spans="1:6" ht="16" customHeight="1" x14ac:dyDescent="0.25">
      <c r="A50" s="8">
        <v>49</v>
      </c>
      <c r="B50" s="1" t="s">
        <v>47</v>
      </c>
      <c r="C50" s="11" t="s">
        <v>40</v>
      </c>
      <c r="D50" s="12" t="s">
        <v>11</v>
      </c>
      <c r="E50" s="13">
        <v>45845</v>
      </c>
      <c r="F50" s="7">
        <v>8</v>
      </c>
    </row>
    <row r="51" spans="1:6" ht="16" customHeight="1" x14ac:dyDescent="0.25">
      <c r="A51" s="8">
        <v>50</v>
      </c>
      <c r="B51" s="1" t="s">
        <v>21</v>
      </c>
      <c r="C51" s="11" t="s">
        <v>40</v>
      </c>
      <c r="D51" s="11" t="s">
        <v>48</v>
      </c>
      <c r="E51" s="13">
        <v>45845</v>
      </c>
      <c r="F51" s="7">
        <v>10</v>
      </c>
    </row>
    <row r="52" spans="1:6" ht="16" customHeight="1" x14ac:dyDescent="0.25">
      <c r="A52" s="8"/>
      <c r="B52" s="19"/>
      <c r="C52" s="11"/>
      <c r="D52" s="12"/>
      <c r="E52" s="13"/>
      <c r="F52" s="7"/>
    </row>
    <row r="53" spans="1:6" ht="16" customHeight="1" x14ac:dyDescent="0.25">
      <c r="A53" s="8"/>
      <c r="B53" s="19"/>
      <c r="C53" s="11"/>
      <c r="D53" s="12"/>
      <c r="E53" s="13"/>
      <c r="F53" s="7"/>
    </row>
    <row r="54" spans="1:6" ht="16" customHeight="1" x14ac:dyDescent="0.25">
      <c r="A54" s="8"/>
      <c r="B54" s="19"/>
      <c r="C54" s="11"/>
      <c r="D54" s="12"/>
      <c r="E54" s="13"/>
      <c r="F54" s="7"/>
    </row>
    <row r="55" spans="1:6" ht="16" customHeight="1" x14ac:dyDescent="0.25">
      <c r="A55" s="8"/>
      <c r="B55" s="19"/>
      <c r="C55" s="11"/>
      <c r="D55" s="12"/>
      <c r="E55" s="13"/>
      <c r="F55" s="7"/>
    </row>
    <row r="56" spans="1:6" ht="16" customHeight="1" x14ac:dyDescent="0.25">
      <c r="A56" s="8"/>
      <c r="B56" s="19"/>
      <c r="C56" s="11"/>
      <c r="D56" s="12"/>
      <c r="E56" s="13"/>
      <c r="F56" s="7"/>
    </row>
    <row r="57" spans="1:6" ht="16" customHeight="1" x14ac:dyDescent="0.25">
      <c r="A57" s="8"/>
      <c r="B57" s="19"/>
      <c r="C57" s="11"/>
      <c r="D57" s="12"/>
      <c r="E57" s="13"/>
      <c r="F57" s="7"/>
    </row>
    <row r="58" spans="1:6" ht="16" customHeight="1" x14ac:dyDescent="0.25">
      <c r="A58" s="8"/>
      <c r="B58" s="19"/>
      <c r="C58" s="11"/>
      <c r="D58" s="12"/>
      <c r="E58" s="13"/>
      <c r="F58" s="7"/>
    </row>
    <row r="59" spans="1:6" ht="16" customHeight="1" x14ac:dyDescent="0.25">
      <c r="A59" s="8"/>
      <c r="B59" s="19"/>
      <c r="C59" s="11"/>
      <c r="D59" s="12"/>
      <c r="E59" s="13"/>
      <c r="F59" s="7"/>
    </row>
    <row r="60" spans="1:6" ht="16" customHeight="1" x14ac:dyDescent="0.25">
      <c r="A60" s="8"/>
      <c r="B60" s="19"/>
      <c r="C60" s="11"/>
      <c r="D60" s="12"/>
      <c r="E60" s="13"/>
      <c r="F60" s="7"/>
    </row>
    <row r="61" spans="1:6" ht="16" customHeight="1" x14ac:dyDescent="0.25">
      <c r="A61" s="8"/>
      <c r="B61" s="19"/>
      <c r="C61" s="11"/>
      <c r="D61" s="12"/>
      <c r="E61" s="13"/>
      <c r="F61" s="7"/>
    </row>
    <row r="62" spans="1:6" ht="16" customHeight="1" x14ac:dyDescent="0.25">
      <c r="A62" s="8"/>
      <c r="B62" s="19"/>
      <c r="C62" s="11"/>
      <c r="D62" s="12"/>
      <c r="E62" s="13"/>
      <c r="F62" s="7"/>
    </row>
    <row r="63" spans="1:6" ht="16" customHeight="1" x14ac:dyDescent="0.25">
      <c r="A63" s="8"/>
      <c r="B63" s="19"/>
      <c r="C63" s="11"/>
      <c r="D63" s="12"/>
      <c r="E63" s="13"/>
      <c r="F63" s="7"/>
    </row>
    <row r="64" spans="1:6" ht="16" customHeight="1" x14ac:dyDescent="0.25">
      <c r="A64" s="8"/>
      <c r="B64" s="19"/>
      <c r="C64" s="11"/>
      <c r="D64" s="12"/>
      <c r="E64" s="13"/>
      <c r="F64" s="7"/>
    </row>
    <row r="65" spans="1:6" ht="16" customHeight="1" x14ac:dyDescent="0.25">
      <c r="A65" s="8"/>
      <c r="B65" s="19"/>
      <c r="C65" s="11"/>
      <c r="D65" s="12"/>
      <c r="E65" s="13"/>
      <c r="F65" s="7"/>
    </row>
    <row r="66" spans="1:6" ht="16" customHeight="1" x14ac:dyDescent="0.25">
      <c r="A66" s="8"/>
      <c r="B66" s="19"/>
      <c r="C66" s="11"/>
      <c r="D66" s="12"/>
      <c r="E66" s="13"/>
      <c r="F66" s="7"/>
    </row>
    <row r="67" spans="1:6" ht="16" customHeight="1" x14ac:dyDescent="0.25">
      <c r="A67" s="8"/>
      <c r="B67" s="19"/>
      <c r="C67" s="11"/>
      <c r="D67" s="12"/>
      <c r="E67" s="13"/>
      <c r="F67" s="7"/>
    </row>
    <row r="68" spans="1:6" ht="16" customHeight="1" x14ac:dyDescent="0.25">
      <c r="A68" s="8"/>
      <c r="B68" s="19"/>
      <c r="C68" s="11"/>
      <c r="D68" s="12"/>
      <c r="E68" s="13"/>
      <c r="F68" s="7"/>
    </row>
    <row r="69" spans="1:6" ht="16" customHeight="1" x14ac:dyDescent="0.25">
      <c r="A69" s="8"/>
      <c r="B69" s="19"/>
      <c r="C69" s="11"/>
      <c r="D69" s="12"/>
      <c r="E69" s="13"/>
      <c r="F69" s="7"/>
    </row>
    <row r="70" spans="1:6" ht="16" customHeight="1" x14ac:dyDescent="0.25">
      <c r="A70" s="8"/>
      <c r="B70" s="19"/>
      <c r="C70" s="11"/>
      <c r="D70" s="12"/>
      <c r="E70" s="13"/>
      <c r="F70" s="7"/>
    </row>
    <row r="71" spans="1:6" ht="16" customHeight="1" x14ac:dyDescent="0.25">
      <c r="A71" s="8"/>
      <c r="B71" s="19"/>
      <c r="C71" s="11"/>
      <c r="D71" s="12"/>
      <c r="E71" s="13"/>
      <c r="F71" s="7"/>
    </row>
    <row r="72" spans="1:6" ht="16" customHeight="1" x14ac:dyDescent="0.25">
      <c r="A72" s="8"/>
      <c r="B72" s="19"/>
      <c r="C72" s="11"/>
      <c r="D72" s="12"/>
      <c r="E72" s="13"/>
      <c r="F72" s="7"/>
    </row>
    <row r="73" spans="1:6" ht="16" customHeight="1" x14ac:dyDescent="0.25">
      <c r="A73" s="8"/>
      <c r="B73" s="19"/>
      <c r="C73" s="11"/>
      <c r="D73" s="12"/>
      <c r="E73" s="13"/>
      <c r="F73" s="7"/>
    </row>
    <row r="74" spans="1:6" ht="16" customHeight="1" x14ac:dyDescent="0.25">
      <c r="A74" s="8"/>
      <c r="B74" s="19"/>
      <c r="C74" s="11"/>
      <c r="D74" s="12"/>
      <c r="E74" s="13"/>
      <c r="F74" s="7"/>
    </row>
    <row r="75" spans="1:6" ht="16" customHeight="1" x14ac:dyDescent="0.25">
      <c r="A75" s="8"/>
      <c r="B75" s="19"/>
      <c r="C75" s="11"/>
      <c r="D75" s="12"/>
      <c r="E75" s="13"/>
      <c r="F75" s="7"/>
    </row>
    <row r="76" spans="1:6" ht="16" customHeight="1" x14ac:dyDescent="0.25">
      <c r="A76" s="8"/>
      <c r="B76" s="19"/>
      <c r="C76" s="11"/>
      <c r="D76" s="12"/>
      <c r="E76" s="13"/>
      <c r="F76" s="7"/>
    </row>
    <row r="77" spans="1:6" ht="16" customHeight="1" x14ac:dyDescent="0.25">
      <c r="A77" s="8"/>
      <c r="B77" s="19"/>
      <c r="C77" s="11"/>
      <c r="D77" s="12"/>
      <c r="E77" s="13"/>
      <c r="F77" s="7"/>
    </row>
    <row r="78" spans="1:6" ht="16" customHeight="1" x14ac:dyDescent="0.25">
      <c r="A78" s="8"/>
      <c r="B78" s="19"/>
      <c r="C78" s="11"/>
      <c r="D78" s="12"/>
      <c r="E78" s="13"/>
      <c r="F78" s="7"/>
    </row>
    <row r="79" spans="1:6" ht="16" customHeight="1" x14ac:dyDescent="0.25">
      <c r="A79" s="8"/>
      <c r="B79" s="19"/>
      <c r="C79" s="11"/>
      <c r="D79" s="12"/>
      <c r="E79" s="13"/>
      <c r="F79" s="7"/>
    </row>
    <row r="80" spans="1:6" ht="16" customHeight="1" x14ac:dyDescent="0.25">
      <c r="A80" s="8"/>
      <c r="B80" s="19"/>
      <c r="C80" s="11"/>
      <c r="D80" s="12"/>
      <c r="E80" s="13"/>
      <c r="F80" s="7"/>
    </row>
    <row r="81" spans="1:6" ht="16" customHeight="1" x14ac:dyDescent="0.25">
      <c r="A81" s="8"/>
      <c r="B81" s="19"/>
      <c r="C81" s="11"/>
      <c r="D81" s="12"/>
      <c r="E81" s="13"/>
      <c r="F81" s="7"/>
    </row>
    <row r="82" spans="1:6" ht="16" customHeight="1" x14ac:dyDescent="0.25">
      <c r="A82" s="8"/>
      <c r="B82" s="19"/>
      <c r="C82" s="11"/>
      <c r="D82" s="12"/>
      <c r="E82" s="13"/>
      <c r="F82" s="7"/>
    </row>
    <row r="83" spans="1:6" ht="16" customHeight="1" x14ac:dyDescent="0.25">
      <c r="A83" s="8"/>
      <c r="B83" s="19"/>
      <c r="C83" s="11"/>
      <c r="D83" s="12"/>
      <c r="E83" s="13"/>
      <c r="F83" s="7"/>
    </row>
    <row r="84" spans="1:6" ht="16" customHeight="1" x14ac:dyDescent="0.25">
      <c r="A84" s="8"/>
      <c r="B84" s="19"/>
      <c r="C84" s="11"/>
      <c r="D84" s="12"/>
      <c r="E84" s="13"/>
      <c r="F84" s="7"/>
    </row>
    <row r="85" spans="1:6" ht="16" customHeight="1" x14ac:dyDescent="0.25">
      <c r="A85" s="8"/>
      <c r="B85" s="19"/>
      <c r="C85" s="11"/>
      <c r="D85" s="12"/>
      <c r="E85" s="13"/>
      <c r="F85" s="7"/>
    </row>
    <row r="86" spans="1:6" ht="16" customHeight="1" x14ac:dyDescent="0.25">
      <c r="A86" s="8"/>
      <c r="B86" s="19"/>
      <c r="C86" s="11"/>
      <c r="D86" s="12"/>
      <c r="E86" s="13"/>
      <c r="F86" s="7"/>
    </row>
    <row r="87" spans="1:6" ht="16" customHeight="1" x14ac:dyDescent="0.25">
      <c r="A87" s="8"/>
      <c r="B87" s="19"/>
      <c r="C87" s="11"/>
      <c r="D87" s="12"/>
      <c r="E87" s="13"/>
      <c r="F87" s="7"/>
    </row>
    <row r="88" spans="1:6" ht="16" customHeight="1" x14ac:dyDescent="0.25">
      <c r="A88" s="8"/>
      <c r="B88" s="19"/>
      <c r="C88" s="11"/>
      <c r="D88" s="12"/>
      <c r="E88" s="13"/>
      <c r="F88" s="7"/>
    </row>
    <row r="89" spans="1:6" ht="16" customHeight="1" x14ac:dyDescent="0.25">
      <c r="A89" s="8"/>
      <c r="B89" s="19"/>
      <c r="C89" s="11"/>
      <c r="D89" s="12"/>
      <c r="E89" s="13"/>
      <c r="F89" s="7"/>
    </row>
    <row r="90" spans="1:6" ht="16" customHeight="1" x14ac:dyDescent="0.25">
      <c r="A90" s="8"/>
      <c r="B90" s="19"/>
      <c r="C90" s="11"/>
      <c r="D90" s="12"/>
      <c r="E90" s="13"/>
      <c r="F90" s="7"/>
    </row>
    <row r="91" spans="1:6" ht="16" customHeight="1" x14ac:dyDescent="0.25">
      <c r="A91" s="8"/>
      <c r="B91" s="19"/>
      <c r="C91" s="11"/>
      <c r="D91" s="12"/>
      <c r="E91" s="13"/>
      <c r="F91" s="7"/>
    </row>
    <row r="92" spans="1:6" ht="16" customHeight="1" x14ac:dyDescent="0.25">
      <c r="A92" s="8"/>
      <c r="B92" s="19"/>
      <c r="C92" s="11"/>
      <c r="D92" s="12"/>
      <c r="E92" s="13"/>
      <c r="F92" s="7"/>
    </row>
    <row r="93" spans="1:6" ht="16" customHeight="1" x14ac:dyDescent="0.25">
      <c r="A93" s="8"/>
      <c r="B93" s="19"/>
      <c r="C93" s="11"/>
      <c r="D93" s="12"/>
      <c r="E93" s="13"/>
      <c r="F93" s="7"/>
    </row>
    <row r="94" spans="1:6" ht="16" customHeight="1" x14ac:dyDescent="0.25">
      <c r="A94" s="8"/>
      <c r="B94" s="19"/>
      <c r="C94" s="11"/>
      <c r="D94" s="12"/>
      <c r="E94" s="13"/>
      <c r="F94" s="7"/>
    </row>
    <row r="95" spans="1:6" ht="16" customHeight="1" x14ac:dyDescent="0.25">
      <c r="A95" s="8"/>
      <c r="B95" s="19"/>
      <c r="C95" s="11"/>
      <c r="D95" s="12"/>
      <c r="E95" s="13"/>
      <c r="F95" s="7"/>
    </row>
    <row r="96" spans="1:6" ht="16" customHeight="1" x14ac:dyDescent="0.25">
      <c r="A96" s="8"/>
      <c r="B96" s="19"/>
      <c r="C96" s="11"/>
      <c r="D96" s="12"/>
      <c r="E96" s="13"/>
      <c r="F96" s="7"/>
    </row>
    <row r="97" spans="1:6" ht="16" customHeight="1" x14ac:dyDescent="0.25">
      <c r="A97" s="8"/>
      <c r="B97" s="19"/>
      <c r="C97" s="11"/>
      <c r="D97" s="12"/>
      <c r="E97" s="13"/>
      <c r="F97" s="7"/>
    </row>
    <row r="98" spans="1:6" ht="16" customHeight="1" x14ac:dyDescent="0.25">
      <c r="A98" s="8"/>
      <c r="B98" s="19"/>
      <c r="C98" s="11"/>
      <c r="D98" s="12"/>
      <c r="E98" s="13"/>
      <c r="F98" s="7"/>
    </row>
    <row r="99" spans="1:6" ht="16" customHeight="1" x14ac:dyDescent="0.25">
      <c r="A99" s="8"/>
      <c r="B99" s="19"/>
      <c r="C99" s="11"/>
      <c r="D99" s="12"/>
      <c r="E99" s="13"/>
      <c r="F99" s="7"/>
    </row>
    <row r="100" spans="1:6" ht="16" customHeight="1" x14ac:dyDescent="0.25">
      <c r="A100" s="8"/>
      <c r="B100" s="19"/>
      <c r="C100" s="11"/>
      <c r="D100" s="12"/>
      <c r="E100" s="13"/>
      <c r="F100" s="7"/>
    </row>
    <row r="101" spans="1:6" ht="16" customHeight="1" x14ac:dyDescent="0.25">
      <c r="A101" s="8"/>
      <c r="B101" s="19"/>
      <c r="C101" s="11"/>
      <c r="D101" s="12"/>
      <c r="E101" s="13"/>
      <c r="F101" s="7"/>
    </row>
    <row r="102" spans="1:6" ht="16" customHeight="1" x14ac:dyDescent="0.25">
      <c r="A102" s="8"/>
      <c r="B102" s="19"/>
      <c r="C102" s="11"/>
      <c r="D102" s="12"/>
      <c r="E102" s="13"/>
      <c r="F102" s="7"/>
    </row>
    <row r="103" spans="1:6" ht="16" customHeight="1" x14ac:dyDescent="0.25">
      <c r="A103" s="8"/>
      <c r="B103" s="19"/>
      <c r="C103" s="11"/>
      <c r="D103" s="12"/>
      <c r="E103" s="13"/>
      <c r="F103" s="7"/>
    </row>
    <row r="104" spans="1:6" ht="16" customHeight="1" x14ac:dyDescent="0.25">
      <c r="A104" s="8"/>
      <c r="B104" s="19"/>
      <c r="C104" s="11"/>
      <c r="D104" s="12"/>
      <c r="E104" s="13"/>
      <c r="F104" s="7"/>
    </row>
    <row r="105" spans="1:6" ht="16" customHeight="1" x14ac:dyDescent="0.25">
      <c r="A105" s="8"/>
      <c r="B105" s="19"/>
      <c r="C105" s="11"/>
      <c r="D105" s="12"/>
      <c r="E105" s="13"/>
      <c r="F105" s="7"/>
    </row>
    <row r="106" spans="1:6" ht="16" customHeight="1" x14ac:dyDescent="0.25">
      <c r="A106" s="8"/>
      <c r="B106" s="19"/>
      <c r="C106" s="11"/>
      <c r="D106" s="12"/>
      <c r="E106" s="13"/>
      <c r="F106" s="7"/>
    </row>
    <row r="107" spans="1:6" ht="16" customHeight="1" x14ac:dyDescent="0.25">
      <c r="A107" s="8"/>
      <c r="B107" s="19"/>
      <c r="C107" s="11"/>
      <c r="D107" s="12"/>
      <c r="E107" s="13"/>
      <c r="F107" s="7"/>
    </row>
    <row r="108" spans="1:6" ht="16" customHeight="1" x14ac:dyDescent="0.25">
      <c r="A108" s="8"/>
      <c r="B108" s="19"/>
      <c r="C108" s="11"/>
      <c r="D108" s="12"/>
      <c r="E108" s="13"/>
      <c r="F108" s="7"/>
    </row>
    <row r="109" spans="1:6" ht="16" customHeight="1" x14ac:dyDescent="0.25">
      <c r="A109" s="8"/>
      <c r="B109" s="19"/>
      <c r="C109" s="11"/>
      <c r="D109" s="12"/>
      <c r="E109" s="13"/>
      <c r="F109" s="7"/>
    </row>
    <row r="110" spans="1:6" ht="16" customHeight="1" x14ac:dyDescent="0.25">
      <c r="A110" s="8"/>
      <c r="B110" s="19"/>
      <c r="C110" s="11"/>
      <c r="D110" s="12"/>
      <c r="E110" s="13"/>
      <c r="F110" s="7"/>
    </row>
    <row r="111" spans="1:6" ht="16" customHeight="1" x14ac:dyDescent="0.25">
      <c r="A111" s="8"/>
      <c r="B111" s="19"/>
      <c r="C111" s="11"/>
      <c r="D111" s="12"/>
      <c r="E111" s="13"/>
      <c r="F111" s="7"/>
    </row>
    <row r="112" spans="1:6" ht="16" customHeight="1" x14ac:dyDescent="0.25">
      <c r="A112" s="8"/>
      <c r="B112" s="19"/>
      <c r="C112" s="11"/>
      <c r="D112" s="12"/>
      <c r="E112" s="13"/>
      <c r="F112" s="7"/>
    </row>
    <row r="113" spans="1:6" ht="16" customHeight="1" x14ac:dyDescent="0.25">
      <c r="A113" s="8"/>
      <c r="B113" s="19"/>
      <c r="C113" s="11"/>
      <c r="D113" s="12"/>
      <c r="E113" s="13"/>
      <c r="F113" s="7"/>
    </row>
    <row r="114" spans="1:6" ht="16" customHeight="1" x14ac:dyDescent="0.25">
      <c r="A114" s="8"/>
      <c r="B114" s="19"/>
      <c r="C114" s="11"/>
      <c r="D114" s="12"/>
      <c r="E114" s="13"/>
      <c r="F114" s="7"/>
    </row>
    <row r="115" spans="1:6" ht="16" customHeight="1" x14ac:dyDescent="0.25">
      <c r="A115" s="8"/>
      <c r="B115" s="19"/>
      <c r="C115" s="11"/>
      <c r="D115" s="12"/>
      <c r="E115" s="13"/>
      <c r="F115" s="7"/>
    </row>
    <row r="116" spans="1:6" ht="16" customHeight="1" x14ac:dyDescent="0.25">
      <c r="A116" s="8"/>
      <c r="B116" s="19"/>
      <c r="C116" s="11"/>
      <c r="D116" s="12"/>
      <c r="E116" s="13"/>
      <c r="F116" s="7"/>
    </row>
    <row r="117" spans="1:6" ht="16" customHeight="1" x14ac:dyDescent="0.25">
      <c r="A117" s="8"/>
      <c r="B117" s="19"/>
      <c r="C117" s="11"/>
      <c r="D117" s="12"/>
      <c r="E117" s="13"/>
      <c r="F117" s="7"/>
    </row>
    <row r="118" spans="1:6" ht="16" customHeight="1" x14ac:dyDescent="0.25">
      <c r="A118" s="8"/>
      <c r="B118" s="19"/>
      <c r="C118" s="11"/>
      <c r="D118" s="12"/>
      <c r="E118" s="13"/>
      <c r="F118" s="7"/>
    </row>
    <row r="119" spans="1:6" ht="16" customHeight="1" x14ac:dyDescent="0.25">
      <c r="A119" s="8"/>
      <c r="B119" s="19"/>
      <c r="C119" s="11"/>
      <c r="D119" s="12"/>
      <c r="E119" s="13"/>
      <c r="F119" s="7"/>
    </row>
    <row r="120" spans="1:6" ht="16" customHeight="1" x14ac:dyDescent="0.25">
      <c r="A120" s="8"/>
      <c r="B120" s="19"/>
      <c r="C120" s="11"/>
      <c r="D120" s="12"/>
      <c r="E120" s="13"/>
      <c r="F120" s="7"/>
    </row>
    <row r="121" spans="1:6" ht="16" customHeight="1" x14ac:dyDescent="0.25">
      <c r="A121" s="8"/>
      <c r="B121" s="19"/>
      <c r="C121" s="11"/>
      <c r="D121" s="12"/>
      <c r="E121" s="13"/>
      <c r="F121" s="7"/>
    </row>
    <row r="122" spans="1:6" ht="16" customHeight="1" x14ac:dyDescent="0.25">
      <c r="A122" s="8"/>
      <c r="B122" s="19"/>
      <c r="C122" s="11"/>
      <c r="D122" s="12"/>
      <c r="E122" s="13"/>
      <c r="F122" s="7"/>
    </row>
    <row r="123" spans="1:6" ht="16" customHeight="1" x14ac:dyDescent="0.25">
      <c r="A123" s="8"/>
      <c r="B123" s="19"/>
      <c r="C123" s="11"/>
      <c r="D123" s="12"/>
      <c r="E123" s="13"/>
      <c r="F123" s="7"/>
    </row>
    <row r="124" spans="1:6" ht="16" customHeight="1" x14ac:dyDescent="0.25">
      <c r="A124" s="8"/>
      <c r="B124" s="19"/>
      <c r="C124" s="11"/>
      <c r="D124" s="12"/>
      <c r="E124" s="13"/>
      <c r="F124" s="7"/>
    </row>
    <row r="125" spans="1:6" ht="16" customHeight="1" x14ac:dyDescent="0.25">
      <c r="A125" s="8"/>
      <c r="B125" s="19"/>
      <c r="C125" s="11"/>
      <c r="D125" s="12"/>
      <c r="E125" s="13"/>
      <c r="F125" s="7"/>
    </row>
    <row r="126" spans="1:6" ht="16" customHeight="1" x14ac:dyDescent="0.25">
      <c r="A126" s="8"/>
      <c r="B126" s="19"/>
      <c r="C126" s="11"/>
      <c r="D126" s="12"/>
      <c r="E126" s="13"/>
      <c r="F126" s="7"/>
    </row>
    <row r="127" spans="1:6" ht="16" customHeight="1" x14ac:dyDescent="0.25">
      <c r="A127" s="8"/>
      <c r="B127" s="19"/>
      <c r="C127" s="11"/>
      <c r="D127" s="12"/>
      <c r="E127" s="13"/>
      <c r="F127" s="7"/>
    </row>
    <row r="128" spans="1:6" ht="16" customHeight="1" x14ac:dyDescent="0.25">
      <c r="A128" s="8"/>
      <c r="B128" s="19"/>
      <c r="C128" s="11"/>
      <c r="D128" s="12"/>
      <c r="E128" s="13"/>
      <c r="F128" s="7"/>
    </row>
    <row r="129" spans="1:6" ht="16" customHeight="1" x14ac:dyDescent="0.25">
      <c r="A129" s="8"/>
      <c r="B129" s="19"/>
      <c r="C129" s="11"/>
      <c r="D129" s="12"/>
      <c r="E129" s="13"/>
      <c r="F129" s="7"/>
    </row>
    <row r="130" spans="1:6" ht="16" customHeight="1" x14ac:dyDescent="0.25">
      <c r="A130" s="8"/>
      <c r="B130" s="19"/>
      <c r="C130" s="11"/>
      <c r="D130" s="12"/>
      <c r="E130" s="13"/>
      <c r="F130" s="7"/>
    </row>
    <row r="131" spans="1:6" ht="16" customHeight="1" x14ac:dyDescent="0.25">
      <c r="A131" s="8"/>
      <c r="B131" s="19"/>
      <c r="C131" s="11"/>
      <c r="D131" s="12"/>
      <c r="E131" s="13"/>
      <c r="F131" s="7"/>
    </row>
    <row r="132" spans="1:6" ht="16" customHeight="1" x14ac:dyDescent="0.25">
      <c r="A132" s="8"/>
      <c r="B132" s="19"/>
      <c r="C132" s="11"/>
      <c r="D132" s="12"/>
      <c r="E132" s="13"/>
      <c r="F132" s="7"/>
    </row>
    <row r="133" spans="1:6" ht="16" customHeight="1" x14ac:dyDescent="0.25">
      <c r="A133" s="8"/>
      <c r="B133" s="19"/>
      <c r="C133" s="11"/>
      <c r="D133" s="12"/>
      <c r="E133" s="13"/>
      <c r="F133" s="7"/>
    </row>
    <row r="134" spans="1:6" ht="16" customHeight="1" x14ac:dyDescent="0.25">
      <c r="A134" s="8"/>
      <c r="B134" s="19"/>
      <c r="C134" s="11"/>
      <c r="D134" s="12"/>
      <c r="E134" s="13"/>
      <c r="F134" s="7"/>
    </row>
    <row r="135" spans="1:6" ht="16" customHeight="1" x14ac:dyDescent="0.25">
      <c r="A135" s="8"/>
      <c r="B135" s="19"/>
      <c r="C135" s="11"/>
      <c r="D135" s="12"/>
      <c r="E135" s="13"/>
      <c r="F135" s="7"/>
    </row>
    <row r="136" spans="1:6" ht="16" customHeight="1" x14ac:dyDescent="0.25">
      <c r="A136" s="8"/>
      <c r="B136" s="19"/>
      <c r="C136" s="11"/>
      <c r="D136" s="12"/>
      <c r="E136" s="13"/>
      <c r="F136" s="7"/>
    </row>
    <row r="137" spans="1:6" ht="16" customHeight="1" x14ac:dyDescent="0.25">
      <c r="A137" s="8"/>
      <c r="B137" s="19"/>
      <c r="C137" s="11"/>
      <c r="D137" s="12"/>
      <c r="E137" s="13"/>
      <c r="F137" s="7"/>
    </row>
    <row r="138" spans="1:6" ht="16" customHeight="1" x14ac:dyDescent="0.25">
      <c r="A138" s="8"/>
      <c r="B138" s="19"/>
      <c r="C138" s="11"/>
      <c r="D138" s="12"/>
      <c r="E138" s="13"/>
      <c r="F138" s="7"/>
    </row>
    <row r="139" spans="1:6" ht="16" customHeight="1" x14ac:dyDescent="0.25">
      <c r="A139" s="8"/>
      <c r="B139" s="19"/>
      <c r="C139" s="11"/>
      <c r="D139" s="12"/>
      <c r="E139" s="13"/>
      <c r="F139" s="7"/>
    </row>
    <row r="140" spans="1:6" ht="16" customHeight="1" x14ac:dyDescent="0.25">
      <c r="A140" s="8"/>
      <c r="B140" s="19"/>
      <c r="C140" s="11"/>
      <c r="D140" s="12"/>
      <c r="E140" s="13"/>
      <c r="F140" s="7"/>
    </row>
    <row r="141" spans="1:6" ht="16" customHeight="1" x14ac:dyDescent="0.25">
      <c r="A141" s="8"/>
      <c r="B141" s="19"/>
      <c r="C141" s="11"/>
      <c r="D141" s="12"/>
      <c r="E141" s="13"/>
      <c r="F141" s="7"/>
    </row>
    <row r="142" spans="1:6" ht="16" customHeight="1" x14ac:dyDescent="0.25">
      <c r="A142" s="8"/>
      <c r="B142" s="19"/>
      <c r="C142" s="11"/>
      <c r="D142" s="12"/>
      <c r="E142" s="13"/>
      <c r="F142" s="7"/>
    </row>
    <row r="143" spans="1:6" ht="16" customHeight="1" x14ac:dyDescent="0.25">
      <c r="A143" s="8"/>
      <c r="B143" s="19"/>
      <c r="C143" s="11"/>
      <c r="D143" s="12"/>
      <c r="E143" s="13"/>
      <c r="F143" s="7"/>
    </row>
    <row r="144" spans="1:6" ht="16" customHeight="1" x14ac:dyDescent="0.25">
      <c r="A144" s="8"/>
      <c r="B144" s="19"/>
      <c r="C144" s="11"/>
      <c r="D144" s="12"/>
      <c r="E144" s="13"/>
      <c r="F144" s="7"/>
    </row>
    <row r="145" ht="16" customHeight="1" x14ac:dyDescent="0.25"/>
    <row r="146" ht="16" customHeight="1" x14ac:dyDescent="0.25"/>
    <row r="147" ht="16" customHeight="1" x14ac:dyDescent="0.25"/>
    <row r="148" ht="16" customHeight="1" x14ac:dyDescent="0.25"/>
    <row r="149" ht="16" customHeight="1" x14ac:dyDescent="0.25"/>
    <row r="150" ht="16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Overview</vt:lpstr>
      <vt:lpstr>Expenses log</vt:lpstr>
      <vt:lpstr>expense_amount</vt:lpstr>
      <vt:lpstr>expense_type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Daniel González-Albo Campillo</cp:lastModifiedBy>
  <cp:revision/>
  <dcterms:created xsi:type="dcterms:W3CDTF">2025-07-01T14:44:46Z</dcterms:created>
  <dcterms:modified xsi:type="dcterms:W3CDTF">2026-06-25T13:41:59Z</dcterms:modified>
  <cp:category/>
  <cp:contentStatus/>
</cp:coreProperties>
</file>