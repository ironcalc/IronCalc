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dg-ac/Documents/IronCalc/xlsx/tests/templates/"/>
    </mc:Choice>
  </mc:AlternateContent>
  <xr:revisionPtr revIDLastSave="0" documentId="8_{D89AB0B5-0349-D14B-94B7-F49E933AD94B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Plan" sheetId="2" r:id="rId1"/>
    <sheet name="Tasks" sheetId="3" r:id="rId2"/>
    <sheet name="Settings" sheetId="1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3" i="1" s="1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H40" i="2" a="1"/>
  <c r="H40" i="2"/>
  <c r="G40" i="2" a="1"/>
  <c r="G40" i="2" s="1"/>
  <c r="F40" i="2" a="1"/>
  <c r="F40" i="2"/>
  <c r="E40" i="2" a="1"/>
  <c r="E40" i="2" s="1"/>
  <c r="D40" i="2" a="1"/>
  <c r="D40" i="2"/>
  <c r="C40" i="2" a="1"/>
  <c r="C40" i="2"/>
  <c r="B40" i="2" a="1"/>
  <c r="B40" i="2" s="1"/>
  <c r="A40" i="2" a="1"/>
  <c r="A40" i="2" s="1"/>
  <c r="H39" i="2" a="1"/>
  <c r="H39" i="2"/>
  <c r="G39" i="2" a="1"/>
  <c r="G39" i="2"/>
  <c r="F39" i="2" a="1"/>
  <c r="F39" i="2"/>
  <c r="E39" i="2" a="1"/>
  <c r="E39" i="2" s="1"/>
  <c r="D39" i="2" a="1"/>
  <c r="D39" i="2"/>
  <c r="C39" i="2" a="1"/>
  <c r="C39" i="2" s="1"/>
  <c r="B39" i="2" a="1"/>
  <c r="B39" i="2"/>
  <c r="A39" i="2" a="1"/>
  <c r="A39" i="2" s="1"/>
  <c r="H38" i="2" a="1"/>
  <c r="H38" i="2"/>
  <c r="G38" i="2" a="1"/>
  <c r="G38" i="2" s="1"/>
  <c r="F38" i="2" a="1"/>
  <c r="F38" i="2"/>
  <c r="E38" i="2" a="1"/>
  <c r="E38" i="2" s="1"/>
  <c r="D38" i="2" a="1"/>
  <c r="D38" i="2"/>
  <c r="C38" i="2" a="1"/>
  <c r="C38" i="2" s="1"/>
  <c r="B38" i="2" a="1"/>
  <c r="B38" i="2" s="1"/>
  <c r="A38" i="2" a="1"/>
  <c r="A38" i="2" s="1"/>
  <c r="H37" i="2" a="1"/>
  <c r="H37" i="2"/>
  <c r="G37" i="2" a="1"/>
  <c r="G37" i="2"/>
  <c r="F37" i="2" a="1"/>
  <c r="F37" i="2" s="1"/>
  <c r="E37" i="2" a="1"/>
  <c r="E37" i="2" s="1"/>
  <c r="D37" i="2" a="1"/>
  <c r="D37" i="2"/>
  <c r="C37" i="2" a="1"/>
  <c r="C37" i="2" s="1"/>
  <c r="B37" i="2" a="1"/>
  <c r="B37" i="2" s="1"/>
  <c r="A37" i="2" a="1"/>
  <c r="A37" i="2" s="1"/>
  <c r="H36" i="2" a="1"/>
  <c r="H36" i="2"/>
  <c r="G36" i="2" a="1"/>
  <c r="G36" i="2" s="1"/>
  <c r="F36" i="2" a="1"/>
  <c r="F36" i="2" s="1"/>
  <c r="E36" i="2" a="1"/>
  <c r="E36" i="2" s="1"/>
  <c r="D36" i="2" a="1"/>
  <c r="D36" i="2"/>
  <c r="C36" i="2" a="1"/>
  <c r="C36" i="2"/>
  <c r="B36" i="2" a="1"/>
  <c r="B36" i="2" s="1"/>
  <c r="A36" i="2" a="1"/>
  <c r="A36" i="2" s="1"/>
  <c r="H35" i="2" a="1"/>
  <c r="H35" i="2"/>
  <c r="G35" i="2" a="1"/>
  <c r="G35" i="2"/>
  <c r="F35" i="2" a="1"/>
  <c r="F35" i="2"/>
  <c r="E35" i="2" a="1"/>
  <c r="E35" i="2" s="1"/>
  <c r="D35" i="2" a="1"/>
  <c r="D35" i="2"/>
  <c r="C35" i="2" a="1"/>
  <c r="C35" i="2" s="1"/>
  <c r="B35" i="2" a="1"/>
  <c r="B35" i="2"/>
  <c r="A35" i="2" a="1"/>
  <c r="A35" i="2" s="1"/>
  <c r="H34" i="2" a="1"/>
  <c r="H34" i="2"/>
  <c r="G34" i="2" a="1"/>
  <c r="G34" i="2" s="1"/>
  <c r="F34" i="2" a="1"/>
  <c r="F34" i="2"/>
  <c r="E34" i="2" a="1"/>
  <c r="E34" i="2" s="1"/>
  <c r="D34" i="2" a="1"/>
  <c r="D34" i="2"/>
  <c r="C34" i="2" a="1"/>
  <c r="C34" i="2" s="1"/>
  <c r="B34" i="2" a="1"/>
  <c r="B34" i="2" s="1"/>
  <c r="A34" i="2" a="1"/>
  <c r="A34" i="2" s="1"/>
  <c r="CB33" i="2" a="1"/>
  <c r="CB33" i="2"/>
  <c r="CB32" i="2" a="1"/>
  <c r="CB32" i="2"/>
  <c r="CB31" i="2" a="1"/>
  <c r="CB31" i="2" s="1"/>
  <c r="CB30" i="2" a="1"/>
  <c r="CB30" i="2" s="1"/>
  <c r="CB29" i="2" a="1"/>
  <c r="CB29" i="2"/>
  <c r="CB28" i="2" a="1"/>
  <c r="CB28" i="2" s="1"/>
  <c r="CB27" i="2" a="1"/>
  <c r="CB27" i="2"/>
  <c r="CB26" i="2" a="1"/>
  <c r="CB26" i="2" s="1"/>
  <c r="CB25" i="2" a="1"/>
  <c r="CB25" i="2" s="1"/>
  <c r="CB24" i="2" a="1"/>
  <c r="CB24" i="2"/>
  <c r="CB23" i="2" a="1"/>
  <c r="CB23" i="2"/>
  <c r="CB22" i="2" a="1"/>
  <c r="CB22" i="2" s="1"/>
  <c r="CB21" i="2" a="1"/>
  <c r="CB21" i="2"/>
  <c r="CB20" i="2" a="1"/>
  <c r="CB20" i="2"/>
  <c r="CB19" i="2" a="1"/>
  <c r="CB19" i="2" s="1"/>
  <c r="CB18" i="2" a="1"/>
  <c r="CB18" i="2" s="1"/>
  <c r="CB17" i="2" a="1"/>
  <c r="CB17" i="2" s="1"/>
  <c r="CB16" i="2" a="1"/>
  <c r="CB16" i="2" s="1"/>
  <c r="CB15" i="2" a="1"/>
  <c r="CB15" i="2" s="1"/>
  <c r="CB14" i="2" a="1"/>
  <c r="CB14" i="2"/>
  <c r="CB13" i="2" a="1"/>
  <c r="CB13" i="2" s="1"/>
  <c r="CB12" i="2" a="1"/>
  <c r="CB12" i="2" s="1"/>
  <c r="CB11" i="2" a="1"/>
  <c r="CB11" i="2"/>
  <c r="CB10" i="2" a="1"/>
  <c r="CB10" i="2" s="1"/>
  <c r="CB9" i="2" a="1"/>
  <c r="CB9" i="2" s="1"/>
  <c r="CB8" i="2" a="1"/>
  <c r="CB8" i="2"/>
  <c r="CB7" i="2" a="1"/>
  <c r="CB7" i="2" s="1"/>
  <c r="CC11" i="2" s="1"/>
  <c r="CB6" i="2" a="1"/>
  <c r="CB6" i="2"/>
  <c r="CB5" i="2" a="1"/>
  <c r="CB5" i="2" s="1"/>
  <c r="CB4" i="2" a="1"/>
  <c r="CB4" i="2" s="1"/>
  <c r="A1" i="2"/>
  <c r="G11" i="2" l="1" a="1"/>
  <c r="G11" i="2" s="1"/>
  <c r="C11" i="2" a="1"/>
  <c r="C11" i="2" s="1"/>
  <c r="E11" i="2" a="1"/>
  <c r="E11" i="2" s="1"/>
  <c r="BZ11" i="2" s="1"/>
  <c r="D11" i="2" a="1"/>
  <c r="D11" i="2" s="1"/>
  <c r="H11" i="2" a="1"/>
  <c r="H11" i="2" s="1"/>
  <c r="A11" i="2" a="1"/>
  <c r="A11" i="2" s="1"/>
  <c r="F11" i="2" a="1"/>
  <c r="F11" i="2" s="1"/>
  <c r="B11" i="2" a="1"/>
  <c r="B11" i="2" s="1"/>
  <c r="CC33" i="2"/>
  <c r="CC32" i="2"/>
  <c r="CC29" i="2"/>
  <c r="CC27" i="2"/>
  <c r="CC23" i="2"/>
  <c r="CC25" i="2"/>
  <c r="CC24" i="2"/>
  <c r="CC30" i="2"/>
  <c r="CC21" i="2"/>
  <c r="CC20" i="2"/>
  <c r="CC22" i="2"/>
  <c r="CC28" i="2"/>
  <c r="CC26" i="2"/>
  <c r="CC31" i="2"/>
  <c r="CC18" i="2"/>
  <c r="CC7" i="2"/>
  <c r="CC19" i="2"/>
  <c r="CC16" i="2"/>
  <c r="CC10" i="2"/>
  <c r="CC8" i="2"/>
  <c r="CC9" i="2"/>
  <c r="CC17" i="2"/>
  <c r="CC5" i="2"/>
  <c r="CC4" i="2"/>
  <c r="CC6" i="2"/>
  <c r="CC12" i="2"/>
  <c r="CC14" i="2"/>
  <c r="CC15" i="2"/>
  <c r="CC13" i="2"/>
  <c r="U11" i="2" l="1"/>
  <c r="BW32" i="2"/>
  <c r="BO32" i="2"/>
  <c r="BG32" i="2"/>
  <c r="AY32" i="2"/>
  <c r="AQ32" i="2"/>
  <c r="AI32" i="2"/>
  <c r="AA32" i="2"/>
  <c r="S32" i="2"/>
  <c r="K32" i="2"/>
  <c r="BT32" i="2"/>
  <c r="BK32" i="2"/>
  <c r="BS32" i="2"/>
  <c r="BJ32" i="2"/>
  <c r="BA32" i="2"/>
  <c r="AR32" i="2"/>
  <c r="AH32" i="2"/>
  <c r="Y32" i="2"/>
  <c r="P32" i="2"/>
  <c r="C32" i="2" a="1"/>
  <c r="C32" i="2" s="1"/>
  <c r="BR32" i="2"/>
  <c r="BI32" i="2"/>
  <c r="AZ32" i="2"/>
  <c r="AP32" i="2"/>
  <c r="AG32" i="2"/>
  <c r="X32" i="2"/>
  <c r="O32" i="2"/>
  <c r="G32" i="2" a="1"/>
  <c r="G32" i="2" s="1"/>
  <c r="BX32" i="2"/>
  <c r="BH32" i="2"/>
  <c r="AV32" i="2"/>
  <c r="AK32" i="2"/>
  <c r="W32" i="2"/>
  <c r="L32" i="2"/>
  <c r="D32" i="2" a="1"/>
  <c r="D32" i="2" s="1"/>
  <c r="BV32" i="2"/>
  <c r="BF32" i="2"/>
  <c r="AU32" i="2"/>
  <c r="AJ32" i="2"/>
  <c r="V32" i="2"/>
  <c r="J32" i="2"/>
  <c r="BU32" i="2"/>
  <c r="BE32" i="2"/>
  <c r="AT32" i="2"/>
  <c r="AF32" i="2"/>
  <c r="U32" i="2"/>
  <c r="I32" i="2"/>
  <c r="B32" i="2" a="1"/>
  <c r="B32" i="2" s="1"/>
  <c r="BY32" i="2"/>
  <c r="BL32" i="2"/>
  <c r="AW32" i="2"/>
  <c r="AL32" i="2"/>
  <c r="Z32" i="2"/>
  <c r="M32" i="2"/>
  <c r="BB32" i="2"/>
  <c r="AC32" i="2"/>
  <c r="F32" i="2" a="1"/>
  <c r="F32" i="2" s="1"/>
  <c r="BZ32" i="2"/>
  <c r="AX32" i="2"/>
  <c r="AB32" i="2"/>
  <c r="E32" i="2" a="1"/>
  <c r="E32" i="2" s="1"/>
  <c r="BQ32" i="2"/>
  <c r="AS32" i="2"/>
  <c r="T32" i="2"/>
  <c r="A32" i="2" a="1"/>
  <c r="A32" i="2" s="1"/>
  <c r="BC32" i="2"/>
  <c r="AD32" i="2"/>
  <c r="BD32" i="2"/>
  <c r="H32" i="2" a="1"/>
  <c r="H32" i="2" s="1"/>
  <c r="AO32" i="2"/>
  <c r="AN32" i="2"/>
  <c r="AE32" i="2"/>
  <c r="BM32" i="2"/>
  <c r="N32" i="2"/>
  <c r="BP32" i="2"/>
  <c r="BN32" i="2"/>
  <c r="AM32" i="2"/>
  <c r="R32" i="2"/>
  <c r="Q32" i="2"/>
  <c r="AN11" i="2"/>
  <c r="AE11" i="2"/>
  <c r="AF11" i="2"/>
  <c r="AQ11" i="2"/>
  <c r="AR11" i="2"/>
  <c r="AS11" i="2"/>
  <c r="V11" i="2"/>
  <c r="BX25" i="2"/>
  <c r="BP25" i="2"/>
  <c r="BH25" i="2"/>
  <c r="AZ25" i="2"/>
  <c r="AR25" i="2"/>
  <c r="AJ25" i="2"/>
  <c r="AB25" i="2"/>
  <c r="T25" i="2"/>
  <c r="L25" i="2"/>
  <c r="F25" i="2" a="1"/>
  <c r="F25" i="2" s="1"/>
  <c r="B25" i="2" a="1"/>
  <c r="B25" i="2" s="1"/>
  <c r="BW25" i="2"/>
  <c r="BO25" i="2"/>
  <c r="BG25" i="2"/>
  <c r="AY25" i="2"/>
  <c r="AQ25" i="2"/>
  <c r="AI25" i="2"/>
  <c r="BU25" i="2"/>
  <c r="BK25" i="2"/>
  <c r="BA25" i="2"/>
  <c r="AO25" i="2"/>
  <c r="AE25" i="2"/>
  <c r="V25" i="2"/>
  <c r="M25" i="2"/>
  <c r="A25" i="2" a="1"/>
  <c r="A25" i="2" s="1"/>
  <c r="BT25" i="2"/>
  <c r="BJ25" i="2"/>
  <c r="AX25" i="2"/>
  <c r="AN25" i="2"/>
  <c r="AD25" i="2"/>
  <c r="U25" i="2"/>
  <c r="K25" i="2"/>
  <c r="E25" i="2" a="1"/>
  <c r="E25" i="2" s="1"/>
  <c r="BS25" i="2"/>
  <c r="BI25" i="2"/>
  <c r="AW25" i="2"/>
  <c r="AM25" i="2"/>
  <c r="AC25" i="2"/>
  <c r="S25" i="2"/>
  <c r="J25" i="2"/>
  <c r="BY25" i="2"/>
  <c r="BE25" i="2"/>
  <c r="AP25" i="2"/>
  <c r="Y25" i="2"/>
  <c r="I25" i="2"/>
  <c r="BV25" i="2"/>
  <c r="BD25" i="2"/>
  <c r="AL25" i="2"/>
  <c r="X25" i="2"/>
  <c r="H25" i="2" a="1"/>
  <c r="H25" i="2" s="1"/>
  <c r="BR25" i="2"/>
  <c r="BC25" i="2"/>
  <c r="AK25" i="2"/>
  <c r="W25" i="2"/>
  <c r="BZ25" i="2"/>
  <c r="BF25" i="2"/>
  <c r="AS25" i="2"/>
  <c r="Z25" i="2"/>
  <c r="N25" i="2"/>
  <c r="C25" i="2" a="1"/>
  <c r="C25" i="2" s="1"/>
  <c r="BQ25" i="2"/>
  <c r="AH25" i="2"/>
  <c r="G25" i="2" a="1"/>
  <c r="G25" i="2" s="1"/>
  <c r="BN25" i="2"/>
  <c r="AG25" i="2"/>
  <c r="BM25" i="2"/>
  <c r="AF25" i="2"/>
  <c r="D25" i="2" a="1"/>
  <c r="D25" i="2" s="1"/>
  <c r="AT25" i="2"/>
  <c r="O25" i="2"/>
  <c r="AU25" i="2"/>
  <c r="AA25" i="2"/>
  <c r="R25" i="2"/>
  <c r="Q25" i="2"/>
  <c r="P25" i="2"/>
  <c r="AV25" i="2"/>
  <c r="BL25" i="2"/>
  <c r="BB25" i="2"/>
  <c r="BT11" i="2"/>
  <c r="AW11" i="2"/>
  <c r="BE11" i="2"/>
  <c r="BU11" i="2"/>
  <c r="BV11" i="2"/>
  <c r="F13" i="2" a="1"/>
  <c r="F13" i="2" s="1"/>
  <c r="B13" i="2" a="1"/>
  <c r="B13" i="2" s="1"/>
  <c r="BW13" i="2"/>
  <c r="K13" i="2"/>
  <c r="V13" i="2"/>
  <c r="G13" i="2" a="1"/>
  <c r="G13" i="2" s="1"/>
  <c r="C13" i="2" a="1"/>
  <c r="C13" i="2" s="1"/>
  <c r="D13" i="2" a="1"/>
  <c r="D13" i="2" s="1"/>
  <c r="J13" i="2"/>
  <c r="BU13" i="2"/>
  <c r="BI13" i="2"/>
  <c r="BF13" i="2"/>
  <c r="AU13" i="2"/>
  <c r="H13" i="2" a="1"/>
  <c r="H13" i="2" s="1"/>
  <c r="A13" i="2" a="1"/>
  <c r="A13" i="2" s="1"/>
  <c r="AN13" i="2"/>
  <c r="Z13" i="2"/>
  <c r="O13" i="2"/>
  <c r="E13" i="2" a="1"/>
  <c r="E13" i="2" s="1"/>
  <c r="T13" i="2" s="1"/>
  <c r="BN13" i="2"/>
  <c r="BS13" i="2"/>
  <c r="AO13" i="2"/>
  <c r="AF13" i="2"/>
  <c r="AE9" i="2"/>
  <c r="W9" i="2"/>
  <c r="E9" i="2" a="1"/>
  <c r="E9" i="2" s="1"/>
  <c r="AK9" i="2"/>
  <c r="AB9" i="2"/>
  <c r="S9" i="2"/>
  <c r="D9" i="2" a="1"/>
  <c r="D9" i="2" s="1"/>
  <c r="AI9" i="2"/>
  <c r="Z9" i="2"/>
  <c r="H9" i="2" a="1"/>
  <c r="H9" i="2" s="1"/>
  <c r="C9" i="2" a="1"/>
  <c r="C9" i="2" s="1"/>
  <c r="A9" i="2" a="1"/>
  <c r="A9" i="2" s="1"/>
  <c r="BZ9" i="2"/>
  <c r="AZ9" i="2"/>
  <c r="AF9" i="2"/>
  <c r="F9" i="2" a="1"/>
  <c r="F9" i="2" s="1"/>
  <c r="G9" i="2" a="1"/>
  <c r="G9" i="2" s="1"/>
  <c r="O9" i="2" s="1"/>
  <c r="BQ9" i="2"/>
  <c r="B9" i="2" a="1"/>
  <c r="B9" i="2" s="1"/>
  <c r="BI9" i="2"/>
  <c r="BW26" i="2"/>
  <c r="BO26" i="2"/>
  <c r="BG26" i="2"/>
  <c r="AY26" i="2"/>
  <c r="AQ26" i="2"/>
  <c r="AI26" i="2"/>
  <c r="AA26" i="2"/>
  <c r="S26" i="2"/>
  <c r="K26" i="2"/>
  <c r="BV26" i="2"/>
  <c r="BN26" i="2"/>
  <c r="BF26" i="2"/>
  <c r="AX26" i="2"/>
  <c r="AP26" i="2"/>
  <c r="AH26" i="2"/>
  <c r="Z26" i="2"/>
  <c r="R26" i="2"/>
  <c r="J26" i="2"/>
  <c r="E26" i="2" a="1"/>
  <c r="E26" i="2" s="1"/>
  <c r="A26" i="2" a="1"/>
  <c r="A26" i="2" s="1"/>
  <c r="BR26" i="2"/>
  <c r="BH26" i="2"/>
  <c r="AV26" i="2"/>
  <c r="AL26" i="2"/>
  <c r="AB26" i="2"/>
  <c r="P26" i="2"/>
  <c r="G26" i="2" a="1"/>
  <c r="G26" i="2" s="1"/>
  <c r="B26" i="2" a="1"/>
  <c r="B26" i="2" s="1"/>
  <c r="BQ26" i="2"/>
  <c r="BE26" i="2"/>
  <c r="AU26" i="2"/>
  <c r="AK26" i="2"/>
  <c r="Y26" i="2"/>
  <c r="O26" i="2"/>
  <c r="BZ26" i="2"/>
  <c r="BP26" i="2"/>
  <c r="BD26" i="2"/>
  <c r="AT26" i="2"/>
  <c r="AJ26" i="2"/>
  <c r="X26" i="2"/>
  <c r="N26" i="2"/>
  <c r="F26" i="2" a="1"/>
  <c r="F26" i="2" s="1"/>
  <c r="BT26" i="2"/>
  <c r="BB26" i="2"/>
  <c r="AM26" i="2"/>
  <c r="U26" i="2"/>
  <c r="BS26" i="2"/>
  <c r="BA26" i="2"/>
  <c r="AG26" i="2"/>
  <c r="T26" i="2"/>
  <c r="D26" i="2" a="1"/>
  <c r="D26" i="2" s="1"/>
  <c r="BM26" i="2"/>
  <c r="AZ26" i="2"/>
  <c r="AF26" i="2"/>
  <c r="Q26" i="2"/>
  <c r="BU26" i="2"/>
  <c r="BC26" i="2"/>
  <c r="AN26" i="2"/>
  <c r="V26" i="2"/>
  <c r="AW26" i="2"/>
  <c r="M26" i="2"/>
  <c r="AS26" i="2"/>
  <c r="L26" i="2"/>
  <c r="BY26" i="2"/>
  <c r="AR26" i="2"/>
  <c r="I26" i="2"/>
  <c r="BI26" i="2"/>
  <c r="W26" i="2"/>
  <c r="AC26" i="2"/>
  <c r="BX26" i="2"/>
  <c r="H26" i="2" a="1"/>
  <c r="H26" i="2" s="1"/>
  <c r="BL26" i="2"/>
  <c r="C26" i="2" a="1"/>
  <c r="C26" i="2" s="1"/>
  <c r="BK26" i="2"/>
  <c r="BJ26" i="2"/>
  <c r="AD26" i="2"/>
  <c r="AE26" i="2"/>
  <c r="AO26" i="2"/>
  <c r="BR23" i="2"/>
  <c r="BJ23" i="2"/>
  <c r="BB23" i="2"/>
  <c r="G23" i="2" a="1"/>
  <c r="G23" i="2" s="1"/>
  <c r="C23" i="2" a="1"/>
  <c r="C23" i="2" s="1"/>
  <c r="Q23" i="2"/>
  <c r="H23" i="2" a="1"/>
  <c r="H23" i="2" s="1"/>
  <c r="BX23" i="2"/>
  <c r="M23" i="2"/>
  <c r="A23" i="2" a="1"/>
  <c r="A23" i="2" s="1"/>
  <c r="E23" i="2" a="1"/>
  <c r="E23" i="2" s="1"/>
  <c r="BV23" i="2"/>
  <c r="K23" i="2"/>
  <c r="BY23" i="2"/>
  <c r="BO23" i="2"/>
  <c r="F23" i="2" a="1"/>
  <c r="F23" i="2" s="1"/>
  <c r="B23" i="2" a="1"/>
  <c r="B23" i="2" s="1"/>
  <c r="J23" i="2"/>
  <c r="BS23" i="2"/>
  <c r="AX23" i="2"/>
  <c r="BP23" i="2"/>
  <c r="AA23" i="2"/>
  <c r="AB23" i="2"/>
  <c r="AO23" i="2"/>
  <c r="D23" i="2" a="1"/>
  <c r="D23" i="2" s="1"/>
  <c r="AA11" i="2"/>
  <c r="R11" i="2"/>
  <c r="BO11" i="2"/>
  <c r="K11" i="2"/>
  <c r="BX15" i="2"/>
  <c r="BO15" i="2"/>
  <c r="L15" i="2"/>
  <c r="A15" i="2" a="1"/>
  <c r="A15" i="2" s="1"/>
  <c r="E15" i="2" a="1"/>
  <c r="E15" i="2" s="1"/>
  <c r="BS15" i="2" s="1"/>
  <c r="AG15" i="2"/>
  <c r="X15" i="2"/>
  <c r="N15" i="2"/>
  <c r="B15" i="2" a="1"/>
  <c r="B15" i="2" s="1"/>
  <c r="D15" i="2" a="1"/>
  <c r="D15" i="2" s="1"/>
  <c r="BD15" i="2"/>
  <c r="AQ15" i="2"/>
  <c r="AA15" i="2"/>
  <c r="C15" i="2" a="1"/>
  <c r="C15" i="2" s="1"/>
  <c r="AT15" i="2"/>
  <c r="AH15" i="2"/>
  <c r="F15" i="2" a="1"/>
  <c r="F15" i="2" s="1"/>
  <c r="G15" i="2" a="1"/>
  <c r="G15" i="2" s="1"/>
  <c r="H15" i="2" a="1"/>
  <c r="H15" i="2" s="1"/>
  <c r="BS28" i="2"/>
  <c r="BK28" i="2"/>
  <c r="BC28" i="2"/>
  <c r="AU28" i="2"/>
  <c r="AM28" i="2"/>
  <c r="AE28" i="2"/>
  <c r="W28" i="2"/>
  <c r="O28" i="2"/>
  <c r="BR28" i="2"/>
  <c r="BI28" i="2"/>
  <c r="AZ28" i="2"/>
  <c r="AQ28" i="2"/>
  <c r="AH28" i="2"/>
  <c r="Y28" i="2"/>
  <c r="P28" i="2"/>
  <c r="G28" i="2" a="1"/>
  <c r="G28" i="2" s="1"/>
  <c r="BZ28" i="2"/>
  <c r="BQ28" i="2"/>
  <c r="BH28" i="2"/>
  <c r="AY28" i="2"/>
  <c r="AP28" i="2"/>
  <c r="AG28" i="2"/>
  <c r="X28" i="2"/>
  <c r="N28" i="2"/>
  <c r="B28" i="2" a="1"/>
  <c r="B28" i="2" s="1"/>
  <c r="BX28" i="2"/>
  <c r="BM28" i="2"/>
  <c r="BA28" i="2"/>
  <c r="AN28" i="2"/>
  <c r="AB28" i="2"/>
  <c r="Q28" i="2"/>
  <c r="BW28" i="2"/>
  <c r="BL28" i="2"/>
  <c r="AX28" i="2"/>
  <c r="AL28" i="2"/>
  <c r="AA28" i="2"/>
  <c r="M28" i="2"/>
  <c r="E28" i="2" a="1"/>
  <c r="E28" i="2" s="1"/>
  <c r="BV28" i="2"/>
  <c r="BJ28" i="2"/>
  <c r="AW28" i="2"/>
  <c r="AK28" i="2"/>
  <c r="Z28" i="2"/>
  <c r="L28" i="2"/>
  <c r="BT28" i="2"/>
  <c r="BB28" i="2"/>
  <c r="AF28" i="2"/>
  <c r="K28" i="2"/>
  <c r="A28" i="2" a="1"/>
  <c r="A28" i="2" s="1"/>
  <c r="BP28" i="2"/>
  <c r="AV28" i="2"/>
  <c r="AD28" i="2"/>
  <c r="J28" i="2"/>
  <c r="BO28" i="2"/>
  <c r="AT28" i="2"/>
  <c r="AC28" i="2"/>
  <c r="I28" i="2"/>
  <c r="BU28" i="2"/>
  <c r="BD28" i="2"/>
  <c r="AI28" i="2"/>
  <c r="R28" i="2"/>
  <c r="AR28" i="2"/>
  <c r="F28" i="2" a="1"/>
  <c r="F28" i="2" s="1"/>
  <c r="AO28" i="2"/>
  <c r="D28" i="2" a="1"/>
  <c r="D28" i="2" s="1"/>
  <c r="BY28" i="2"/>
  <c r="AJ28" i="2"/>
  <c r="C28" i="2" a="1"/>
  <c r="C28" i="2" s="1"/>
  <c r="AS28" i="2"/>
  <c r="H28" i="2" a="1"/>
  <c r="H28" i="2" s="1"/>
  <c r="V28" i="2"/>
  <c r="U28" i="2"/>
  <c r="T28" i="2"/>
  <c r="S28" i="2"/>
  <c r="BN28" i="2"/>
  <c r="BE28" i="2"/>
  <c r="BF28" i="2"/>
  <c r="BG28" i="2"/>
  <c r="AR12" i="2"/>
  <c r="F12" i="2" a="1"/>
  <c r="F12" i="2" s="1"/>
  <c r="B12" i="2" a="1"/>
  <c r="B12" i="2" s="1"/>
  <c r="D12" i="2" a="1"/>
  <c r="D12" i="2" s="1"/>
  <c r="C12" i="2" a="1"/>
  <c r="C12" i="2" s="1"/>
  <c r="AG12" i="2"/>
  <c r="H12" i="2" a="1"/>
  <c r="H12" i="2" s="1"/>
  <c r="A12" i="2" a="1"/>
  <c r="A12" i="2" s="1"/>
  <c r="E12" i="2" a="1"/>
  <c r="E12" i="2" s="1"/>
  <c r="BV12" i="2" s="1"/>
  <c r="BN12" i="2"/>
  <c r="G12" i="2" a="1"/>
  <c r="G12" i="2" s="1"/>
  <c r="AP20" i="2"/>
  <c r="AH20" i="2"/>
  <c r="Z20" i="2"/>
  <c r="R20" i="2"/>
  <c r="E20" i="2" a="1"/>
  <c r="E20" i="2" s="1"/>
  <c r="BN20" i="2" s="1"/>
  <c r="A20" i="2" a="1"/>
  <c r="A20" i="2" s="1"/>
  <c r="BM20" i="2"/>
  <c r="BE20" i="2"/>
  <c r="AW20" i="2"/>
  <c r="AO20" i="2"/>
  <c r="Q20" i="2"/>
  <c r="BW20" i="2"/>
  <c r="BO20" i="2"/>
  <c r="BG20" i="2"/>
  <c r="AY20" i="2"/>
  <c r="AA20" i="2"/>
  <c r="K20" i="2"/>
  <c r="BP20" i="2"/>
  <c r="BB20" i="2"/>
  <c r="AN20" i="2"/>
  <c r="F20" i="2" a="1"/>
  <c r="F20" i="2" s="1"/>
  <c r="BL20" i="2"/>
  <c r="BA20" i="2"/>
  <c r="AM20" i="2"/>
  <c r="AB20" i="2"/>
  <c r="D20" i="2" a="1"/>
  <c r="D20" i="2" s="1"/>
  <c r="BY20" i="2"/>
  <c r="AZ20" i="2"/>
  <c r="AL20" i="2"/>
  <c r="X20" i="2"/>
  <c r="M20" i="2"/>
  <c r="AR20" i="2"/>
  <c r="P20" i="2"/>
  <c r="BX20" i="2"/>
  <c r="AV20" i="2"/>
  <c r="W20" i="2"/>
  <c r="C20" i="2" a="1"/>
  <c r="C20" i="2" s="1"/>
  <c r="AU20" i="2"/>
  <c r="BS20" i="2"/>
  <c r="AT20" i="2"/>
  <c r="U20" i="2"/>
  <c r="B20" i="2" a="1"/>
  <c r="B20" i="2" s="1"/>
  <c r="T20" i="2"/>
  <c r="AK20" i="2"/>
  <c r="L20" i="2"/>
  <c r="BD20" i="2"/>
  <c r="AE20" i="2"/>
  <c r="G20" i="2" a="1"/>
  <c r="G20" i="2" s="1"/>
  <c r="Y20" i="2" s="1"/>
  <c r="H20" i="2" a="1"/>
  <c r="H20" i="2" s="1"/>
  <c r="BI20" i="2"/>
  <c r="AJ20" i="2"/>
  <c r="BG11" i="2"/>
  <c r="BZ6" i="2"/>
  <c r="BB6" i="2"/>
  <c r="AL6" i="2"/>
  <c r="AD6" i="2"/>
  <c r="V6" i="2"/>
  <c r="N6" i="2"/>
  <c r="G6" i="2" a="1"/>
  <c r="G6" i="2" s="1"/>
  <c r="C6" i="2" a="1"/>
  <c r="C6" i="2" s="1"/>
  <c r="BY6" i="2"/>
  <c r="BI6" i="2"/>
  <c r="BA6" i="2"/>
  <c r="AS6" i="2"/>
  <c r="AK6" i="2"/>
  <c r="M6" i="2"/>
  <c r="BP6" i="2"/>
  <c r="BH6" i="2"/>
  <c r="AZ6" i="2"/>
  <c r="AR6" i="2"/>
  <c r="T6" i="2"/>
  <c r="F6" i="2" a="1"/>
  <c r="F6" i="2" s="1"/>
  <c r="B6" i="2" a="1"/>
  <c r="B6" i="2" s="1"/>
  <c r="BT6" i="2"/>
  <c r="BL6" i="2"/>
  <c r="AN6" i="2"/>
  <c r="X6" i="2"/>
  <c r="P6" i="2"/>
  <c r="H6" i="2" a="1"/>
  <c r="H6" i="2" s="1"/>
  <c r="D6" i="2" a="1"/>
  <c r="D6" i="2" s="1"/>
  <c r="BC6" i="2"/>
  <c r="AM6" i="2"/>
  <c r="AE6" i="2"/>
  <c r="W6" i="2"/>
  <c r="O6" i="2"/>
  <c r="AW6" i="2"/>
  <c r="AI6" i="2"/>
  <c r="Q6" i="2"/>
  <c r="A6" i="2" a="1"/>
  <c r="A6" i="2" s="1"/>
  <c r="BN6" i="2"/>
  <c r="E6" i="2" a="1"/>
  <c r="E6" i="2" s="1"/>
  <c r="BJ6" i="2" s="1"/>
  <c r="BE6" i="2"/>
  <c r="K6" i="2"/>
  <c r="BV6" i="2"/>
  <c r="AY6" i="2"/>
  <c r="AG6" i="2"/>
  <c r="J6" i="2"/>
  <c r="BM6" i="2"/>
  <c r="S6" i="2"/>
  <c r="BG6" i="2"/>
  <c r="AO6" i="2"/>
  <c r="R6" i="2"/>
  <c r="BU6" i="2"/>
  <c r="AA6" i="2"/>
  <c r="AQ6" i="2"/>
  <c r="E19" i="2" a="1"/>
  <c r="E19" i="2" s="1"/>
  <c r="BG19" i="2" s="1"/>
  <c r="A19" i="2" a="1"/>
  <c r="A19" i="2" s="1"/>
  <c r="G19" i="2" a="1"/>
  <c r="G19" i="2" s="1"/>
  <c r="B19" i="2" a="1"/>
  <c r="B19" i="2" s="1"/>
  <c r="BZ19" i="2"/>
  <c r="F19" i="2" a="1"/>
  <c r="F19" i="2" s="1"/>
  <c r="H19" i="2" a="1"/>
  <c r="H19" i="2" s="1"/>
  <c r="AR19" i="2"/>
  <c r="D19" i="2" a="1"/>
  <c r="D19" i="2" s="1"/>
  <c r="C19" i="2" a="1"/>
  <c r="C19" i="2" s="1"/>
  <c r="L19" i="2"/>
  <c r="AV21" i="2"/>
  <c r="H21" i="2" a="1"/>
  <c r="H21" i="2" s="1"/>
  <c r="D21" i="2" a="1"/>
  <c r="D21" i="2" s="1"/>
  <c r="BN21" i="2"/>
  <c r="AP21" i="2"/>
  <c r="R21" i="2"/>
  <c r="E21" i="2" a="1"/>
  <c r="E21" i="2" s="1"/>
  <c r="AO21" i="2" s="1"/>
  <c r="A21" i="2" a="1"/>
  <c r="A21" i="2" s="1"/>
  <c r="AZ21" i="2"/>
  <c r="AJ21" i="2"/>
  <c r="F21" i="2" a="1"/>
  <c r="F21" i="2" s="1"/>
  <c r="G21" i="2" a="1"/>
  <c r="G21" i="2" s="1"/>
  <c r="S21" i="2" s="1"/>
  <c r="L21" i="2"/>
  <c r="BW21" i="2"/>
  <c r="AQ21" i="2"/>
  <c r="C21" i="2" a="1"/>
  <c r="C21" i="2" s="1"/>
  <c r="B21" i="2" a="1"/>
  <c r="B21" i="2" s="1"/>
  <c r="AS21" i="2"/>
  <c r="N21" i="2"/>
  <c r="BV33" i="2"/>
  <c r="BN33" i="2"/>
  <c r="BF33" i="2"/>
  <c r="AX33" i="2"/>
  <c r="AP33" i="2"/>
  <c r="AH33" i="2"/>
  <c r="Z33" i="2"/>
  <c r="R33" i="2"/>
  <c r="J33" i="2"/>
  <c r="E33" i="2" a="1"/>
  <c r="E33" i="2" s="1"/>
  <c r="A33" i="2" a="1"/>
  <c r="A33" i="2" s="1"/>
  <c r="BW33" i="2"/>
  <c r="BM33" i="2"/>
  <c r="BD33" i="2"/>
  <c r="AU33" i="2"/>
  <c r="AL33" i="2"/>
  <c r="AC33" i="2"/>
  <c r="T33" i="2"/>
  <c r="K33" i="2"/>
  <c r="BU33" i="2"/>
  <c r="BL33" i="2"/>
  <c r="BC33" i="2"/>
  <c r="AT33" i="2"/>
  <c r="AK33" i="2"/>
  <c r="AB33" i="2"/>
  <c r="S33" i="2"/>
  <c r="I33" i="2"/>
  <c r="D33" i="2" a="1"/>
  <c r="D33" i="2" s="1"/>
  <c r="BT33" i="2"/>
  <c r="BK33" i="2"/>
  <c r="BB33" i="2"/>
  <c r="AS33" i="2"/>
  <c r="AJ33" i="2"/>
  <c r="AA33" i="2"/>
  <c r="Q33" i="2"/>
  <c r="H33" i="2" a="1"/>
  <c r="H33" i="2" s="1"/>
  <c r="BR33" i="2"/>
  <c r="BE33" i="2"/>
  <c r="AO33" i="2"/>
  <c r="Y33" i="2"/>
  <c r="M33" i="2"/>
  <c r="BQ33" i="2"/>
  <c r="BA33" i="2"/>
  <c r="AN33" i="2"/>
  <c r="X33" i="2"/>
  <c r="L33" i="2"/>
  <c r="B33" i="2" a="1"/>
  <c r="B33" i="2" s="1"/>
  <c r="BP33" i="2"/>
  <c r="AZ33" i="2"/>
  <c r="AM33" i="2"/>
  <c r="W33" i="2"/>
  <c r="BS33" i="2"/>
  <c r="BG33" i="2"/>
  <c r="AQ33" i="2"/>
  <c r="AD33" i="2"/>
  <c r="N33" i="2"/>
  <c r="C33" i="2" a="1"/>
  <c r="C33" i="2" s="1"/>
  <c r="BY33" i="2"/>
  <c r="AV33" i="2"/>
  <c r="P33" i="2"/>
  <c r="BX33" i="2"/>
  <c r="AR33" i="2"/>
  <c r="O33" i="2"/>
  <c r="BO33" i="2"/>
  <c r="AI33" i="2"/>
  <c r="G33" i="2" a="1"/>
  <c r="G33" i="2" s="1"/>
  <c r="BZ33" i="2"/>
  <c r="AW33" i="2"/>
  <c r="U33" i="2"/>
  <c r="BI33" i="2"/>
  <c r="F33" i="2" a="1"/>
  <c r="F33" i="2" s="1"/>
  <c r="BH33" i="2"/>
  <c r="AY33" i="2"/>
  <c r="AF33" i="2"/>
  <c r="BJ33" i="2"/>
  <c r="V33" i="2"/>
  <c r="AE33" i="2"/>
  <c r="AG33" i="2"/>
  <c r="BS11" i="2"/>
  <c r="AJ11" i="2"/>
  <c r="Y11" i="2"/>
  <c r="AO11" i="2"/>
  <c r="AP11" i="2"/>
  <c r="BC11" i="2"/>
  <c r="BD11" i="2"/>
  <c r="BA11" i="2"/>
  <c r="AD11" i="2"/>
  <c r="L11" i="2"/>
  <c r="H8" i="2" a="1"/>
  <c r="H8" i="2" s="1"/>
  <c r="D8" i="2" a="1"/>
  <c r="D8" i="2" s="1"/>
  <c r="C8" i="2" a="1"/>
  <c r="C8" i="2" s="1"/>
  <c r="G8" i="2" a="1"/>
  <c r="G8" i="2" s="1"/>
  <c r="BC8" i="2" s="1"/>
  <c r="E8" i="2" a="1"/>
  <c r="E8" i="2" s="1"/>
  <c r="A8" i="2" a="1"/>
  <c r="A8" i="2" s="1"/>
  <c r="F8" i="2" a="1"/>
  <c r="F8" i="2" s="1"/>
  <c r="B8" i="2" a="1"/>
  <c r="B8" i="2" s="1"/>
  <c r="BT27" i="2"/>
  <c r="BL27" i="2"/>
  <c r="BD27" i="2"/>
  <c r="AV27" i="2"/>
  <c r="BZ27" i="2"/>
  <c r="BQ27" i="2"/>
  <c r="BH27" i="2"/>
  <c r="AY27" i="2"/>
  <c r="AP27" i="2"/>
  <c r="AH27" i="2"/>
  <c r="Z27" i="2"/>
  <c r="R27" i="2"/>
  <c r="J27" i="2"/>
  <c r="E27" i="2" a="1"/>
  <c r="E27" i="2" s="1"/>
  <c r="A27" i="2" a="1"/>
  <c r="A27" i="2" s="1"/>
  <c r="BY27" i="2"/>
  <c r="BP27" i="2"/>
  <c r="BG27" i="2"/>
  <c r="AX27" i="2"/>
  <c r="AO27" i="2"/>
  <c r="AG27" i="2"/>
  <c r="Y27" i="2"/>
  <c r="Q27" i="2"/>
  <c r="I27" i="2"/>
  <c r="BR27" i="2"/>
  <c r="BE27" i="2"/>
  <c r="AS27" i="2"/>
  <c r="AI27" i="2"/>
  <c r="W27" i="2"/>
  <c r="M27" i="2"/>
  <c r="BO27" i="2"/>
  <c r="BC27" i="2"/>
  <c r="AR27" i="2"/>
  <c r="AF27" i="2"/>
  <c r="V27" i="2"/>
  <c r="L27" i="2"/>
  <c r="D27" i="2" a="1"/>
  <c r="D27" i="2" s="1"/>
  <c r="BN27" i="2"/>
  <c r="BB27" i="2"/>
  <c r="AQ27" i="2"/>
  <c r="AE27" i="2"/>
  <c r="U27" i="2"/>
  <c r="K27" i="2"/>
  <c r="BS27" i="2"/>
  <c r="AW27" i="2"/>
  <c r="AD27" i="2"/>
  <c r="O27" i="2"/>
  <c r="BM27" i="2"/>
  <c r="AU27" i="2"/>
  <c r="AC27" i="2"/>
  <c r="N27" i="2"/>
  <c r="B27" i="2" a="1"/>
  <c r="B27" i="2" s="1"/>
  <c r="BK27" i="2"/>
  <c r="AT27" i="2"/>
  <c r="AB27" i="2"/>
  <c r="H27" i="2" a="1"/>
  <c r="H27" i="2" s="1"/>
  <c r="BU27" i="2"/>
  <c r="AZ27" i="2"/>
  <c r="AJ27" i="2"/>
  <c r="P27" i="2"/>
  <c r="C27" i="2" a="1"/>
  <c r="C27" i="2" s="1"/>
  <c r="BJ27" i="2"/>
  <c r="AA27" i="2"/>
  <c r="BI27" i="2"/>
  <c r="X27" i="2"/>
  <c r="BF27" i="2"/>
  <c r="T27" i="2"/>
  <c r="BV27" i="2"/>
  <c r="AK27" i="2"/>
  <c r="F27" i="2" a="1"/>
  <c r="F27" i="2" s="1"/>
  <c r="BA27" i="2"/>
  <c r="AN27" i="2"/>
  <c r="AM27" i="2"/>
  <c r="AL27" i="2"/>
  <c r="S27" i="2"/>
  <c r="BW27" i="2"/>
  <c r="BX27" i="2"/>
  <c r="G27" i="2" a="1"/>
  <c r="G27" i="2" s="1"/>
  <c r="BF11" i="2"/>
  <c r="BZ16" i="2"/>
  <c r="BR16" i="2"/>
  <c r="AT16" i="2"/>
  <c r="AD16" i="2"/>
  <c r="V16" i="2"/>
  <c r="N16" i="2"/>
  <c r="G16" i="2" a="1"/>
  <c r="G16" i="2" s="1"/>
  <c r="C16" i="2" a="1"/>
  <c r="C16" i="2" s="1"/>
  <c r="BH16" i="2"/>
  <c r="AP16" i="2"/>
  <c r="AG16" i="2"/>
  <c r="X16" i="2"/>
  <c r="O16" i="2"/>
  <c r="B16" i="2" a="1"/>
  <c r="B16" i="2" s="1"/>
  <c r="AO16" i="2"/>
  <c r="AF16" i="2"/>
  <c r="W16" i="2"/>
  <c r="F16" i="2" a="1"/>
  <c r="F16" i="2" s="1"/>
  <c r="BT16" i="2"/>
  <c r="BA16" i="2"/>
  <c r="Z16" i="2"/>
  <c r="H16" i="2" a="1"/>
  <c r="H16" i="2" s="1"/>
  <c r="BV16" i="2"/>
  <c r="AS16" i="2"/>
  <c r="AC16" i="2"/>
  <c r="P16" i="2"/>
  <c r="D16" i="2" a="1"/>
  <c r="D16" i="2" s="1"/>
  <c r="BS16" i="2"/>
  <c r="BD16" i="2"/>
  <c r="AN16" i="2"/>
  <c r="BO16" i="2"/>
  <c r="AM16" i="2"/>
  <c r="A16" i="2" a="1"/>
  <c r="A16" i="2" s="1"/>
  <c r="AK16" i="2"/>
  <c r="I16" i="2"/>
  <c r="BW16" i="2"/>
  <c r="BI16" i="2"/>
  <c r="AU16" i="2"/>
  <c r="E16" i="2" a="1"/>
  <c r="E16" i="2" s="1"/>
  <c r="AX16" i="2" s="1"/>
  <c r="BM16" i="2"/>
  <c r="AW16" i="2"/>
  <c r="AH16" i="2"/>
  <c r="T16" i="2"/>
  <c r="O11" i="2"/>
  <c r="O4" i="2"/>
  <c r="BZ4" i="2"/>
  <c r="BR4" i="2"/>
  <c r="BJ4" i="2"/>
  <c r="G4" i="2" a="1"/>
  <c r="G4" i="2" s="1"/>
  <c r="BS4" i="2" s="1"/>
  <c r="C4" i="2" a="1"/>
  <c r="C4" i="2" s="1"/>
  <c r="BF4" i="2"/>
  <c r="AP4" i="2"/>
  <c r="AH4" i="2"/>
  <c r="E4" i="2" a="1"/>
  <c r="E4" i="2" s="1"/>
  <c r="A4" i="2" a="1"/>
  <c r="A4" i="2" s="1"/>
  <c r="U4" i="2"/>
  <c r="B4" i="2" a="1"/>
  <c r="B4" i="2" s="1"/>
  <c r="BG4" i="2"/>
  <c r="AG4" i="2"/>
  <c r="H4" i="2" a="1"/>
  <c r="H4" i="2" s="1"/>
  <c r="AA4" i="2"/>
  <c r="M4" i="2"/>
  <c r="BX4" i="2"/>
  <c r="Y4" i="2"/>
  <c r="D4" i="2" a="1"/>
  <c r="D4" i="2" s="1"/>
  <c r="L4" i="2"/>
  <c r="AW4" i="2"/>
  <c r="X4" i="2"/>
  <c r="K4" i="2"/>
  <c r="BE4" i="2"/>
  <c r="F4" i="2" a="1"/>
  <c r="F4" i="2" s="1"/>
  <c r="BO4" i="2"/>
  <c r="BA4" i="2"/>
  <c r="P4" i="2"/>
  <c r="BH4" i="2"/>
  <c r="AR4" i="2"/>
  <c r="BM7" i="2"/>
  <c r="BR7" i="2"/>
  <c r="BI7" i="2"/>
  <c r="BA7" i="2"/>
  <c r="BQ7" i="2"/>
  <c r="BH7" i="2"/>
  <c r="AJ7" i="2"/>
  <c r="T7" i="2"/>
  <c r="L7" i="2"/>
  <c r="F7" i="2" a="1"/>
  <c r="F7" i="2" s="1"/>
  <c r="B7" i="2" a="1"/>
  <c r="B7" i="2" s="1"/>
  <c r="AQ7" i="2"/>
  <c r="AI7" i="2"/>
  <c r="AA7" i="2"/>
  <c r="S7" i="2"/>
  <c r="BK7" i="2"/>
  <c r="W7" i="2"/>
  <c r="BJ7" i="2"/>
  <c r="AT7" i="2"/>
  <c r="AL7" i="2"/>
  <c r="AD7" i="2"/>
  <c r="G7" i="2" a="1"/>
  <c r="G7" i="2" s="1"/>
  <c r="C7" i="2" a="1"/>
  <c r="C7" i="2" s="1"/>
  <c r="BV7" i="2"/>
  <c r="AW7" i="2"/>
  <c r="Z7" i="2"/>
  <c r="H7" i="2" a="1"/>
  <c r="H7" i="2" s="1"/>
  <c r="AV7" i="2"/>
  <c r="E7" i="2" a="1"/>
  <c r="E7" i="2" s="1"/>
  <c r="X7" i="2"/>
  <c r="BX7" i="2"/>
  <c r="AG7" i="2"/>
  <c r="J7" i="2"/>
  <c r="BW7" i="2"/>
  <c r="AX7" i="2"/>
  <c r="D7" i="2" a="1"/>
  <c r="D7" i="2" s="1"/>
  <c r="BF7" i="2"/>
  <c r="A7" i="2" a="1"/>
  <c r="A7" i="2" s="1"/>
  <c r="BY30" i="2"/>
  <c r="BQ30" i="2"/>
  <c r="BI30" i="2"/>
  <c r="BA30" i="2"/>
  <c r="AS30" i="2"/>
  <c r="AK30" i="2"/>
  <c r="AC30" i="2"/>
  <c r="U30" i="2"/>
  <c r="M30" i="2"/>
  <c r="BW30" i="2"/>
  <c r="BN30" i="2"/>
  <c r="BE30" i="2"/>
  <c r="AV30" i="2"/>
  <c r="AM30" i="2"/>
  <c r="AD30" i="2"/>
  <c r="T30" i="2"/>
  <c r="K30" i="2"/>
  <c r="E30" i="2" a="1"/>
  <c r="E30" i="2" s="1"/>
  <c r="BV30" i="2"/>
  <c r="BM30" i="2"/>
  <c r="BD30" i="2"/>
  <c r="AU30" i="2"/>
  <c r="AL30" i="2"/>
  <c r="AB30" i="2"/>
  <c r="S30" i="2"/>
  <c r="J30" i="2"/>
  <c r="BP30" i="2"/>
  <c r="BC30" i="2"/>
  <c r="AQ30" i="2"/>
  <c r="AF30" i="2"/>
  <c r="R30" i="2"/>
  <c r="BO30" i="2"/>
  <c r="BB30" i="2"/>
  <c r="AP30" i="2"/>
  <c r="AE30" i="2"/>
  <c r="Q30" i="2"/>
  <c r="G30" i="2" a="1"/>
  <c r="G30" i="2" s="1"/>
  <c r="A30" i="2" a="1"/>
  <c r="A30" i="2" s="1"/>
  <c r="BZ30" i="2"/>
  <c r="BL30" i="2"/>
  <c r="AZ30" i="2"/>
  <c r="AO30" i="2"/>
  <c r="AA30" i="2"/>
  <c r="P30" i="2"/>
  <c r="F30" i="2" a="1"/>
  <c r="F30" i="2" s="1"/>
  <c r="BK30" i="2"/>
  <c r="AT30" i="2"/>
  <c r="Y30" i="2"/>
  <c r="H30" i="2" a="1"/>
  <c r="H30" i="2" s="1"/>
  <c r="BJ30" i="2"/>
  <c r="AR30" i="2"/>
  <c r="X30" i="2"/>
  <c r="BH30" i="2"/>
  <c r="AN30" i="2"/>
  <c r="W30" i="2"/>
  <c r="D30" i="2" a="1"/>
  <c r="D30" i="2" s="1"/>
  <c r="BR30" i="2"/>
  <c r="AW30" i="2"/>
  <c r="Z30" i="2"/>
  <c r="I30" i="2"/>
  <c r="AY30" i="2"/>
  <c r="N30" i="2"/>
  <c r="AX30" i="2"/>
  <c r="L30" i="2"/>
  <c r="BX30" i="2"/>
  <c r="AJ30" i="2"/>
  <c r="BF30" i="2"/>
  <c r="O30" i="2"/>
  <c r="BT30" i="2"/>
  <c r="B30" i="2" a="1"/>
  <c r="B30" i="2" s="1"/>
  <c r="BS30" i="2"/>
  <c r="BG30" i="2"/>
  <c r="AI30" i="2"/>
  <c r="AH30" i="2"/>
  <c r="BU30" i="2"/>
  <c r="C30" i="2" a="1"/>
  <c r="C30" i="2" s="1"/>
  <c r="AG30" i="2"/>
  <c r="V30" i="2"/>
  <c r="Z11" i="2"/>
  <c r="Q11" i="2"/>
  <c r="BH11" i="2"/>
  <c r="AI11" i="2"/>
  <c r="AY11" i="2"/>
  <c r="AZ11" i="2"/>
  <c r="BM11" i="2"/>
  <c r="BN11" i="2"/>
  <c r="BI11" i="2"/>
  <c r="AL11" i="2"/>
  <c r="BY24" i="2"/>
  <c r="BQ24" i="2"/>
  <c r="BI24" i="2"/>
  <c r="BA24" i="2"/>
  <c r="AS24" i="2"/>
  <c r="AK24" i="2"/>
  <c r="AC24" i="2"/>
  <c r="U24" i="2"/>
  <c r="M24" i="2"/>
  <c r="BV24" i="2"/>
  <c r="BM24" i="2"/>
  <c r="BD24" i="2"/>
  <c r="AU24" i="2"/>
  <c r="AL24" i="2"/>
  <c r="AB24" i="2"/>
  <c r="S24" i="2"/>
  <c r="J24" i="2"/>
  <c r="BU24" i="2"/>
  <c r="BL24" i="2"/>
  <c r="BC24" i="2"/>
  <c r="AT24" i="2"/>
  <c r="AJ24" i="2"/>
  <c r="AA24" i="2"/>
  <c r="R24" i="2"/>
  <c r="I24" i="2"/>
  <c r="D24" i="2" a="1"/>
  <c r="D24" i="2" s="1"/>
  <c r="BT24" i="2"/>
  <c r="BK24" i="2"/>
  <c r="BB24" i="2"/>
  <c r="AR24" i="2"/>
  <c r="AI24" i="2"/>
  <c r="Z24" i="2"/>
  <c r="Q24" i="2"/>
  <c r="H24" i="2" a="1"/>
  <c r="H24" i="2" s="1"/>
  <c r="BR24" i="2"/>
  <c r="BE24" i="2"/>
  <c r="AO24" i="2"/>
  <c r="Y24" i="2"/>
  <c r="L24" i="2"/>
  <c r="C24" i="2" a="1"/>
  <c r="C24" i="2" s="1"/>
  <c r="BP24" i="2"/>
  <c r="AZ24" i="2"/>
  <c r="AN24" i="2"/>
  <c r="X24" i="2"/>
  <c r="K24" i="2"/>
  <c r="B24" i="2" a="1"/>
  <c r="B24" i="2" s="1"/>
  <c r="BO24" i="2"/>
  <c r="AY24" i="2"/>
  <c r="AM24" i="2"/>
  <c r="W24" i="2"/>
  <c r="BS24" i="2"/>
  <c r="BF24" i="2"/>
  <c r="AP24" i="2"/>
  <c r="AD24" i="2"/>
  <c r="N24" i="2"/>
  <c r="BW24" i="2"/>
  <c r="AQ24" i="2"/>
  <c r="O24" i="2"/>
  <c r="BN24" i="2"/>
  <c r="AH24" i="2"/>
  <c r="G24" i="2" a="1"/>
  <c r="G24" i="2" s="1"/>
  <c r="BJ24" i="2"/>
  <c r="AG24" i="2"/>
  <c r="F24" i="2" a="1"/>
  <c r="F24" i="2" s="1"/>
  <c r="BX24" i="2"/>
  <c r="AV24" i="2"/>
  <c r="P24" i="2"/>
  <c r="BZ24" i="2"/>
  <c r="T24" i="2"/>
  <c r="BH24" i="2"/>
  <c r="BG24" i="2"/>
  <c r="E24" i="2" a="1"/>
  <c r="E24" i="2" s="1"/>
  <c r="AX24" i="2"/>
  <c r="A24" i="2" a="1"/>
  <c r="A24" i="2" s="1"/>
  <c r="AW24" i="2"/>
  <c r="V24" i="2"/>
  <c r="AE24" i="2"/>
  <c r="AF24" i="2"/>
  <c r="AX11" i="2"/>
  <c r="AV11" i="2"/>
  <c r="AU11" i="2"/>
  <c r="BK11" i="2"/>
  <c r="BL11" i="2"/>
  <c r="BW11" i="2"/>
  <c r="BX11" i="2"/>
  <c r="BQ11" i="2"/>
  <c r="AT11" i="2"/>
  <c r="M11" i="2"/>
  <c r="BY11" i="2"/>
  <c r="BB11" i="2"/>
  <c r="AM5" i="2"/>
  <c r="O5" i="2"/>
  <c r="BR5" i="2"/>
  <c r="BJ5" i="2"/>
  <c r="BB5" i="2"/>
  <c r="G5" i="2" a="1"/>
  <c r="G5" i="2" s="1"/>
  <c r="C5" i="2" a="1"/>
  <c r="C5" i="2" s="1"/>
  <c r="BY5" i="2"/>
  <c r="BQ5" i="2"/>
  <c r="AS5" i="2"/>
  <c r="AC5" i="2"/>
  <c r="M5" i="2"/>
  <c r="AW5" i="2"/>
  <c r="AG5" i="2"/>
  <c r="Y5" i="2"/>
  <c r="Q5" i="2"/>
  <c r="I5" i="2"/>
  <c r="B5" i="2" a="1"/>
  <c r="B5" i="2" s="1"/>
  <c r="BG5" i="2"/>
  <c r="AY5" i="2"/>
  <c r="AI5" i="2"/>
  <c r="S5" i="2"/>
  <c r="BN5" i="2"/>
  <c r="AH5" i="2"/>
  <c r="E5" i="2" a="1"/>
  <c r="E5" i="2" s="1"/>
  <c r="BL5" i="2"/>
  <c r="D5" i="2" a="1"/>
  <c r="D5" i="2" s="1"/>
  <c r="J5" i="2"/>
  <c r="BT5" i="2"/>
  <c r="BD5" i="2"/>
  <c r="AN5" i="2"/>
  <c r="H5" i="2" a="1"/>
  <c r="H5" i="2" s="1"/>
  <c r="BP5" i="2"/>
  <c r="T5" i="2"/>
  <c r="F5" i="2" a="1"/>
  <c r="F5" i="2" s="1"/>
  <c r="BX5" i="2"/>
  <c r="L5" i="2"/>
  <c r="AQ5" i="2"/>
  <c r="K5" i="2"/>
  <c r="BV5" i="2"/>
  <c r="A5" i="2" a="1"/>
  <c r="A5" i="2" s="1"/>
  <c r="BX31" i="2"/>
  <c r="BP31" i="2"/>
  <c r="BH31" i="2"/>
  <c r="AZ31" i="2"/>
  <c r="AR31" i="2"/>
  <c r="AJ31" i="2"/>
  <c r="AB31" i="2"/>
  <c r="T31" i="2"/>
  <c r="L31" i="2"/>
  <c r="F31" i="2" a="1"/>
  <c r="F31" i="2" s="1"/>
  <c r="B31" i="2" a="1"/>
  <c r="B31" i="2" s="1"/>
  <c r="BZ31" i="2"/>
  <c r="BQ31" i="2"/>
  <c r="BG31" i="2"/>
  <c r="AX31" i="2"/>
  <c r="AO31" i="2"/>
  <c r="AF31" i="2"/>
  <c r="W31" i="2"/>
  <c r="N31" i="2"/>
  <c r="BY31" i="2"/>
  <c r="BO31" i="2"/>
  <c r="BF31" i="2"/>
  <c r="AW31" i="2"/>
  <c r="AN31" i="2"/>
  <c r="AE31" i="2"/>
  <c r="V31" i="2"/>
  <c r="M31" i="2"/>
  <c r="A31" i="2" a="1"/>
  <c r="A31" i="2" s="1"/>
  <c r="BW31" i="2"/>
  <c r="BL31" i="2"/>
  <c r="BA31" i="2"/>
  <c r="AM31" i="2"/>
  <c r="AA31" i="2"/>
  <c r="P31" i="2"/>
  <c r="E31" i="2" a="1"/>
  <c r="E31" i="2" s="1"/>
  <c r="BV31" i="2"/>
  <c r="BK31" i="2"/>
  <c r="AY31" i="2"/>
  <c r="AL31" i="2"/>
  <c r="Z31" i="2"/>
  <c r="O31" i="2"/>
  <c r="BU31" i="2"/>
  <c r="BJ31" i="2"/>
  <c r="AV31" i="2"/>
  <c r="AK31" i="2"/>
  <c r="Y31" i="2"/>
  <c r="K31" i="2"/>
  <c r="D31" i="2" a="1"/>
  <c r="D31" i="2" s="1"/>
  <c r="BM31" i="2"/>
  <c r="BB31" i="2"/>
  <c r="AP31" i="2"/>
  <c r="AC31" i="2"/>
  <c r="Q31" i="2"/>
  <c r="G31" i="2" a="1"/>
  <c r="G31" i="2" s="1"/>
  <c r="BR31" i="2"/>
  <c r="AS31" i="2"/>
  <c r="S31" i="2"/>
  <c r="BN31" i="2"/>
  <c r="AQ31" i="2"/>
  <c r="R31" i="2"/>
  <c r="BI31" i="2"/>
  <c r="AI31" i="2"/>
  <c r="J31" i="2"/>
  <c r="BS31" i="2"/>
  <c r="AT31" i="2"/>
  <c r="U31" i="2"/>
  <c r="C31" i="2" a="1"/>
  <c r="C31" i="2" s="1"/>
  <c r="AU31" i="2"/>
  <c r="AH31" i="2"/>
  <c r="AG31" i="2"/>
  <c r="BT31" i="2"/>
  <c r="BC31" i="2"/>
  <c r="BE31" i="2"/>
  <c r="BD31" i="2"/>
  <c r="AD31" i="2"/>
  <c r="X31" i="2"/>
  <c r="I31" i="2"/>
  <c r="H31" i="2" a="1"/>
  <c r="H31" i="2" s="1"/>
  <c r="BJ11" i="2"/>
  <c r="BR11" i="2"/>
  <c r="BP18" i="2"/>
  <c r="AZ18" i="2"/>
  <c r="AR18" i="2"/>
  <c r="AJ18" i="2"/>
  <c r="AB18" i="2"/>
  <c r="F18" i="2" a="1"/>
  <c r="F18" i="2" s="1"/>
  <c r="B18" i="2" a="1"/>
  <c r="B18" i="2" s="1"/>
  <c r="BW18" i="2"/>
  <c r="BO18" i="2"/>
  <c r="BG18" i="2"/>
  <c r="AY18" i="2"/>
  <c r="AA18" i="2"/>
  <c r="K18" i="2"/>
  <c r="BU18" i="2"/>
  <c r="BK18" i="2"/>
  <c r="BA18" i="2"/>
  <c r="U18" i="2"/>
  <c r="BT18" i="2"/>
  <c r="BJ18" i="2"/>
  <c r="AX18" i="2"/>
  <c r="AN18" i="2"/>
  <c r="H18" i="2" a="1"/>
  <c r="H18" i="2" s="1"/>
  <c r="C18" i="2" a="1"/>
  <c r="C18" i="2" s="1"/>
  <c r="BS18" i="2"/>
  <c r="BI18" i="2"/>
  <c r="AW18" i="2"/>
  <c r="AM18" i="2"/>
  <c r="BV18" i="2"/>
  <c r="BB18" i="2"/>
  <c r="AP18" i="2"/>
  <c r="AF18" i="2"/>
  <c r="V18" i="2"/>
  <c r="D18" i="2" a="1"/>
  <c r="D18" i="2" s="1"/>
  <c r="BY18" i="2"/>
  <c r="AG18" i="2"/>
  <c r="M18" i="2"/>
  <c r="BR18" i="2"/>
  <c r="AV18" i="2"/>
  <c r="G18" i="2" a="1"/>
  <c r="G18" i="2" s="1"/>
  <c r="BQ18" i="2"/>
  <c r="Y18" i="2"/>
  <c r="BN18" i="2"/>
  <c r="AT18" i="2"/>
  <c r="X18" i="2"/>
  <c r="E18" i="2" a="1"/>
  <c r="E18" i="2" s="1"/>
  <c r="BX18" i="2" s="1"/>
  <c r="AS18" i="2"/>
  <c r="BZ18" i="2"/>
  <c r="BD18" i="2"/>
  <c r="AH18" i="2"/>
  <c r="N18" i="2"/>
  <c r="AL18" i="2"/>
  <c r="O18" i="2"/>
  <c r="P18" i="2"/>
  <c r="A18" i="2" a="1"/>
  <c r="A18" i="2" s="1"/>
  <c r="BE18" i="2"/>
  <c r="BY17" i="2"/>
  <c r="BA17" i="2"/>
  <c r="AK17" i="2"/>
  <c r="AC17" i="2"/>
  <c r="U17" i="2"/>
  <c r="BN17" i="2"/>
  <c r="BD17" i="2"/>
  <c r="AT17" i="2"/>
  <c r="R17" i="2"/>
  <c r="D17" i="2" a="1"/>
  <c r="D17" i="2" s="1"/>
  <c r="Z17" i="2"/>
  <c r="H17" i="2" a="1"/>
  <c r="H17" i="2" s="1"/>
  <c r="BV17" i="2"/>
  <c r="BL17" i="2"/>
  <c r="BB17" i="2"/>
  <c r="C17" i="2" a="1"/>
  <c r="C17" i="2" s="1"/>
  <c r="BE17" i="2"/>
  <c r="AU17" i="2"/>
  <c r="S17" i="2"/>
  <c r="BF17" i="2"/>
  <c r="AM17" i="2"/>
  <c r="E17" i="2" a="1"/>
  <c r="E17" i="2" s="1"/>
  <c r="BZ17" i="2" s="1"/>
  <c r="B17" i="2" a="1"/>
  <c r="B17" i="2" s="1"/>
  <c r="BT17" i="2"/>
  <c r="AX17" i="2"/>
  <c r="AF17" i="2"/>
  <c r="AW17" i="2"/>
  <c r="A17" i="2" a="1"/>
  <c r="A17" i="2" s="1"/>
  <c r="AV17" i="2"/>
  <c r="BG17" i="2"/>
  <c r="V17" i="2"/>
  <c r="BJ17" i="2"/>
  <c r="AP17" i="2"/>
  <c r="F17" i="2" a="1"/>
  <c r="F17" i="2" s="1"/>
  <c r="W17" i="2"/>
  <c r="G17" i="2" a="1"/>
  <c r="G17" i="2" s="1"/>
  <c r="BK17" i="2"/>
  <c r="AM11" i="2"/>
  <c r="I11" i="2"/>
  <c r="J11" i="2"/>
  <c r="W11" i="2"/>
  <c r="X11" i="2"/>
  <c r="AC11" i="2"/>
  <c r="S14" i="2"/>
  <c r="BV14" i="2"/>
  <c r="E14" i="2" a="1"/>
  <c r="E14" i="2" s="1"/>
  <c r="BO14" i="2" s="1"/>
  <c r="A14" i="2" a="1"/>
  <c r="A14" i="2" s="1"/>
  <c r="BY14" i="2"/>
  <c r="Y14" i="2"/>
  <c r="N14" i="2"/>
  <c r="D14" i="2" a="1"/>
  <c r="D14" i="2" s="1"/>
  <c r="AV14" i="2"/>
  <c r="I14" i="2"/>
  <c r="C14" i="2" a="1"/>
  <c r="C14" i="2" s="1"/>
  <c r="H14" i="2" a="1"/>
  <c r="H14" i="2" s="1"/>
  <c r="B14" i="2" a="1"/>
  <c r="B14" i="2" s="1"/>
  <c r="BE14" i="2"/>
  <c r="F14" i="2" a="1"/>
  <c r="F14" i="2" s="1"/>
  <c r="AE14" i="2"/>
  <c r="BP14" i="2"/>
  <c r="T14" i="2"/>
  <c r="G14" i="2" a="1"/>
  <c r="G14" i="2" s="1"/>
  <c r="AM10" i="2"/>
  <c r="G10" i="2" a="1"/>
  <c r="G10" i="2" s="1"/>
  <c r="BB10" i="2" s="1"/>
  <c r="C10" i="2" a="1"/>
  <c r="C10" i="2" s="1"/>
  <c r="F10" i="2" a="1"/>
  <c r="F10" i="2" s="1"/>
  <c r="A10" i="2" a="1"/>
  <c r="A10" i="2" s="1"/>
  <c r="E10" i="2" a="1"/>
  <c r="E10" i="2" s="1"/>
  <c r="H10" i="2" a="1"/>
  <c r="H10" i="2" s="1"/>
  <c r="B10" i="2" a="1"/>
  <c r="B10" i="2" s="1"/>
  <c r="BA10" i="2"/>
  <c r="D10" i="2" a="1"/>
  <c r="D10" i="2" s="1"/>
  <c r="T10" i="2"/>
  <c r="AE22" i="2"/>
  <c r="W22" i="2"/>
  <c r="O22" i="2"/>
  <c r="BU22" i="2"/>
  <c r="AS22" i="2"/>
  <c r="AA22" i="2"/>
  <c r="D22" i="2" a="1"/>
  <c r="D22" i="2" s="1"/>
  <c r="Z22" i="2"/>
  <c r="Q22" i="2"/>
  <c r="H22" i="2" a="1"/>
  <c r="H22" i="2" s="1"/>
  <c r="C22" i="2" a="1"/>
  <c r="C22" i="2" s="1"/>
  <c r="T22" i="2"/>
  <c r="E22" i="2" a="1"/>
  <c r="E22" i="2" s="1"/>
  <c r="BC22" i="2" s="1"/>
  <c r="BO22" i="2"/>
  <c r="A22" i="2" a="1"/>
  <c r="A22" i="2" s="1"/>
  <c r="G22" i="2" a="1"/>
  <c r="G22" i="2" s="1"/>
  <c r="BS22" i="2" s="1"/>
  <c r="BH22" i="2"/>
  <c r="AP22" i="2"/>
  <c r="X22" i="2"/>
  <c r="F22" i="2" a="1"/>
  <c r="F22" i="2" s="1"/>
  <c r="AN22" i="2"/>
  <c r="BQ22" i="2"/>
  <c r="B22" i="2" a="1"/>
  <c r="B22" i="2" s="1"/>
  <c r="BZ29" i="2"/>
  <c r="BR29" i="2"/>
  <c r="BJ29" i="2"/>
  <c r="BB29" i="2"/>
  <c r="AT29" i="2"/>
  <c r="AL29" i="2"/>
  <c r="AD29" i="2"/>
  <c r="V29" i="2"/>
  <c r="N29" i="2"/>
  <c r="G29" i="2" a="1"/>
  <c r="G29" i="2" s="1"/>
  <c r="C29" i="2" a="1"/>
  <c r="C29" i="2" s="1"/>
  <c r="BU29" i="2"/>
  <c r="BL29" i="2"/>
  <c r="BC29" i="2"/>
  <c r="AS29" i="2"/>
  <c r="AJ29" i="2"/>
  <c r="AA29" i="2"/>
  <c r="R29" i="2"/>
  <c r="I29" i="2"/>
  <c r="D29" i="2" a="1"/>
  <c r="D29" i="2" s="1"/>
  <c r="BT29" i="2"/>
  <c r="BK29" i="2"/>
  <c r="BA29" i="2"/>
  <c r="AR29" i="2"/>
  <c r="AI29" i="2"/>
  <c r="Z29" i="2"/>
  <c r="Q29" i="2"/>
  <c r="H29" i="2" a="1"/>
  <c r="H29" i="2" s="1"/>
  <c r="BS29" i="2"/>
  <c r="BG29" i="2"/>
  <c r="AV29" i="2"/>
  <c r="AH29" i="2"/>
  <c r="W29" i="2"/>
  <c r="K29" i="2"/>
  <c r="BQ29" i="2"/>
  <c r="BF29" i="2"/>
  <c r="AU29" i="2"/>
  <c r="AG29" i="2"/>
  <c r="U29" i="2"/>
  <c r="J29" i="2"/>
  <c r="B29" i="2" a="1"/>
  <c r="B29" i="2" s="1"/>
  <c r="BP29" i="2"/>
  <c r="BE29" i="2"/>
  <c r="AQ29" i="2"/>
  <c r="AF29" i="2"/>
  <c r="T29" i="2"/>
  <c r="BY29" i="2"/>
  <c r="BH29" i="2"/>
  <c r="AN29" i="2"/>
  <c r="S29" i="2"/>
  <c r="E29" i="2" a="1"/>
  <c r="E29" i="2" s="1"/>
  <c r="BX29" i="2"/>
  <c r="BD29" i="2"/>
  <c r="AM29" i="2"/>
  <c r="P29" i="2"/>
  <c r="BW29" i="2"/>
  <c r="AZ29" i="2"/>
  <c r="AK29" i="2"/>
  <c r="O29" i="2"/>
  <c r="A29" i="2" a="1"/>
  <c r="A29" i="2" s="1"/>
  <c r="BI29" i="2"/>
  <c r="AO29" i="2"/>
  <c r="X29" i="2"/>
  <c r="BO29" i="2"/>
  <c r="AC29" i="2"/>
  <c r="BN29" i="2"/>
  <c r="AB29" i="2"/>
  <c r="BM29" i="2"/>
  <c r="Y29" i="2"/>
  <c r="BV29" i="2"/>
  <c r="AE29" i="2"/>
  <c r="L29" i="2"/>
  <c r="F29" i="2" a="1"/>
  <c r="F29" i="2" s="1"/>
  <c r="AY29" i="2"/>
  <c r="AX29" i="2"/>
  <c r="M29" i="2"/>
  <c r="AW29" i="2"/>
  <c r="AP29" i="2"/>
  <c r="P11" i="2"/>
  <c r="AB11" i="2"/>
  <c r="BP11" i="2"/>
  <c r="S11" i="2"/>
  <c r="T11" i="2"/>
  <c r="AG11" i="2"/>
  <c r="AH11" i="2"/>
  <c r="AK11" i="2"/>
  <c r="N11" i="2"/>
  <c r="AJ10" i="2" l="1"/>
  <c r="I8" i="2"/>
  <c r="U10" i="2"/>
  <c r="AJ8" i="2"/>
  <c r="J19" i="2"/>
  <c r="BV10" i="2"/>
  <c r="AZ14" i="2"/>
  <c r="AQ8" i="2"/>
  <c r="AV12" i="2"/>
  <c r="AC22" i="2"/>
  <c r="AU22" i="2"/>
  <c r="AT10" i="2"/>
  <c r="M14" i="2"/>
  <c r="BB8" i="2"/>
  <c r="BV21" i="2"/>
  <c r="AP19" i="2"/>
  <c r="AK12" i="2"/>
  <c r="AY22" i="2"/>
  <c r="BG22" i="2"/>
  <c r="BP22" i="2"/>
  <c r="AD22" i="2"/>
  <c r="R22" i="2"/>
  <c r="BV22" i="2"/>
  <c r="AG10" i="2"/>
  <c r="AC10" i="2"/>
  <c r="AN10" i="2"/>
  <c r="Y10" i="2"/>
  <c r="Z10" i="2"/>
  <c r="AE10" i="2"/>
  <c r="BC14" i="2"/>
  <c r="AT14" i="2"/>
  <c r="BA14" i="2"/>
  <c r="BN14" i="2"/>
  <c r="L17" i="2"/>
  <c r="T17" i="2"/>
  <c r="Y17" i="2"/>
  <c r="BW17" i="2"/>
  <c r="M17" i="2"/>
  <c r="W5" i="2"/>
  <c r="AD5" i="2"/>
  <c r="BA5" i="2"/>
  <c r="BE5" i="2"/>
  <c r="Z5" i="2"/>
  <c r="P5" i="2"/>
  <c r="AR5" i="2"/>
  <c r="BS5" i="2"/>
  <c r="BZ5" i="2"/>
  <c r="N5" i="2"/>
  <c r="AK5" i="2"/>
  <c r="AO5" i="2"/>
  <c r="AA5" i="2"/>
  <c r="AX5" i="2"/>
  <c r="BF5" i="2"/>
  <c r="AZ5" i="2"/>
  <c r="BW5" i="2"/>
  <c r="AE5" i="2"/>
  <c r="AL5" i="2"/>
  <c r="BI5" i="2"/>
  <c r="BM5" i="2"/>
  <c r="AB5" i="2"/>
  <c r="R5" i="2"/>
  <c r="AF5" i="2"/>
  <c r="X5" i="2"/>
  <c r="BH5" i="2"/>
  <c r="U5" i="2"/>
  <c r="AT5" i="2"/>
  <c r="BK5" i="2"/>
  <c r="AK7" i="2"/>
  <c r="AR7" i="2"/>
  <c r="BP7" i="2"/>
  <c r="BT7" i="2"/>
  <c r="BS7" i="2"/>
  <c r="BO7" i="2"/>
  <c r="Q7" i="2"/>
  <c r="I7" i="2"/>
  <c r="BU7" i="2"/>
  <c r="U7" i="2"/>
  <c r="AB7" i="2"/>
  <c r="AY7" i="2"/>
  <c r="BC7" i="2"/>
  <c r="BB7" i="2"/>
  <c r="AN7" i="2"/>
  <c r="Y7" i="2"/>
  <c r="BD7" i="2"/>
  <c r="AO7" i="2"/>
  <c r="AS7" i="2"/>
  <c r="AZ7" i="2"/>
  <c r="BY7" i="2"/>
  <c r="K7" i="2"/>
  <c r="O7" i="2"/>
  <c r="N7" i="2"/>
  <c r="AH7" i="2"/>
  <c r="P7" i="2"/>
  <c r="AF7" i="2"/>
  <c r="BE7" i="2"/>
  <c r="V7" i="2"/>
  <c r="AU7" i="2"/>
  <c r="AC7" i="2"/>
  <c r="AI4" i="2"/>
  <c r="S4" i="2"/>
  <c r="BQ4" i="2"/>
  <c r="Z4" i="2"/>
  <c r="AL4" i="2"/>
  <c r="BF8" i="2"/>
  <c r="BE8" i="2"/>
  <c r="BA8" i="2"/>
  <c r="BG21" i="2"/>
  <c r="AD21" i="2"/>
  <c r="BO21" i="2"/>
  <c r="J21" i="2"/>
  <c r="BS21" i="2"/>
  <c r="BE21" i="2"/>
  <c r="V19" i="2"/>
  <c r="N19" i="2"/>
  <c r="AD12" i="2"/>
  <c r="S12" i="2"/>
  <c r="BL15" i="2"/>
  <c r="AJ9" i="2"/>
  <c r="BQ13" i="2"/>
  <c r="BH13" i="2"/>
  <c r="S13" i="2"/>
  <c r="AD13" i="2"/>
  <c r="AM13" i="2"/>
  <c r="X13" i="2"/>
  <c r="BT13" i="2"/>
  <c r="BA13" i="2"/>
  <c r="Q13" i="2"/>
  <c r="AC13" i="2"/>
  <c r="AR13" i="2"/>
  <c r="BO13" i="2"/>
  <c r="BZ13" i="2"/>
  <c r="N13" i="2"/>
  <c r="M13" i="2"/>
  <c r="AJ13" i="2"/>
  <c r="BG13" i="2"/>
  <c r="BR13" i="2"/>
  <c r="AB13" i="2"/>
  <c r="AY13" i="2"/>
  <c r="BJ13" i="2"/>
  <c r="BV13" i="2"/>
  <c r="AV13" i="2"/>
  <c r="U13" i="2"/>
  <c r="BD13" i="2"/>
  <c r="P13" i="2"/>
  <c r="AQ19" i="2"/>
  <c r="AX19" i="2"/>
  <c r="BR19" i="2"/>
  <c r="BQ19" i="2"/>
  <c r="BD19" i="2"/>
  <c r="AW19" i="2"/>
  <c r="BM19" i="2"/>
  <c r="AO19" i="2"/>
  <c r="AE19" i="2"/>
  <c r="BX19" i="2"/>
  <c r="AI19" i="2"/>
  <c r="BH19" i="2"/>
  <c r="BE19" i="2"/>
  <c r="AT19" i="2"/>
  <c r="AM19" i="2"/>
  <c r="AS19" i="2"/>
  <c r="U19" i="2"/>
  <c r="I19" i="2"/>
  <c r="BB19" i="2"/>
  <c r="AA19" i="2"/>
  <c r="AH19" i="2"/>
  <c r="AV19" i="2"/>
  <c r="AU19" i="2"/>
  <c r="AJ19" i="2"/>
  <c r="AC19" i="2"/>
  <c r="W19" i="2"/>
  <c r="BJ19" i="2"/>
  <c r="AG19" i="2"/>
  <c r="S19" i="2"/>
  <c r="Z19" i="2"/>
  <c r="AL19" i="2"/>
  <c r="AK19" i="2"/>
  <c r="X19" i="2"/>
  <c r="Q19" i="2"/>
  <c r="BL19" i="2"/>
  <c r="AN19" i="2"/>
  <c r="AF19" i="2"/>
  <c r="AY19" i="2"/>
  <c r="BF19" i="2"/>
  <c r="BP19" i="2"/>
  <c r="BI19" i="2"/>
  <c r="BK19" i="2"/>
  <c r="BA19" i="2"/>
  <c r="BY19" i="2"/>
  <c r="BO19" i="2"/>
  <c r="BS10" i="2"/>
  <c r="BW19" i="2"/>
  <c r="U12" i="2"/>
  <c r="AB12" i="2"/>
  <c r="AU12" i="2"/>
  <c r="AL12" i="2"/>
  <c r="X12" i="2"/>
  <c r="I12" i="2"/>
  <c r="BZ12" i="2"/>
  <c r="BB12" i="2"/>
  <c r="AQ12" i="2"/>
  <c r="BY12" i="2"/>
  <c r="M12" i="2"/>
  <c r="T12" i="2"/>
  <c r="AM12" i="2"/>
  <c r="Y12" i="2"/>
  <c r="J12" i="2"/>
  <c r="BT12" i="2"/>
  <c r="BM12" i="2"/>
  <c r="Q12" i="2"/>
  <c r="P12" i="2"/>
  <c r="BQ12" i="2"/>
  <c r="BX12" i="2"/>
  <c r="L12" i="2"/>
  <c r="AE12" i="2"/>
  <c r="K12" i="2"/>
  <c r="BF12" i="2"/>
  <c r="AY12" i="2"/>
  <c r="BO12" i="2"/>
  <c r="AP12" i="2"/>
  <c r="BI12" i="2"/>
  <c r="BP12" i="2"/>
  <c r="W12" i="2"/>
  <c r="BU12" i="2"/>
  <c r="AT12" i="2"/>
  <c r="AN12" i="2"/>
  <c r="AF12" i="2"/>
  <c r="AC12" i="2"/>
  <c r="AJ12" i="2"/>
  <c r="BC12" i="2"/>
  <c r="AX12" i="2"/>
  <c r="AI12" i="2"/>
  <c r="V12" i="2"/>
  <c r="AO12" i="2"/>
  <c r="BD12" i="2"/>
  <c r="AH12" i="2"/>
  <c r="BL12" i="2"/>
  <c r="AZ12" i="2"/>
  <c r="AI10" i="2"/>
  <c r="M8" i="2"/>
  <c r="BG8" i="2"/>
  <c r="U8" i="2"/>
  <c r="AV8" i="2"/>
  <c r="BM8" i="2"/>
  <c r="BK8" i="2"/>
  <c r="BJ8" i="2"/>
  <c r="BI8" i="2"/>
  <c r="BN8" i="2"/>
  <c r="AO8" i="2"/>
  <c r="BX8" i="2"/>
  <c r="AG8" i="2"/>
  <c r="BO8" i="2"/>
  <c r="P8" i="2"/>
  <c r="AB8" i="2"/>
  <c r="AA8" i="2"/>
  <c r="Z8" i="2"/>
  <c r="Y8" i="2"/>
  <c r="AC8" i="2"/>
  <c r="AD8" i="2"/>
  <c r="AW8" i="2"/>
  <c r="AE8" i="2"/>
  <c r="S10" i="2"/>
  <c r="AD10" i="2"/>
  <c r="AH8" i="2"/>
  <c r="M19" i="2"/>
  <c r="L10" i="2"/>
  <c r="AL10" i="2"/>
  <c r="BJ14" i="2"/>
  <c r="BC19" i="2"/>
  <c r="Y19" i="2"/>
  <c r="BR12" i="2"/>
  <c r="AZ22" i="2"/>
  <c r="AI22" i="2"/>
  <c r="X10" i="2"/>
  <c r="AK10" i="2"/>
  <c r="Q14" i="2"/>
  <c r="BU14" i="2"/>
  <c r="J14" i="2"/>
  <c r="BQ8" i="2"/>
  <c r="AF8" i="2"/>
  <c r="AB21" i="2"/>
  <c r="BD21" i="2"/>
  <c r="BG12" i="2"/>
  <c r="BJ15" i="2"/>
  <c r="AM9" i="2"/>
  <c r="AL9" i="2"/>
  <c r="AT9" i="2"/>
  <c r="AS9" i="2"/>
  <c r="BA9" i="2"/>
  <c r="BO9" i="2"/>
  <c r="AP9" i="2"/>
  <c r="Y9" i="2"/>
  <c r="BG9" i="2"/>
  <c r="P9" i="2"/>
  <c r="J9" i="2"/>
  <c r="I9" i="2"/>
  <c r="Q9" i="2"/>
  <c r="AD9" i="2"/>
  <c r="AO9" i="2"/>
  <c r="X9" i="2"/>
  <c r="AQ9" i="2"/>
  <c r="AR9" i="2"/>
  <c r="BK9" i="2"/>
  <c r="BA22" i="2"/>
  <c r="AO10" i="2"/>
  <c r="AH10" i="2"/>
  <c r="AU14" i="2"/>
  <c r="U14" i="2"/>
  <c r="BY4" i="2"/>
  <c r="AK4" i="2"/>
  <c r="BI4" i="2"/>
  <c r="BD4" i="2"/>
  <c r="AB4" i="2"/>
  <c r="T4" i="2"/>
  <c r="W4" i="2"/>
  <c r="AD4" i="2"/>
  <c r="AX4" i="2"/>
  <c r="AV4" i="2"/>
  <c r="AZ4" i="2"/>
  <c r="AJ4" i="2"/>
  <c r="AC4" i="2"/>
  <c r="BU4" i="2"/>
  <c r="AU4" i="2"/>
  <c r="BB4" i="2"/>
  <c r="BV4" i="2"/>
  <c r="J4" i="2"/>
  <c r="BL4" i="2"/>
  <c r="BW4" i="2"/>
  <c r="BP4" i="2"/>
  <c r="AO4" i="2"/>
  <c r="AS4" i="2"/>
  <c r="AE4" i="2"/>
  <c r="AM8" i="2"/>
  <c r="W8" i="2"/>
  <c r="K8" i="2"/>
  <c r="J8" i="2"/>
  <c r="AN8" i="2"/>
  <c r="BH21" i="2"/>
  <c r="BB21" i="2"/>
  <c r="BA21" i="2"/>
  <c r="O21" i="2"/>
  <c r="BL21" i="2"/>
  <c r="BT19" i="2"/>
  <c r="BN19" i="2"/>
  <c r="AA12" i="2"/>
  <c r="Z12" i="2"/>
  <c r="BK12" i="2"/>
  <c r="AS12" i="2"/>
  <c r="BP15" i="2"/>
  <c r="BG15" i="2"/>
  <c r="K15" i="2"/>
  <c r="BK15" i="2"/>
  <c r="AL23" i="2"/>
  <c r="BA23" i="2"/>
  <c r="BD23" i="2"/>
  <c r="BC23" i="2"/>
  <c r="AZ23" i="2"/>
  <c r="AU23" i="2"/>
  <c r="I23" i="2"/>
  <c r="BH23" i="2"/>
  <c r="AD23" i="2"/>
  <c r="AR23" i="2"/>
  <c r="AS23" i="2"/>
  <c r="AQ23" i="2"/>
  <c r="AP23" i="2"/>
  <c r="AJ23" i="2"/>
  <c r="BU23" i="2"/>
  <c r="BG23" i="2"/>
  <c r="S23" i="2"/>
  <c r="V23" i="2"/>
  <c r="AI23" i="2"/>
  <c r="AH23" i="2"/>
  <c r="AG23" i="2"/>
  <c r="AF23" i="2"/>
  <c r="Y23" i="2"/>
  <c r="AY23" i="2"/>
  <c r="AM23" i="2"/>
  <c r="AW23" i="2"/>
  <c r="BZ23" i="2"/>
  <c r="N23" i="2"/>
  <c r="Z23" i="2"/>
  <c r="X23" i="2"/>
  <c r="W23" i="2"/>
  <c r="U23" i="2"/>
  <c r="O23" i="2"/>
  <c r="AE23" i="2"/>
  <c r="R23" i="2"/>
  <c r="AV23" i="2"/>
  <c r="AT23" i="2"/>
  <c r="BK23" i="2"/>
  <c r="BN23" i="2"/>
  <c r="BM23" i="2"/>
  <c r="BL23" i="2"/>
  <c r="BE23" i="2"/>
  <c r="P23" i="2"/>
  <c r="AC23" i="2"/>
  <c r="T23" i="2"/>
  <c r="AN23" i="2"/>
  <c r="BT23" i="2"/>
  <c r="AG9" i="2"/>
  <c r="AN9" i="2"/>
  <c r="K9" i="2"/>
  <c r="BU10" i="2"/>
  <c r="BW10" i="2"/>
  <c r="AY8" i="2"/>
  <c r="AS10" i="2"/>
  <c r="AU10" i="2"/>
  <c r="L8" i="2"/>
  <c r="O19" i="2"/>
  <c r="AZ10" i="2"/>
  <c r="BE10" i="2"/>
  <c r="BK10" i="2"/>
  <c r="AQ14" i="2"/>
  <c r="AS8" i="2"/>
  <c r="BW12" i="2"/>
  <c r="Y22" i="2"/>
  <c r="AF22" i="2"/>
  <c r="AH22" i="2"/>
  <c r="U22" i="2"/>
  <c r="AM22" i="2"/>
  <c r="AK22" i="2"/>
  <c r="AJ22" i="2"/>
  <c r="AR22" i="2"/>
  <c r="BE22" i="2"/>
  <c r="AW22" i="2"/>
  <c r="BZ22" i="2"/>
  <c r="BY22" i="2"/>
  <c r="AG22" i="2"/>
  <c r="P22" i="2"/>
  <c r="BK22" i="2"/>
  <c r="BM22" i="2"/>
  <c r="BL22" i="2"/>
  <c r="BT22" i="2"/>
  <c r="K22" i="2"/>
  <c r="AQ22" i="2"/>
  <c r="AX22" i="2"/>
  <c r="BR22" i="2"/>
  <c r="V22" i="2"/>
  <c r="J10" i="2"/>
  <c r="AY14" i="2"/>
  <c r="AZ8" i="2"/>
  <c r="BP21" i="2"/>
  <c r="AZ19" i="2"/>
  <c r="R12" i="2"/>
  <c r="O12" i="2"/>
  <c r="O15" i="2"/>
  <c r="BF22" i="2"/>
  <c r="BI22" i="2"/>
  <c r="AL22" i="2"/>
  <c r="S22" i="2"/>
  <c r="AW10" i="2"/>
  <c r="BD14" i="2"/>
  <c r="O14" i="2"/>
  <c r="L14" i="2"/>
  <c r="Z14" i="2"/>
  <c r="BG14" i="2"/>
  <c r="N22" i="2"/>
  <c r="AO22" i="2"/>
  <c r="AV22" i="2"/>
  <c r="AB22" i="2"/>
  <c r="BI10" i="2"/>
  <c r="K10" i="2"/>
  <c r="R10" i="2"/>
  <c r="AR10" i="2"/>
  <c r="BG10" i="2"/>
  <c r="BR10" i="2"/>
  <c r="BB14" i="2"/>
  <c r="BH14" i="2"/>
  <c r="AL14" i="2"/>
  <c r="AC14" i="2"/>
  <c r="AX14" i="2"/>
  <c r="BR17" i="2"/>
  <c r="AG17" i="2"/>
  <c r="BO17" i="2"/>
  <c r="BC17" i="2"/>
  <c r="AP5" i="2"/>
  <c r="AJ5" i="2"/>
  <c r="AV5" i="2"/>
  <c r="BO5" i="2"/>
  <c r="BU5" i="2"/>
  <c r="AU5" i="2"/>
  <c r="R7" i="2"/>
  <c r="AP7" i="2"/>
  <c r="AE7" i="2"/>
  <c r="BG7" i="2"/>
  <c r="BZ7" i="2"/>
  <c r="BT4" i="2"/>
  <c r="Q4" i="2"/>
  <c r="AY4" i="2"/>
  <c r="AN4" i="2"/>
  <c r="AM4" i="2"/>
  <c r="N4" i="2"/>
  <c r="BC4" i="2"/>
  <c r="S16" i="2"/>
  <c r="J16" i="2"/>
  <c r="AB16" i="2"/>
  <c r="AI16" i="2"/>
  <c r="N8" i="2"/>
  <c r="AX8" i="2"/>
  <c r="AL8" i="2"/>
  <c r="AI8" i="2"/>
  <c r="AK8" i="2"/>
  <c r="BL8" i="2"/>
  <c r="AC21" i="2"/>
  <c r="BR21" i="2"/>
  <c r="AM21" i="2"/>
  <c r="T19" i="2"/>
  <c r="BS19" i="2"/>
  <c r="P19" i="2"/>
  <c r="BV19" i="2"/>
  <c r="BE12" i="2"/>
  <c r="AW12" i="2"/>
  <c r="BS12" i="2"/>
  <c r="BA12" i="2"/>
  <c r="AI15" i="2"/>
  <c r="J15" i="2"/>
  <c r="BU15" i="2"/>
  <c r="T15" i="2"/>
  <c r="BQ23" i="2"/>
  <c r="AK23" i="2"/>
  <c r="L23" i="2"/>
  <c r="AX9" i="2"/>
  <c r="AW9" i="2"/>
  <c r="R9" i="2"/>
  <c r="T9" i="2"/>
  <c r="AS13" i="2"/>
  <c r="Y13" i="2"/>
  <c r="AZ13" i="2"/>
  <c r="BH10" i="2"/>
  <c r="BZ8" i="2"/>
  <c r="AV10" i="2"/>
  <c r="BY8" i="2"/>
  <c r="BP10" i="2"/>
  <c r="AA14" i="2"/>
  <c r="AH14" i="2"/>
  <c r="BI14" i="2"/>
  <c r="BL14" i="2"/>
  <c r="AW14" i="2"/>
  <c r="W14" i="2"/>
  <c r="AB14" i="2"/>
  <c r="AD14" i="2"/>
  <c r="BW14" i="2"/>
  <c r="K14" i="2"/>
  <c r="R14" i="2"/>
  <c r="AS14" i="2"/>
  <c r="AM14" i="2"/>
  <c r="X14" i="2"/>
  <c r="BS14" i="2"/>
  <c r="AF14" i="2"/>
  <c r="P14" i="2"/>
  <c r="AI14" i="2"/>
  <c r="AP14" i="2"/>
  <c r="BQ14" i="2"/>
  <c r="BZ14" i="2"/>
  <c r="BK14" i="2"/>
  <c r="AJ14" i="2"/>
  <c r="V14" i="2"/>
  <c r="AN14" i="2"/>
  <c r="BR14" i="2"/>
  <c r="AR14" i="2"/>
  <c r="X8" i="2"/>
  <c r="AD19" i="2"/>
  <c r="R19" i="2"/>
  <c r="BH12" i="2"/>
  <c r="BX22" i="2"/>
  <c r="J22" i="2"/>
  <c r="BY10" i="2"/>
  <c r="AG14" i="2"/>
  <c r="BT8" i="2"/>
  <c r="BU19" i="2"/>
  <c r="N12" i="2"/>
  <c r="AU15" i="2"/>
  <c r="AW15" i="2"/>
  <c r="BE15" i="2"/>
  <c r="BQ15" i="2"/>
  <c r="BV15" i="2"/>
  <c r="AB15" i="2"/>
  <c r="AK15" i="2"/>
  <c r="AM15" i="2"/>
  <c r="AN15" i="2"/>
  <c r="AV15" i="2"/>
  <c r="BH15" i="2"/>
  <c r="BI15" i="2"/>
  <c r="P15" i="2"/>
  <c r="BR15" i="2"/>
  <c r="Y15" i="2"/>
  <c r="AX15" i="2"/>
  <c r="AZ15" i="2"/>
  <c r="AE15" i="2"/>
  <c r="AD15" i="2"/>
  <c r="AL15" i="2"/>
  <c r="AY15" i="2"/>
  <c r="AS15" i="2"/>
  <c r="BB15" i="2"/>
  <c r="I15" i="2"/>
  <c r="AJ15" i="2"/>
  <c r="S15" i="2"/>
  <c r="W15" i="2"/>
  <c r="U15" i="2"/>
  <c r="AC15" i="2"/>
  <c r="AP15" i="2"/>
  <c r="AF15" i="2"/>
  <c r="BT15" i="2"/>
  <c r="AO15" i="2"/>
  <c r="BY15" i="2"/>
  <c r="V15" i="2"/>
  <c r="BC15" i="2"/>
  <c r="BF15" i="2"/>
  <c r="BN15" i="2"/>
  <c r="BZ15" i="2"/>
  <c r="AR15" i="2"/>
  <c r="M15" i="2"/>
  <c r="BA15" i="2"/>
  <c r="R15" i="2"/>
  <c r="BM15" i="2"/>
  <c r="M22" i="2"/>
  <c r="L22" i="2"/>
  <c r="BN22" i="2"/>
  <c r="I22" i="2"/>
  <c r="AT22" i="2"/>
  <c r="I10" i="2"/>
  <c r="AB10" i="2"/>
  <c r="BN10" i="2"/>
  <c r="P10" i="2"/>
  <c r="BQ10" i="2"/>
  <c r="W10" i="2"/>
  <c r="AO14" i="2"/>
  <c r="BM14" i="2"/>
  <c r="BT14" i="2"/>
  <c r="BX14" i="2"/>
  <c r="AK14" i="2"/>
  <c r="BF14" i="2"/>
  <c r="BI17" i="2"/>
  <c r="BP17" i="2"/>
  <c r="AA17" i="2"/>
  <c r="AI17" i="2"/>
  <c r="AH17" i="2"/>
  <c r="AB17" i="2"/>
  <c r="AY17" i="2"/>
  <c r="BS17" i="2"/>
  <c r="K17" i="2"/>
  <c r="X17" i="2"/>
  <c r="AS17" i="2"/>
  <c r="AZ17" i="2"/>
  <c r="I17" i="2"/>
  <c r="Q17" i="2"/>
  <c r="P17" i="2"/>
  <c r="J17" i="2"/>
  <c r="O17" i="2"/>
  <c r="AE17" i="2"/>
  <c r="AN17" i="2"/>
  <c r="BQ17" i="2"/>
  <c r="BX17" i="2"/>
  <c r="AJ17" i="2"/>
  <c r="AR17" i="2"/>
  <c r="AQ17" i="2"/>
  <c r="AL17" i="2"/>
  <c r="BU17" i="2"/>
  <c r="N17" i="2"/>
  <c r="AD17" i="2"/>
  <c r="AO17" i="2"/>
  <c r="BM17" i="2"/>
  <c r="BH17" i="2"/>
  <c r="V5" i="2"/>
  <c r="BC5" i="2"/>
  <c r="BL7" i="2"/>
  <c r="BN7" i="2"/>
  <c r="AM7" i="2"/>
  <c r="M7" i="2"/>
  <c r="I4" i="2"/>
  <c r="AQ4" i="2"/>
  <c r="AF4" i="2"/>
  <c r="BM4" i="2"/>
  <c r="R4" i="2"/>
  <c r="V4" i="2"/>
  <c r="BK4" i="2"/>
  <c r="BB16" i="2"/>
  <c r="BQ16" i="2"/>
  <c r="BY16" i="2"/>
  <c r="AQ16" i="2"/>
  <c r="K16" i="2"/>
  <c r="AZ16" i="2"/>
  <c r="R16" i="2"/>
  <c r="AJ16" i="2"/>
  <c r="AL16" i="2"/>
  <c r="AY16" i="2"/>
  <c r="BG16" i="2"/>
  <c r="BK16" i="2"/>
  <c r="BF16" i="2"/>
  <c r="L16" i="2"/>
  <c r="BC16" i="2"/>
  <c r="U16" i="2"/>
  <c r="BX16" i="2"/>
  <c r="AV16" i="2"/>
  <c r="BJ16" i="2"/>
  <c r="M16" i="2"/>
  <c r="Q16" i="2"/>
  <c r="BE16" i="2"/>
  <c r="AA16" i="2"/>
  <c r="BN16" i="2"/>
  <c r="AE16" i="2"/>
  <c r="BL16" i="2"/>
  <c r="Y16" i="2"/>
  <c r="BU16" i="2"/>
  <c r="AR16" i="2"/>
  <c r="BP16" i="2"/>
  <c r="AP8" i="2"/>
  <c r="BH8" i="2"/>
  <c r="AU8" i="2"/>
  <c r="AR8" i="2"/>
  <c r="AT8" i="2"/>
  <c r="BZ21" i="2"/>
  <c r="Y21" i="2"/>
  <c r="AF21" i="2"/>
  <c r="AU21" i="2"/>
  <c r="AX21" i="2"/>
  <c r="BQ21" i="2"/>
  <c r="V21" i="2"/>
  <c r="BJ21" i="2"/>
  <c r="BY21" i="2"/>
  <c r="Q21" i="2"/>
  <c r="X21" i="2"/>
  <c r="BU21" i="2"/>
  <c r="I21" i="2"/>
  <c r="P21" i="2"/>
  <c r="AE21" i="2"/>
  <c r="AH21" i="2"/>
  <c r="AK21" i="2"/>
  <c r="AY21" i="2"/>
  <c r="BX21" i="2"/>
  <c r="M21" i="2"/>
  <c r="BM21" i="2"/>
  <c r="BT21" i="2"/>
  <c r="W21" i="2"/>
  <c r="Z21" i="2"/>
  <c r="U21" i="2"/>
  <c r="AI21" i="2"/>
  <c r="AR21" i="2"/>
  <c r="BI21" i="2"/>
  <c r="AA21" i="2"/>
  <c r="AG21" i="2"/>
  <c r="AN21" i="2"/>
  <c r="BC21" i="2"/>
  <c r="BF21" i="2"/>
  <c r="T21" i="2"/>
  <c r="AL21" i="2"/>
  <c r="K21" i="2"/>
  <c r="AT21" i="2"/>
  <c r="BK21" i="2"/>
  <c r="AW21" i="2"/>
  <c r="AB19" i="2"/>
  <c r="K19" i="2"/>
  <c r="BJ12" i="2"/>
  <c r="Z15" i="2"/>
  <c r="Q15" i="2"/>
  <c r="BW15" i="2"/>
  <c r="BI23" i="2"/>
  <c r="BF23" i="2"/>
  <c r="BW23" i="2"/>
  <c r="BR9" i="2"/>
  <c r="BF9" i="2"/>
  <c r="AA9" i="2"/>
  <c r="AC9" i="2"/>
  <c r="AE13" i="2"/>
  <c r="AG13" i="2"/>
  <c r="M10" i="2"/>
  <c r="AA10" i="2"/>
  <c r="V10" i="2"/>
  <c r="O10" i="2"/>
  <c r="Z18" i="2"/>
  <c r="J18" i="2"/>
  <c r="AC18" i="2"/>
  <c r="AD18" i="2"/>
  <c r="AO18" i="2"/>
  <c r="AQ18" i="2"/>
  <c r="T18" i="2"/>
  <c r="I6" i="2"/>
  <c r="BS6" i="2"/>
  <c r="BD6" i="2"/>
  <c r="AJ6" i="2"/>
  <c r="AC6" i="2"/>
  <c r="BR6" i="2"/>
  <c r="BR20" i="2"/>
  <c r="BQ20" i="2"/>
  <c r="N20" i="2"/>
  <c r="AC20" i="2"/>
  <c r="AQ20" i="2"/>
  <c r="AG20" i="2"/>
  <c r="J20" i="2"/>
  <c r="BV20" i="2"/>
  <c r="BW9" i="2"/>
  <c r="BS9" i="2"/>
  <c r="BL10" i="2"/>
  <c r="BM10" i="2"/>
  <c r="AQ10" i="2"/>
  <c r="AX10" i="2"/>
  <c r="BD10" i="2"/>
  <c r="BO10" i="2"/>
  <c r="BF10" i="2"/>
  <c r="BJ10" i="2"/>
  <c r="BC10" i="2"/>
  <c r="BF18" i="2"/>
  <c r="W18" i="2"/>
  <c r="AU18" i="2"/>
  <c r="BC18" i="2"/>
  <c r="BL18" i="2"/>
  <c r="I18" i="2"/>
  <c r="S18" i="2"/>
  <c r="BH18" i="2"/>
  <c r="BW8" i="2"/>
  <c r="BR8" i="2"/>
  <c r="BS8" i="2"/>
  <c r="BU8" i="2"/>
  <c r="BV8" i="2"/>
  <c r="BD8" i="2"/>
  <c r="Z6" i="2"/>
  <c r="AP6" i="2"/>
  <c r="AH6" i="2"/>
  <c r="BF6" i="2"/>
  <c r="AU6" i="2"/>
  <c r="AF6" i="2"/>
  <c r="L6" i="2"/>
  <c r="BX6" i="2"/>
  <c r="BQ6" i="2"/>
  <c r="AT6" i="2"/>
  <c r="BH20" i="2"/>
  <c r="BJ20" i="2"/>
  <c r="V20" i="2"/>
  <c r="AD20" i="2"/>
  <c r="BK20" i="2"/>
  <c r="BZ20" i="2"/>
  <c r="S20" i="2"/>
  <c r="I20" i="2"/>
  <c r="BU20" i="2"/>
  <c r="AX20" i="2"/>
  <c r="BP9" i="2"/>
  <c r="M9" i="2"/>
  <c r="AY9" i="2"/>
  <c r="BX9" i="2"/>
  <c r="BJ9" i="2"/>
  <c r="BB9" i="2"/>
  <c r="BD9" i="2"/>
  <c r="AV9" i="2"/>
  <c r="AU9" i="2"/>
  <c r="BE13" i="2"/>
  <c r="BC13" i="2"/>
  <c r="BM13" i="2"/>
  <c r="I13" i="2"/>
  <c r="AK13" i="2"/>
  <c r="AX13" i="2"/>
  <c r="AL13" i="2"/>
  <c r="AA13" i="2"/>
  <c r="BP13" i="2"/>
  <c r="BF20" i="2"/>
  <c r="AH9" i="2"/>
  <c r="BY9" i="2"/>
  <c r="L9" i="2"/>
  <c r="BT9" i="2"/>
  <c r="BL9" i="2"/>
  <c r="BM9" i="2"/>
  <c r="BE9" i="2"/>
  <c r="BC9" i="2"/>
  <c r="W13" i="2"/>
  <c r="AW13" i="2"/>
  <c r="BL13" i="2"/>
  <c r="AT13" i="2"/>
  <c r="AI13" i="2"/>
  <c r="L13" i="2"/>
  <c r="BX13" i="2"/>
  <c r="BW22" i="2"/>
  <c r="BJ22" i="2"/>
  <c r="BB22" i="2"/>
  <c r="BD22" i="2"/>
  <c r="AY10" i="2"/>
  <c r="AP10" i="2"/>
  <c r="AF10" i="2"/>
  <c r="BT10" i="2"/>
  <c r="BX10" i="2"/>
  <c r="Q10" i="2"/>
  <c r="N10" i="2"/>
  <c r="BZ10" i="2"/>
  <c r="AK18" i="2"/>
  <c r="BM18" i="2"/>
  <c r="Q18" i="2"/>
  <c r="R18" i="2"/>
  <c r="AE18" i="2"/>
  <c r="AI18" i="2"/>
  <c r="L18" i="2"/>
  <c r="BN4" i="2"/>
  <c r="AT4" i="2"/>
  <c r="BP8" i="2"/>
  <c r="V8" i="2"/>
  <c r="T8" i="2"/>
  <c r="O8" i="2"/>
  <c r="Q8" i="2"/>
  <c r="R8" i="2"/>
  <c r="S8" i="2"/>
  <c r="AX6" i="2"/>
  <c r="Y6" i="2"/>
  <c r="BW6" i="2"/>
  <c r="BO6" i="2"/>
  <c r="BK6" i="2"/>
  <c r="AV6" i="2"/>
  <c r="AB6" i="2"/>
  <c r="U6" i="2"/>
  <c r="AF20" i="2"/>
  <c r="AS20" i="2"/>
  <c r="BT20" i="2"/>
  <c r="BC20" i="2"/>
  <c r="O20" i="2"/>
  <c r="AI20" i="2"/>
  <c r="V9" i="2"/>
  <c r="BH9" i="2"/>
  <c r="N9" i="2"/>
  <c r="U9" i="2"/>
  <c r="BU9" i="2"/>
  <c r="BV9" i="2"/>
  <c r="BN9" i="2"/>
  <c r="AP13" i="2"/>
  <c r="R13" i="2"/>
  <c r="AH13" i="2"/>
  <c r="BK13" i="2"/>
  <c r="BY13" i="2"/>
  <c r="BB13" i="2"/>
  <c r="AQ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<sst xmlns="http://schemas.openxmlformats.org/spreadsheetml/2006/main" count="105" uniqueCount="60">
  <si>
    <t>Project Name</t>
  </si>
  <si>
    <t>IronCalc v1.0</t>
  </si>
  <si>
    <t>Name shown on the Plan header</t>
  </si>
  <si>
    <t>Project Start</t>
  </si>
  <si>
    <t>First date shown on the Gantt timeline</t>
  </si>
  <si>
    <t>Days to show</t>
  </si>
  <si>
    <t>Number of calendar days in the Gantt (max ~120)</t>
  </si>
  <si>
    <t>Today</t>
  </si>
  <si>
    <t>Owner 1</t>
  </si>
  <si>
    <t>Owner 2</t>
  </si>
  <si>
    <t>Owner 3</t>
  </si>
  <si>
    <t>Owner 4</t>
  </si>
  <si>
    <t>Phase colours (reference)</t>
  </si>
  <si>
    <t>Planning</t>
  </si>
  <si>
    <t>Design</t>
  </si>
  <si>
    <t>Testing</t>
  </si>
  <si>
    <t>Launch</t>
  </si>
  <si>
    <t>Other</t>
  </si>
  <si>
    <t>Start</t>
  </si>
  <si>
    <t>% Done</t>
  </si>
  <si>
    <t>#</t>
  </si>
  <si>
    <t>Phase</t>
  </si>
  <si>
    <t>Task</t>
  </si>
  <si>
    <t>Owner</t>
  </si>
  <si>
    <t>Days</t>
  </si>
  <si>
    <t>End</t>
  </si>
  <si>
    <t>Jun 2025</t>
  </si>
  <si>
    <t>Jul 2025</t>
  </si>
  <si>
    <t>Aug 2025</t>
  </si>
  <si>
    <t>Task Name</t>
  </si>
  <si>
    <t>Start Date</t>
  </si>
  <si>
    <t>End Date</t>
  </si>
  <si>
    <t>Notes</t>
  </si>
  <si>
    <t>Define scope &amp; goals</t>
  </si>
  <si>
    <t>Stakeholder interviews</t>
  </si>
  <si>
    <t>Requirements doc</t>
  </si>
  <si>
    <t>Tech stack decision</t>
  </si>
  <si>
    <t>UX wireframes</t>
  </si>
  <si>
    <t>Design system / tokens</t>
  </si>
  <si>
    <t>Prototype review</t>
  </si>
  <si>
    <t>Spreadsheet engine core</t>
  </si>
  <si>
    <t>Formula parser v2</t>
  </si>
  <si>
    <t>Frontend components</t>
  </si>
  <si>
    <t>WebAssembly build</t>
  </si>
  <si>
    <t>API integration</t>
  </si>
  <si>
    <t>Unit test suite</t>
  </si>
  <si>
    <t>Cross-browser QA</t>
  </si>
  <si>
    <t>Performance benchmarks</t>
  </si>
  <si>
    <t>Bug fixes</t>
  </si>
  <si>
    <t>Docs &amp; changelog</t>
  </si>
  <si>
    <t>Beta release</t>
  </si>
  <si>
    <t>Marketing page</t>
  </si>
  <si>
    <t>v1.0 release 🚀</t>
  </si>
  <si>
    <t>Dev</t>
  </si>
  <si>
    <t>PROJECT SETTINGS</t>
  </si>
  <si>
    <t>TASK INPUT</t>
  </si>
  <si>
    <t>Edit here (plan updates automatically) / Blue cells = your inputs  /  End Date is calculated / Overdue tasks are marked in red</t>
  </si>
  <si>
    <t>John</t>
  </si>
  <si>
    <t>Jane</t>
  </si>
  <si>
    <t>Auto, do not 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</si>
</sst>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"/>
    <numFmt numFmtId="168" formatCode="m/d/yy"/>
  </numFmts>
  <fonts count="30" x14ac:knownFonts="1">
    <font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sz val="9"/>
      <color rgb="FF94A3B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rgb="FF94A3B8"/>
      <name val="Aptos Narrow"/>
      <family val="2"/>
      <scheme val="minor"/>
    </font>
    <font>
      <b/>
      <sz val="12"/>
      <color rgb="FF1E293B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0"/>
      <color theme="1" tint="0.499984740745262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i/>
      <sz val="10"/>
      <color theme="0"/>
      <name val="Aptos Narrow"/>
      <family val="2"/>
      <scheme val="minor"/>
    </font>
    <font>
      <i/>
      <sz val="12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sz val="9"/>
      <color theme="1" tint="0.249977111117893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6" tint="0.79998168889431442"/>
      <name val="Aptos Narrow"/>
      <family val="2"/>
      <scheme val="minor"/>
    </font>
    <font>
      <sz val="12"/>
      <color theme="5" tint="0.79998168889431442"/>
      <name val="Aptos Narrow"/>
      <family val="2"/>
      <scheme val="minor"/>
    </font>
    <font>
      <sz val="12"/>
      <color theme="4" tint="0.79998168889431442"/>
      <name val="Aptos Narrow"/>
      <family val="2"/>
      <scheme val="minor"/>
    </font>
    <font>
      <sz val="12"/>
      <color theme="9" tint="0.79998168889431442"/>
      <name val="Aptos Narrow"/>
      <family val="2"/>
      <scheme val="minor"/>
    </font>
    <font>
      <sz val="12"/>
      <color theme="7" tint="-0.499984740745262"/>
      <name val="Aptos Narrow"/>
      <family val="2"/>
      <scheme val="minor"/>
    </font>
    <font>
      <sz val="12"/>
      <color theme="8" tint="0.79998168889431442"/>
      <name val="Aptos Narrow"/>
      <family val="2"/>
      <scheme val="minor"/>
    </font>
    <font>
      <b/>
      <sz val="12"/>
      <color theme="3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11" fillId="0" borderId="0" xfId="0" applyFont="1"/>
    <xf numFmtId="0" fontId="10" fillId="0" borderId="0" xfId="0" applyFont="1" applyAlignment="1">
      <alignment horizontal="left" vertical="center"/>
    </xf>
    <xf numFmtId="0" fontId="12" fillId="2" borderId="2" xfId="0" applyFont="1" applyFill="1" applyBorder="1"/>
    <xf numFmtId="168" fontId="12" fillId="2" borderId="2" xfId="0" applyNumberFormat="1" applyFont="1" applyFill="1" applyBorder="1" applyAlignment="1">
      <alignment horizontal="left"/>
    </xf>
    <xf numFmtId="0" fontId="12" fillId="2" borderId="2" xfId="0" applyFont="1" applyFill="1" applyBorder="1" applyAlignment="1">
      <alignment horizontal="left"/>
    </xf>
    <xf numFmtId="0" fontId="13" fillId="0" borderId="0" xfId="0" applyFont="1" applyAlignment="1">
      <alignment horizontal="left" vertical="center"/>
    </xf>
    <xf numFmtId="168" fontId="14" fillId="3" borderId="3" xfId="0" applyNumberFormat="1" applyFont="1" applyFill="1" applyBorder="1" applyAlignment="1">
      <alignment horizontal="left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7" fillId="4" borderId="0" xfId="0" applyFont="1" applyFill="1" applyAlignment="1">
      <alignment horizontal="center" vertical="center"/>
    </xf>
    <xf numFmtId="165" fontId="19" fillId="5" borderId="0" xfId="0" applyNumberFormat="1" applyFont="1" applyFill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9" fontId="20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9" fontId="21" fillId="0" borderId="4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left" vertical="center"/>
    </xf>
    <xf numFmtId="168" fontId="20" fillId="0" borderId="4" xfId="0" applyNumberFormat="1" applyFont="1" applyBorder="1" applyAlignment="1">
      <alignment horizontal="center" vertical="center"/>
    </xf>
    <xf numFmtId="3" fontId="20" fillId="0" borderId="4" xfId="0" applyNumberFormat="1" applyFont="1" applyBorder="1" applyAlignment="1">
      <alignment horizontal="center" vertical="center"/>
    </xf>
    <xf numFmtId="0" fontId="22" fillId="4" borderId="0" xfId="0" applyFont="1" applyFill="1" applyAlignment="1">
      <alignment horizontal="left" vertical="center"/>
    </xf>
    <xf numFmtId="0" fontId="22" fillId="4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horizontal="left" vertical="center" wrapText="1"/>
    </xf>
    <xf numFmtId="168" fontId="21" fillId="0" borderId="4" xfId="0" applyNumberFormat="1" applyFont="1" applyBorder="1" applyAlignment="1">
      <alignment horizontal="center" vertical="center"/>
    </xf>
    <xf numFmtId="0" fontId="23" fillId="6" borderId="1" xfId="0" applyFont="1" applyFill="1" applyBorder="1" applyAlignment="1">
      <alignment horizontal="left"/>
    </xf>
    <xf numFmtId="0" fontId="24" fillId="7" borderId="1" xfId="0" applyFont="1" applyFill="1" applyBorder="1" applyAlignment="1">
      <alignment horizontal="left"/>
    </xf>
    <xf numFmtId="0" fontId="25" fillId="9" borderId="1" xfId="0" applyFont="1" applyFill="1" applyBorder="1" applyAlignment="1">
      <alignment horizontal="left"/>
    </xf>
    <xf numFmtId="0" fontId="26" fillId="8" borderId="1" xfId="0" applyFont="1" applyFill="1" applyBorder="1" applyAlignment="1">
      <alignment horizontal="left"/>
    </xf>
    <xf numFmtId="0" fontId="27" fillId="10" borderId="1" xfId="0" applyFont="1" applyFill="1" applyBorder="1" applyAlignment="1">
      <alignment horizontal="left"/>
    </xf>
    <xf numFmtId="0" fontId="28" fillId="11" borderId="1" xfId="0" applyFont="1" applyFill="1" applyBorder="1" applyAlignment="1">
      <alignment horizontal="left"/>
    </xf>
    <xf numFmtId="0" fontId="29" fillId="0" borderId="5" xfId="0" applyFont="1" applyBorder="1"/>
    <xf numFmtId="0" fontId="17" fillId="4" borderId="0" xfId="0" applyFont="1" applyFill="1" applyAlignment="1">
      <alignment horizontal="left" vertical="center"/>
    </xf>
    <xf numFmtId="0" fontId="17" fillId="4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168" fontId="21" fillId="0" borderId="4" xfId="0" applyNumberFormat="1" applyFont="1" applyBorder="1" applyAlignment="1">
      <alignment horizontal="center" vertical="center"/>
    </xf>
    <xf numFmtId="9" fontId="21" fillId="0" borderId="4" xfId="0" applyNumberFormat="1" applyFont="1" applyBorder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6" fillId="4" borderId="0" xfId="0" applyFont="1" applyFill="1" applyAlignment="1">
      <alignment horizont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29" fillId="0" borderId="5" xfId="0" applyFont="1" applyBorder="1"/>
  </cellXfs>
  <cellStyles count="1">
    <cellStyle name="Normal" xfId="0" builtinId="0"/>
  </cellStyles>
  <dxfs count="19">
    <dxf>
      <font>
        <color rgb="FFD21D21"/>
      </font>
      <fill>
        <patternFill>
          <bgColor rgb="FFFBE7E8"/>
        </patternFill>
      </fill>
    </dxf>
    <dxf>
      <font>
        <b/>
        <sz val="9"/>
        <color rgb="FFFFFFFF"/>
      </font>
      <fill>
        <patternFill>
          <bgColor rgb="FF64748B"/>
        </patternFill>
      </fill>
    </dxf>
    <dxf>
      <font>
        <color theme="9" tint="0.79998168889431442"/>
      </font>
      <fill>
        <patternFill>
          <bgColor theme="9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4" tint="0.79998168889431442"/>
      </font>
      <fill>
        <patternFill>
          <bgColor theme="4"/>
        </patternFill>
      </fill>
    </dxf>
    <dxf>
      <font>
        <color theme="5" tint="0.79998168889431442"/>
      </font>
      <fill>
        <patternFill>
          <bgColor theme="5"/>
        </patternFill>
      </fill>
    </dxf>
    <dxf>
      <font>
        <color theme="6" tint="0.79998168889431442"/>
      </font>
      <fill>
        <patternFill>
          <bgColor theme="6"/>
        </patternFill>
      </fill>
    </dxf>
    <dxf>
      <font>
        <color theme="8"/>
      </font>
      <fill>
        <patternFill>
          <bgColor theme="8"/>
        </patternFill>
      </fill>
    </dxf>
    <dxf>
      <font>
        <color theme="9"/>
      </font>
      <fill>
        <patternFill>
          <bgColor theme="9"/>
        </patternFill>
      </fill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5"/>
      </font>
      <fill>
        <patternFill>
          <bgColor theme="5"/>
        </patternFill>
      </fill>
    </dxf>
    <dxf>
      <font>
        <color theme="6"/>
      </font>
      <fill>
        <patternFill>
          <bgColor theme="6"/>
        </patternFill>
      </fill>
    </dxf>
    <dxf>
      <font>
        <color theme="8" tint="0.79998168889431442"/>
      </font>
      <fill>
        <patternFill>
          <bgColor theme="8"/>
        </patternFill>
      </fill>
    </dxf>
    <dxf>
      <font>
        <color theme="9" tint="0.79998168889431442"/>
      </font>
      <fill>
        <patternFill>
          <bgColor theme="9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4" tint="0.79998168889431442"/>
      </font>
      <fill>
        <patternFill>
          <bgColor theme="4"/>
        </patternFill>
      </fill>
    </dxf>
    <dxf>
      <font>
        <color theme="5" tint="0.79998168889431442"/>
      </font>
      <fill>
        <patternFill>
          <bgColor theme="5"/>
        </patternFill>
      </fill>
    </dxf>
    <dxf>
      <font>
        <color theme="6" tint="0.79998168889431442"/>
      </font>
      <fill>
        <patternFill>
          <bgColor theme="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40"/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baseColWidth="10" defaultRowHeight="16" x14ac:dyDescent="0.2"/>
  <cols>
    <col min="1" max="1" width="2.83203125" customWidth="1"/>
    <col min="2" max="2" width="8.83203125" customWidth="1"/>
    <col min="3" max="3" width="22.1640625" style="1" customWidth="1"/>
    <col min="4" max="8" width="8.83203125" customWidth="1"/>
    <col min="9" max="78" width="2.1640625" customWidth="1"/>
  </cols>
  <sheetData>
    <row r="1" spans="1:81" ht="25.5" customHeight="1" x14ac:dyDescent="0.2">
      <c r="A1" s="39" t="str">
        <f>Settings!B2&amp;"  ·  PROJECT PLAN"</f>
        <v>IronCalc v1.0  ·  PROJECT PLAN</v>
      </c>
      <c r="B1" s="40"/>
      <c r="C1" s="39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</row>
    <row r="2" spans="1:81" s="2" customFormat="1" ht="10.25" customHeight="1" x14ac:dyDescent="0.2">
      <c r="A2" s="17"/>
      <c r="B2" s="17"/>
      <c r="C2" s="17"/>
      <c r="D2" s="18"/>
      <c r="E2" s="18"/>
      <c r="F2" s="18"/>
      <c r="G2" s="18"/>
      <c r="H2" s="18"/>
      <c r="I2" s="41" t="s">
        <v>26</v>
      </c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 t="s">
        <v>27</v>
      </c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 t="s">
        <v>28</v>
      </c>
      <c r="BR2" s="41"/>
      <c r="BS2" s="41"/>
      <c r="BT2" s="41"/>
      <c r="BU2" s="41"/>
      <c r="BV2" s="41"/>
      <c r="BW2" s="41"/>
      <c r="BX2" s="41"/>
      <c r="BY2" s="41"/>
      <c r="BZ2" s="41"/>
    </row>
    <row r="3" spans="1:81" ht="16" customHeight="1" x14ac:dyDescent="0.2">
      <c r="A3" s="28" t="s">
        <v>20</v>
      </c>
      <c r="B3" s="28" t="s">
        <v>21</v>
      </c>
      <c r="C3" s="27" t="s">
        <v>22</v>
      </c>
      <c r="D3" s="28" t="s">
        <v>23</v>
      </c>
      <c r="E3" s="28" t="s">
        <v>18</v>
      </c>
      <c r="F3" s="28" t="s">
        <v>24</v>
      </c>
      <c r="G3" s="28" t="s">
        <v>25</v>
      </c>
      <c r="H3" s="29" t="s">
        <v>19</v>
      </c>
      <c r="I3" s="19">
        <v>45810</v>
      </c>
      <c r="J3" s="19">
        <v>45811</v>
      </c>
      <c r="K3" s="19">
        <v>45812</v>
      </c>
      <c r="L3" s="19">
        <v>45813</v>
      </c>
      <c r="M3" s="19">
        <v>45814</v>
      </c>
      <c r="N3" s="19">
        <v>45815</v>
      </c>
      <c r="O3" s="19">
        <v>45816</v>
      </c>
      <c r="P3" s="19">
        <v>45817</v>
      </c>
      <c r="Q3" s="19">
        <v>45818</v>
      </c>
      <c r="R3" s="19">
        <v>45819</v>
      </c>
      <c r="S3" s="19">
        <v>45820</v>
      </c>
      <c r="T3" s="19">
        <v>45821</v>
      </c>
      <c r="U3" s="19">
        <v>45822</v>
      </c>
      <c r="V3" s="19">
        <v>45823</v>
      </c>
      <c r="W3" s="19">
        <v>45824</v>
      </c>
      <c r="X3" s="19">
        <v>45825</v>
      </c>
      <c r="Y3" s="19">
        <v>45826</v>
      </c>
      <c r="Z3" s="19">
        <v>45827</v>
      </c>
      <c r="AA3" s="19">
        <v>45828</v>
      </c>
      <c r="AB3" s="19">
        <v>45829</v>
      </c>
      <c r="AC3" s="19">
        <v>45830</v>
      </c>
      <c r="AD3" s="19">
        <v>45831</v>
      </c>
      <c r="AE3" s="19">
        <v>45832</v>
      </c>
      <c r="AF3" s="19">
        <v>45833</v>
      </c>
      <c r="AG3" s="19">
        <v>45834</v>
      </c>
      <c r="AH3" s="19">
        <v>45835</v>
      </c>
      <c r="AI3" s="19">
        <v>45836</v>
      </c>
      <c r="AJ3" s="19">
        <v>45837</v>
      </c>
      <c r="AK3" s="19">
        <v>45838</v>
      </c>
      <c r="AL3" s="19">
        <v>45839</v>
      </c>
      <c r="AM3" s="19">
        <v>45840</v>
      </c>
      <c r="AN3" s="19">
        <v>45841</v>
      </c>
      <c r="AO3" s="19">
        <v>45842</v>
      </c>
      <c r="AP3" s="19">
        <v>45843</v>
      </c>
      <c r="AQ3" s="19">
        <v>45844</v>
      </c>
      <c r="AR3" s="19">
        <v>45845</v>
      </c>
      <c r="AS3" s="19">
        <v>45846</v>
      </c>
      <c r="AT3" s="19">
        <v>45847</v>
      </c>
      <c r="AU3" s="19">
        <v>45848</v>
      </c>
      <c r="AV3" s="19">
        <v>45849</v>
      </c>
      <c r="AW3" s="19">
        <v>45850</v>
      </c>
      <c r="AX3" s="19">
        <v>45851</v>
      </c>
      <c r="AY3" s="19">
        <v>45852</v>
      </c>
      <c r="AZ3" s="19">
        <v>45853</v>
      </c>
      <c r="BA3" s="19">
        <v>45854</v>
      </c>
      <c r="BB3" s="19">
        <v>45855</v>
      </c>
      <c r="BC3" s="19">
        <v>45856</v>
      </c>
      <c r="BD3" s="19">
        <v>45857</v>
      </c>
      <c r="BE3" s="19">
        <v>45858</v>
      </c>
      <c r="BF3" s="19">
        <v>45859</v>
      </c>
      <c r="BG3" s="19">
        <v>45860</v>
      </c>
      <c r="BH3" s="19">
        <v>45861</v>
      </c>
      <c r="BI3" s="19">
        <v>45862</v>
      </c>
      <c r="BJ3" s="19">
        <v>45863</v>
      </c>
      <c r="BK3" s="19">
        <v>45864</v>
      </c>
      <c r="BL3" s="19">
        <v>45865</v>
      </c>
      <c r="BM3" s="19">
        <v>45866</v>
      </c>
      <c r="BN3" s="19">
        <v>45867</v>
      </c>
      <c r="BO3" s="19">
        <v>45868</v>
      </c>
      <c r="BP3" s="19">
        <v>45869</v>
      </c>
      <c r="BQ3" s="19">
        <v>45870</v>
      </c>
      <c r="BR3" s="19">
        <v>45871</v>
      </c>
      <c r="BS3" s="19">
        <v>45872</v>
      </c>
      <c r="BT3" s="19">
        <v>45873</v>
      </c>
      <c r="BU3" s="19">
        <v>45874</v>
      </c>
      <c r="BV3" s="19">
        <v>45875</v>
      </c>
      <c r="BW3" s="19">
        <v>45876</v>
      </c>
      <c r="BX3" s="19">
        <v>45877</v>
      </c>
      <c r="BY3" s="19">
        <v>45878</v>
      </c>
      <c r="BZ3" s="19">
        <v>45879</v>
      </c>
    </row>
    <row r="4" spans="1:81" ht="16" customHeight="1" x14ac:dyDescent="0.2">
      <c r="A4" s="11" cm="1">
        <f t="array" ref="A4">IF($CC4="","",INDEX(Tasks!A$4:A$43,$CC4))</f>
        <v>1</v>
      </c>
      <c r="B4" s="13" t="str" cm="1">
        <f t="array" ref="B4">IF($CC4="","",INDEX(Tasks!B$4:B$43,$CC4))</f>
        <v>Planning</v>
      </c>
      <c r="C4" s="12" t="str" cm="1">
        <f t="array" ref="C4">IF($CC4="","",INDEX(Tasks!C$4:C$43,$CC4))</f>
        <v>Define scope &amp; goals</v>
      </c>
      <c r="D4" s="20" t="str" cm="1">
        <f t="array" ref="D4">IF($CC4="","",INDEX(Tasks!D$4:D$43,$CC4))</f>
        <v>John</v>
      </c>
      <c r="E4" s="25" cm="1">
        <f t="array" ref="E4">IF($CC4="","",INDEX(Tasks!E$4:E$43,$CC4))</f>
        <v>45810</v>
      </c>
      <c r="F4" s="20" cm="1">
        <f t="array" ref="F4">IF($CC4="","",INDEX(Tasks!F$4:F$43,$CC4))</f>
        <v>4</v>
      </c>
      <c r="G4" s="25" cm="1">
        <f t="array" ref="G4">IF($CC4="","",INDEX(Tasks!G$4:G$43,$CC4))</f>
        <v>45813</v>
      </c>
      <c r="H4" s="21" cm="1">
        <f t="array" ref="H4">IF($CC4="","",INDEX(Tasks!H$4:H$43,$CC4))</f>
        <v>1</v>
      </c>
      <c r="I4" s="3">
        <f t="shared" ref="I4:R13" si="0">IF($CC4="","",IF(AND(I$3&gt;=$E4,I$3&lt;=$G4),1,""))</f>
        <v>1</v>
      </c>
      <c r="J4" s="3">
        <f t="shared" si="0"/>
        <v>1</v>
      </c>
      <c r="K4" s="3">
        <f t="shared" si="0"/>
        <v>1</v>
      </c>
      <c r="L4" s="3">
        <f t="shared" si="0"/>
        <v>1</v>
      </c>
      <c r="M4" s="3" t="str">
        <f t="shared" si="0"/>
        <v/>
      </c>
      <c r="N4" s="3" t="str">
        <f t="shared" si="0"/>
        <v/>
      </c>
      <c r="O4" s="3" t="str">
        <f t="shared" si="0"/>
        <v/>
      </c>
      <c r="P4" s="3" t="str">
        <f t="shared" si="0"/>
        <v/>
      </c>
      <c r="Q4" s="3" t="str">
        <f t="shared" si="0"/>
        <v/>
      </c>
      <c r="R4" s="3" t="str">
        <f t="shared" si="0"/>
        <v/>
      </c>
      <c r="S4" s="3" t="str">
        <f t="shared" ref="S4:AB13" si="1">IF($CC4="","",IF(AND(S$3&gt;=$E4,S$3&lt;=$G4),1,""))</f>
        <v/>
      </c>
      <c r="T4" s="3" t="str">
        <f t="shared" si="1"/>
        <v/>
      </c>
      <c r="U4" s="3" t="str">
        <f t="shared" si="1"/>
        <v/>
      </c>
      <c r="V4" s="3" t="str">
        <f t="shared" si="1"/>
        <v/>
      </c>
      <c r="W4" s="3" t="str">
        <f t="shared" si="1"/>
        <v/>
      </c>
      <c r="X4" s="3" t="str">
        <f t="shared" si="1"/>
        <v/>
      </c>
      <c r="Y4" s="3" t="str">
        <f t="shared" si="1"/>
        <v/>
      </c>
      <c r="Z4" s="3" t="str">
        <f t="shared" si="1"/>
        <v/>
      </c>
      <c r="AA4" s="3" t="str">
        <f t="shared" si="1"/>
        <v/>
      </c>
      <c r="AB4" s="3" t="str">
        <f t="shared" si="1"/>
        <v/>
      </c>
      <c r="AC4" s="3" t="str">
        <f t="shared" ref="AC4:AL13" si="2">IF($CC4="","",IF(AND(AC$3&gt;=$E4,AC$3&lt;=$G4),1,""))</f>
        <v/>
      </c>
      <c r="AD4" s="3" t="str">
        <f t="shared" si="2"/>
        <v/>
      </c>
      <c r="AE4" s="3" t="str">
        <f t="shared" si="2"/>
        <v/>
      </c>
      <c r="AF4" s="3" t="str">
        <f t="shared" si="2"/>
        <v/>
      </c>
      <c r="AG4" s="3" t="str">
        <f t="shared" si="2"/>
        <v/>
      </c>
      <c r="AH4" s="3" t="str">
        <f t="shared" si="2"/>
        <v/>
      </c>
      <c r="AI4" s="3" t="str">
        <f t="shared" si="2"/>
        <v/>
      </c>
      <c r="AJ4" s="3" t="str">
        <f t="shared" si="2"/>
        <v/>
      </c>
      <c r="AK4" s="3" t="str">
        <f t="shared" si="2"/>
        <v/>
      </c>
      <c r="AL4" s="3" t="str">
        <f t="shared" si="2"/>
        <v/>
      </c>
      <c r="AM4" s="3" t="str">
        <f t="shared" ref="AM4:AV13" si="3">IF($CC4="","",IF(AND(AM$3&gt;=$E4,AM$3&lt;=$G4),1,""))</f>
        <v/>
      </c>
      <c r="AN4" s="3" t="str">
        <f t="shared" si="3"/>
        <v/>
      </c>
      <c r="AO4" s="3" t="str">
        <f t="shared" si="3"/>
        <v/>
      </c>
      <c r="AP4" s="3" t="str">
        <f t="shared" si="3"/>
        <v/>
      </c>
      <c r="AQ4" s="3" t="str">
        <f t="shared" si="3"/>
        <v/>
      </c>
      <c r="AR4" s="3" t="str">
        <f t="shared" si="3"/>
        <v/>
      </c>
      <c r="AS4" s="3" t="str">
        <f t="shared" si="3"/>
        <v/>
      </c>
      <c r="AT4" s="3" t="str">
        <f t="shared" si="3"/>
        <v/>
      </c>
      <c r="AU4" s="3" t="str">
        <f t="shared" si="3"/>
        <v/>
      </c>
      <c r="AV4" s="3" t="str">
        <f t="shared" si="3"/>
        <v/>
      </c>
      <c r="AW4" s="3" t="str">
        <f t="shared" ref="AW4:BF13" si="4">IF($CC4="","",IF(AND(AW$3&gt;=$E4,AW$3&lt;=$G4),1,""))</f>
        <v/>
      </c>
      <c r="AX4" s="3" t="str">
        <f t="shared" si="4"/>
        <v/>
      </c>
      <c r="AY4" s="3" t="str">
        <f t="shared" si="4"/>
        <v/>
      </c>
      <c r="AZ4" s="3" t="str">
        <f t="shared" si="4"/>
        <v/>
      </c>
      <c r="BA4" s="3" t="str">
        <f t="shared" si="4"/>
        <v/>
      </c>
      <c r="BB4" s="3" t="str">
        <f t="shared" si="4"/>
        <v/>
      </c>
      <c r="BC4" s="3" t="str">
        <f t="shared" si="4"/>
        <v/>
      </c>
      <c r="BD4" s="3" t="str">
        <f t="shared" si="4"/>
        <v/>
      </c>
      <c r="BE4" s="3" t="str">
        <f t="shared" si="4"/>
        <v/>
      </c>
      <c r="BF4" s="3" t="str">
        <f t="shared" si="4"/>
        <v/>
      </c>
      <c r="BG4" s="3" t="str">
        <f t="shared" ref="BG4:BP13" si="5">IF($CC4="","",IF(AND(BG$3&gt;=$E4,BG$3&lt;=$G4),1,""))</f>
        <v/>
      </c>
      <c r="BH4" s="3" t="str">
        <f t="shared" si="5"/>
        <v/>
      </c>
      <c r="BI4" s="3" t="str">
        <f t="shared" si="5"/>
        <v/>
      </c>
      <c r="BJ4" s="3" t="str">
        <f t="shared" si="5"/>
        <v/>
      </c>
      <c r="BK4" s="3" t="str">
        <f t="shared" si="5"/>
        <v/>
      </c>
      <c r="BL4" s="3" t="str">
        <f t="shared" si="5"/>
        <v/>
      </c>
      <c r="BM4" s="3" t="str">
        <f t="shared" si="5"/>
        <v/>
      </c>
      <c r="BN4" s="3" t="str">
        <f t="shared" si="5"/>
        <v/>
      </c>
      <c r="BO4" s="3" t="str">
        <f t="shared" si="5"/>
        <v/>
      </c>
      <c r="BP4" s="3" t="str">
        <f t="shared" si="5"/>
        <v/>
      </c>
      <c r="BQ4" s="3" t="str">
        <f t="shared" ref="BQ4:BZ13" si="6">IF($CC4="","",IF(AND(BQ$3&gt;=$E4,BQ$3&lt;=$G4),1,""))</f>
        <v/>
      </c>
      <c r="BR4" s="3" t="str">
        <f t="shared" si="6"/>
        <v/>
      </c>
      <c r="BS4" s="3" t="str">
        <f t="shared" si="6"/>
        <v/>
      </c>
      <c r="BT4" s="3" t="str">
        <f t="shared" si="6"/>
        <v/>
      </c>
      <c r="BU4" s="3" t="str">
        <f t="shared" si="6"/>
        <v/>
      </c>
      <c r="BV4" s="3" t="str">
        <f t="shared" si="6"/>
        <v/>
      </c>
      <c r="BW4" s="3" t="str">
        <f t="shared" si="6"/>
        <v/>
      </c>
      <c r="BX4" s="3" t="str">
        <f t="shared" si="6"/>
        <v/>
      </c>
      <c r="BY4" s="3" t="str">
        <f t="shared" si="6"/>
        <v/>
      </c>
      <c r="BZ4" s="3" t="str">
        <f t="shared" si="6"/>
        <v/>
      </c>
      <c r="CB4" cm="1">
        <f t="array" ref="CB4">IF(Tasks!C4="","",SUMPRODUCT((Tasks!$E$4:$E$43&lt;Tasks!E4)*(Tasks!$C$4:$C$43&lt;&gt;""))+SUMPRODUCT((Tasks!$E$4:$E$43=Tasks!E4)*(Tasks!$A$4:$A$43&lt;Tasks!A4)*(Tasks!$C$4:$C$43&lt;&gt;""))+1)</f>
        <v>1</v>
      </c>
      <c r="CC4">
        <f t="shared" ref="CC4:CC33" si="7">IFERROR(MATCH(ROW()-3,$CB$4:$CB$33,0),"")</f>
        <v>1</v>
      </c>
    </row>
    <row r="5" spans="1:81" ht="16" customHeight="1" x14ac:dyDescent="0.2">
      <c r="A5" s="11" cm="1">
        <f t="array" ref="A5">IF($CC5="","",INDEX(Tasks!A$4:A$43,$CC5))</f>
        <v>2</v>
      </c>
      <c r="B5" s="13" t="str" cm="1">
        <f t="array" ref="B5">IF($CC5="","",INDEX(Tasks!B$4:B$43,$CC5))</f>
        <v>Planning</v>
      </c>
      <c r="C5" s="12" t="str" cm="1">
        <f t="array" ref="C5">IF($CC5="","",INDEX(Tasks!C$4:C$43,$CC5))</f>
        <v>Stakeholder interviews</v>
      </c>
      <c r="D5" s="20" t="str" cm="1">
        <f t="array" ref="D5">IF($CC5="","",INDEX(Tasks!D$4:D$43,$CC5))</f>
        <v>John</v>
      </c>
      <c r="E5" s="25" cm="1">
        <f t="array" ref="E5">IF($CC5="","",INDEX(Tasks!E$4:E$43,$CC5))</f>
        <v>45811</v>
      </c>
      <c r="F5" s="20" cm="1">
        <f t="array" ref="F5">IF($CC5="","",INDEX(Tasks!F$4:F$43,$CC5))</f>
        <v>3</v>
      </c>
      <c r="G5" s="25" cm="1">
        <f t="array" ref="G5">IF($CC5="","",INDEX(Tasks!G$4:G$43,$CC5))</f>
        <v>45813</v>
      </c>
      <c r="H5" s="21" cm="1">
        <f t="array" ref="H5">IF($CC5="","",INDEX(Tasks!H$4:H$43,$CC5))</f>
        <v>1</v>
      </c>
      <c r="I5" s="3" t="str">
        <f t="shared" si="0"/>
        <v/>
      </c>
      <c r="J5" s="3">
        <f t="shared" si="0"/>
        <v>1</v>
      </c>
      <c r="K5" s="3">
        <f t="shared" si="0"/>
        <v>1</v>
      </c>
      <c r="L5" s="3">
        <f t="shared" si="0"/>
        <v>1</v>
      </c>
      <c r="M5" s="3" t="str">
        <f t="shared" si="0"/>
        <v/>
      </c>
      <c r="N5" s="3" t="str">
        <f t="shared" si="0"/>
        <v/>
      </c>
      <c r="O5" s="3" t="str">
        <f t="shared" si="0"/>
        <v/>
      </c>
      <c r="P5" s="3" t="str">
        <f t="shared" si="0"/>
        <v/>
      </c>
      <c r="Q5" s="3" t="str">
        <f t="shared" si="0"/>
        <v/>
      </c>
      <c r="R5" s="3" t="str">
        <f t="shared" si="0"/>
        <v/>
      </c>
      <c r="S5" s="3" t="str">
        <f t="shared" si="1"/>
        <v/>
      </c>
      <c r="T5" s="3" t="str">
        <f t="shared" si="1"/>
        <v/>
      </c>
      <c r="U5" s="3" t="str">
        <f t="shared" si="1"/>
        <v/>
      </c>
      <c r="V5" s="3" t="str">
        <f t="shared" si="1"/>
        <v/>
      </c>
      <c r="W5" s="3" t="str">
        <f t="shared" si="1"/>
        <v/>
      </c>
      <c r="X5" s="3" t="str">
        <f t="shared" si="1"/>
        <v/>
      </c>
      <c r="Y5" s="3" t="str">
        <f t="shared" si="1"/>
        <v/>
      </c>
      <c r="Z5" s="3" t="str">
        <f t="shared" si="1"/>
        <v/>
      </c>
      <c r="AA5" s="3" t="str">
        <f t="shared" si="1"/>
        <v/>
      </c>
      <c r="AB5" s="3" t="str">
        <f t="shared" si="1"/>
        <v/>
      </c>
      <c r="AC5" s="3" t="str">
        <f t="shared" si="2"/>
        <v/>
      </c>
      <c r="AD5" s="3" t="str">
        <f t="shared" si="2"/>
        <v/>
      </c>
      <c r="AE5" s="3" t="str">
        <f t="shared" si="2"/>
        <v/>
      </c>
      <c r="AF5" s="3" t="str">
        <f t="shared" si="2"/>
        <v/>
      </c>
      <c r="AG5" s="3" t="str">
        <f t="shared" si="2"/>
        <v/>
      </c>
      <c r="AH5" s="3" t="str">
        <f t="shared" si="2"/>
        <v/>
      </c>
      <c r="AI5" s="3" t="str">
        <f t="shared" si="2"/>
        <v/>
      </c>
      <c r="AJ5" s="3" t="str">
        <f t="shared" si="2"/>
        <v/>
      </c>
      <c r="AK5" s="3" t="str">
        <f t="shared" si="2"/>
        <v/>
      </c>
      <c r="AL5" s="3" t="str">
        <f t="shared" si="2"/>
        <v/>
      </c>
      <c r="AM5" s="3" t="str">
        <f t="shared" si="3"/>
        <v/>
      </c>
      <c r="AN5" s="3" t="str">
        <f t="shared" si="3"/>
        <v/>
      </c>
      <c r="AO5" s="3" t="str">
        <f t="shared" si="3"/>
        <v/>
      </c>
      <c r="AP5" s="3" t="str">
        <f t="shared" si="3"/>
        <v/>
      </c>
      <c r="AQ5" s="3" t="str">
        <f t="shared" si="3"/>
        <v/>
      </c>
      <c r="AR5" s="3" t="str">
        <f t="shared" si="3"/>
        <v/>
      </c>
      <c r="AS5" s="3" t="str">
        <f t="shared" si="3"/>
        <v/>
      </c>
      <c r="AT5" s="3" t="str">
        <f t="shared" si="3"/>
        <v/>
      </c>
      <c r="AU5" s="3" t="str">
        <f t="shared" si="3"/>
        <v/>
      </c>
      <c r="AV5" s="3" t="str">
        <f t="shared" si="3"/>
        <v/>
      </c>
      <c r="AW5" s="3" t="str">
        <f t="shared" si="4"/>
        <v/>
      </c>
      <c r="AX5" s="3" t="str">
        <f t="shared" si="4"/>
        <v/>
      </c>
      <c r="AY5" s="3" t="str">
        <f t="shared" si="4"/>
        <v/>
      </c>
      <c r="AZ5" s="3" t="str">
        <f t="shared" si="4"/>
        <v/>
      </c>
      <c r="BA5" s="3" t="str">
        <f t="shared" si="4"/>
        <v/>
      </c>
      <c r="BB5" s="3" t="str">
        <f t="shared" si="4"/>
        <v/>
      </c>
      <c r="BC5" s="3" t="str">
        <f t="shared" si="4"/>
        <v/>
      </c>
      <c r="BD5" s="3" t="str">
        <f t="shared" si="4"/>
        <v/>
      </c>
      <c r="BE5" s="3" t="str">
        <f t="shared" si="4"/>
        <v/>
      </c>
      <c r="BF5" s="3" t="str">
        <f t="shared" si="4"/>
        <v/>
      </c>
      <c r="BG5" s="3" t="str">
        <f t="shared" si="5"/>
        <v/>
      </c>
      <c r="BH5" s="3" t="str">
        <f t="shared" si="5"/>
        <v/>
      </c>
      <c r="BI5" s="3" t="str">
        <f t="shared" si="5"/>
        <v/>
      </c>
      <c r="BJ5" s="3" t="str">
        <f t="shared" si="5"/>
        <v/>
      </c>
      <c r="BK5" s="3" t="str">
        <f t="shared" si="5"/>
        <v/>
      </c>
      <c r="BL5" s="3" t="str">
        <f t="shared" si="5"/>
        <v/>
      </c>
      <c r="BM5" s="3" t="str">
        <f t="shared" si="5"/>
        <v/>
      </c>
      <c r="BN5" s="3" t="str">
        <f t="shared" si="5"/>
        <v/>
      </c>
      <c r="BO5" s="3" t="str">
        <f t="shared" si="5"/>
        <v/>
      </c>
      <c r="BP5" s="3" t="str">
        <f t="shared" si="5"/>
        <v/>
      </c>
      <c r="BQ5" s="3" t="str">
        <f t="shared" si="6"/>
        <v/>
      </c>
      <c r="BR5" s="3" t="str">
        <f t="shared" si="6"/>
        <v/>
      </c>
      <c r="BS5" s="3" t="str">
        <f t="shared" si="6"/>
        <v/>
      </c>
      <c r="BT5" s="3" t="str">
        <f t="shared" si="6"/>
        <v/>
      </c>
      <c r="BU5" s="3" t="str">
        <f t="shared" si="6"/>
        <v/>
      </c>
      <c r="BV5" s="3" t="str">
        <f t="shared" si="6"/>
        <v/>
      </c>
      <c r="BW5" s="3" t="str">
        <f t="shared" si="6"/>
        <v/>
      </c>
      <c r="BX5" s="3" t="str">
        <f t="shared" si="6"/>
        <v/>
      </c>
      <c r="BY5" s="3" t="str">
        <f t="shared" si="6"/>
        <v/>
      </c>
      <c r="BZ5" s="3" t="str">
        <f t="shared" si="6"/>
        <v/>
      </c>
      <c r="CB5" cm="1">
        <f t="array" ref="CB5">IF(Tasks!C5="","",SUMPRODUCT((Tasks!$E$4:$E$43&lt;Tasks!E5)*(Tasks!$C$4:$C$43&lt;&gt;""))+SUMPRODUCT((Tasks!$E$4:$E$43=Tasks!E5)*(Tasks!$A$4:$A$43&lt;Tasks!A5)*(Tasks!$C$4:$C$43&lt;&gt;""))+1)</f>
        <v>2</v>
      </c>
      <c r="CC5">
        <f t="shared" si="7"/>
        <v>2</v>
      </c>
    </row>
    <row r="6" spans="1:81" ht="16" customHeight="1" x14ac:dyDescent="0.2">
      <c r="A6" s="11" cm="1">
        <f t="array" ref="A6">IF($CC6="","",INDEX(Tasks!A$4:A$43,$CC6))</f>
        <v>3</v>
      </c>
      <c r="B6" s="13" t="str" cm="1">
        <f t="array" ref="B6">IF($CC6="","",INDEX(Tasks!B$4:B$43,$CC6))</f>
        <v>Planning</v>
      </c>
      <c r="C6" s="12" t="str" cm="1">
        <f t="array" ref="C6">IF($CC6="","",INDEX(Tasks!C$4:C$43,$CC6))</f>
        <v>Requirements doc</v>
      </c>
      <c r="D6" s="20" t="str" cm="1">
        <f t="array" ref="D6">IF($CC6="","",INDEX(Tasks!D$4:D$43,$CC6))</f>
        <v>John</v>
      </c>
      <c r="E6" s="25" cm="1">
        <f t="array" ref="E6">IF($CC6="","",INDEX(Tasks!E$4:E$43,$CC6))</f>
        <v>45814</v>
      </c>
      <c r="F6" s="20" cm="1">
        <f t="array" ref="F6">IF($CC6="","",INDEX(Tasks!F$4:F$43,$CC6))</f>
        <v>5</v>
      </c>
      <c r="G6" s="25" cm="1">
        <f t="array" ref="G6">IF($CC6="","",INDEX(Tasks!G$4:G$43,$CC6))</f>
        <v>45818</v>
      </c>
      <c r="H6" s="21" cm="1">
        <f t="array" ref="H6">IF($CC6="","",INDEX(Tasks!H$4:H$43,$CC6))</f>
        <v>1</v>
      </c>
      <c r="I6" s="3" t="str">
        <f t="shared" si="0"/>
        <v/>
      </c>
      <c r="J6" s="3" t="str">
        <f t="shared" si="0"/>
        <v/>
      </c>
      <c r="K6" s="3" t="str">
        <f t="shared" si="0"/>
        <v/>
      </c>
      <c r="L6" s="3" t="str">
        <f t="shared" si="0"/>
        <v/>
      </c>
      <c r="M6" s="3">
        <f t="shared" si="0"/>
        <v>1</v>
      </c>
      <c r="N6" s="3">
        <f t="shared" si="0"/>
        <v>1</v>
      </c>
      <c r="O6" s="3">
        <f t="shared" si="0"/>
        <v>1</v>
      </c>
      <c r="P6" s="3">
        <f t="shared" si="0"/>
        <v>1</v>
      </c>
      <c r="Q6" s="3">
        <f t="shared" si="0"/>
        <v>1</v>
      </c>
      <c r="R6" s="3" t="str">
        <f t="shared" si="0"/>
        <v/>
      </c>
      <c r="S6" s="3" t="str">
        <f t="shared" si="1"/>
        <v/>
      </c>
      <c r="T6" s="3" t="str">
        <f t="shared" si="1"/>
        <v/>
      </c>
      <c r="U6" s="3" t="str">
        <f t="shared" si="1"/>
        <v/>
      </c>
      <c r="V6" s="3" t="str">
        <f t="shared" si="1"/>
        <v/>
      </c>
      <c r="W6" s="3" t="str">
        <f t="shared" si="1"/>
        <v/>
      </c>
      <c r="X6" s="3" t="str">
        <f t="shared" si="1"/>
        <v/>
      </c>
      <c r="Y6" s="3" t="str">
        <f t="shared" si="1"/>
        <v/>
      </c>
      <c r="Z6" s="3" t="str">
        <f t="shared" si="1"/>
        <v/>
      </c>
      <c r="AA6" s="3" t="str">
        <f t="shared" si="1"/>
        <v/>
      </c>
      <c r="AB6" s="3" t="str">
        <f t="shared" si="1"/>
        <v/>
      </c>
      <c r="AC6" s="3" t="str">
        <f t="shared" si="2"/>
        <v/>
      </c>
      <c r="AD6" s="3" t="str">
        <f t="shared" si="2"/>
        <v/>
      </c>
      <c r="AE6" s="3" t="str">
        <f t="shared" si="2"/>
        <v/>
      </c>
      <c r="AF6" s="3" t="str">
        <f t="shared" si="2"/>
        <v/>
      </c>
      <c r="AG6" s="3" t="str">
        <f t="shared" si="2"/>
        <v/>
      </c>
      <c r="AH6" s="3" t="str">
        <f t="shared" si="2"/>
        <v/>
      </c>
      <c r="AI6" s="3" t="str">
        <f t="shared" si="2"/>
        <v/>
      </c>
      <c r="AJ6" s="3" t="str">
        <f t="shared" si="2"/>
        <v/>
      </c>
      <c r="AK6" s="3" t="str">
        <f t="shared" si="2"/>
        <v/>
      </c>
      <c r="AL6" s="3" t="str">
        <f t="shared" si="2"/>
        <v/>
      </c>
      <c r="AM6" s="3" t="str">
        <f t="shared" si="3"/>
        <v/>
      </c>
      <c r="AN6" s="3" t="str">
        <f t="shared" si="3"/>
        <v/>
      </c>
      <c r="AO6" s="3" t="str">
        <f t="shared" si="3"/>
        <v/>
      </c>
      <c r="AP6" s="3" t="str">
        <f t="shared" si="3"/>
        <v/>
      </c>
      <c r="AQ6" s="3" t="str">
        <f t="shared" si="3"/>
        <v/>
      </c>
      <c r="AR6" s="3" t="str">
        <f t="shared" si="3"/>
        <v/>
      </c>
      <c r="AS6" s="3" t="str">
        <f t="shared" si="3"/>
        <v/>
      </c>
      <c r="AT6" s="3" t="str">
        <f t="shared" si="3"/>
        <v/>
      </c>
      <c r="AU6" s="3" t="str">
        <f t="shared" si="3"/>
        <v/>
      </c>
      <c r="AV6" s="3" t="str">
        <f t="shared" si="3"/>
        <v/>
      </c>
      <c r="AW6" s="3" t="str">
        <f t="shared" si="4"/>
        <v/>
      </c>
      <c r="AX6" s="3" t="str">
        <f t="shared" si="4"/>
        <v/>
      </c>
      <c r="AY6" s="3" t="str">
        <f t="shared" si="4"/>
        <v/>
      </c>
      <c r="AZ6" s="3" t="str">
        <f t="shared" si="4"/>
        <v/>
      </c>
      <c r="BA6" s="3" t="str">
        <f t="shared" si="4"/>
        <v/>
      </c>
      <c r="BB6" s="3" t="str">
        <f t="shared" si="4"/>
        <v/>
      </c>
      <c r="BC6" s="3" t="str">
        <f t="shared" si="4"/>
        <v/>
      </c>
      <c r="BD6" s="3" t="str">
        <f t="shared" si="4"/>
        <v/>
      </c>
      <c r="BE6" s="3" t="str">
        <f t="shared" si="4"/>
        <v/>
      </c>
      <c r="BF6" s="3" t="str">
        <f t="shared" si="4"/>
        <v/>
      </c>
      <c r="BG6" s="3" t="str">
        <f t="shared" si="5"/>
        <v/>
      </c>
      <c r="BH6" s="3" t="str">
        <f t="shared" si="5"/>
        <v/>
      </c>
      <c r="BI6" s="3" t="str">
        <f t="shared" si="5"/>
        <v/>
      </c>
      <c r="BJ6" s="3" t="str">
        <f t="shared" si="5"/>
        <v/>
      </c>
      <c r="BK6" s="3" t="str">
        <f t="shared" si="5"/>
        <v/>
      </c>
      <c r="BL6" s="3" t="str">
        <f t="shared" si="5"/>
        <v/>
      </c>
      <c r="BM6" s="3" t="str">
        <f t="shared" si="5"/>
        <v/>
      </c>
      <c r="BN6" s="3" t="str">
        <f t="shared" si="5"/>
        <v/>
      </c>
      <c r="BO6" s="3" t="str">
        <f t="shared" si="5"/>
        <v/>
      </c>
      <c r="BP6" s="3" t="str">
        <f t="shared" si="5"/>
        <v/>
      </c>
      <c r="BQ6" s="3" t="str">
        <f t="shared" si="6"/>
        <v/>
      </c>
      <c r="BR6" s="3" t="str">
        <f t="shared" si="6"/>
        <v/>
      </c>
      <c r="BS6" s="3" t="str">
        <f t="shared" si="6"/>
        <v/>
      </c>
      <c r="BT6" s="3" t="str">
        <f t="shared" si="6"/>
        <v/>
      </c>
      <c r="BU6" s="3" t="str">
        <f t="shared" si="6"/>
        <v/>
      </c>
      <c r="BV6" s="3" t="str">
        <f t="shared" si="6"/>
        <v/>
      </c>
      <c r="BW6" s="3" t="str">
        <f t="shared" si="6"/>
        <v/>
      </c>
      <c r="BX6" s="3" t="str">
        <f t="shared" si="6"/>
        <v/>
      </c>
      <c r="BY6" s="3" t="str">
        <f t="shared" si="6"/>
        <v/>
      </c>
      <c r="BZ6" s="3" t="str">
        <f t="shared" si="6"/>
        <v/>
      </c>
      <c r="CB6" cm="1">
        <f t="array" ref="CB6">IF(Tasks!C6="","",SUMPRODUCT((Tasks!$E$4:$E$43&lt;Tasks!E6)*(Tasks!$C$4:$C$43&lt;&gt;""))+SUMPRODUCT((Tasks!$E$4:$E$43=Tasks!E6)*(Tasks!$A$4:$A$43&lt;Tasks!A6)*(Tasks!$C$4:$C$43&lt;&gt;""))+1)</f>
        <v>3</v>
      </c>
      <c r="CC6">
        <f t="shared" si="7"/>
        <v>3</v>
      </c>
    </row>
    <row r="7" spans="1:81" ht="16" customHeight="1" x14ac:dyDescent="0.2">
      <c r="A7" s="11" cm="1">
        <f t="array" ref="A7">IF($CC7="","",INDEX(Tasks!A$4:A$43,$CC7))</f>
        <v>4</v>
      </c>
      <c r="B7" s="13" t="str" cm="1">
        <f t="array" ref="B7">IF($CC7="","",INDEX(Tasks!B$4:B$43,$CC7))</f>
        <v>Planning</v>
      </c>
      <c r="C7" s="12" t="str" cm="1">
        <f t="array" ref="C7">IF($CC7="","",INDEX(Tasks!C$4:C$43,$CC7))</f>
        <v>Tech stack decision</v>
      </c>
      <c r="D7" s="20" t="str" cm="1">
        <f t="array" ref="D7">IF($CC7="","",INDEX(Tasks!D$4:D$43,$CC7))</f>
        <v>Jane</v>
      </c>
      <c r="E7" s="25" cm="1">
        <f t="array" ref="E7">IF($CC7="","",INDEX(Tasks!E$4:E$43,$CC7))</f>
        <v>45817</v>
      </c>
      <c r="F7" s="20" cm="1">
        <f t="array" ref="F7">IF($CC7="","",INDEX(Tasks!F$4:F$43,$CC7))</f>
        <v>3</v>
      </c>
      <c r="G7" s="25" cm="1">
        <f t="array" ref="G7">IF($CC7="","",INDEX(Tasks!G$4:G$43,$CC7))</f>
        <v>45819</v>
      </c>
      <c r="H7" s="21" cm="1">
        <f t="array" ref="H7">IF($CC7="","",INDEX(Tasks!H$4:H$43,$CC7))</f>
        <v>0.8</v>
      </c>
      <c r="I7" s="3" t="str">
        <f t="shared" si="0"/>
        <v/>
      </c>
      <c r="J7" s="3" t="str">
        <f t="shared" si="0"/>
        <v/>
      </c>
      <c r="K7" s="3" t="str">
        <f t="shared" si="0"/>
        <v/>
      </c>
      <c r="L7" s="3" t="str">
        <f t="shared" si="0"/>
        <v/>
      </c>
      <c r="M7" s="3" t="str">
        <f t="shared" si="0"/>
        <v/>
      </c>
      <c r="N7" s="3" t="str">
        <f t="shared" si="0"/>
        <v/>
      </c>
      <c r="O7" s="3" t="str">
        <f t="shared" si="0"/>
        <v/>
      </c>
      <c r="P7" s="3">
        <f t="shared" si="0"/>
        <v>1</v>
      </c>
      <c r="Q7" s="3">
        <f t="shared" si="0"/>
        <v>1</v>
      </c>
      <c r="R7" s="3">
        <f t="shared" si="0"/>
        <v>1</v>
      </c>
      <c r="S7" s="3" t="str">
        <f t="shared" si="1"/>
        <v/>
      </c>
      <c r="T7" s="3" t="str">
        <f t="shared" si="1"/>
        <v/>
      </c>
      <c r="U7" s="3" t="str">
        <f t="shared" si="1"/>
        <v/>
      </c>
      <c r="V7" s="3" t="str">
        <f t="shared" si="1"/>
        <v/>
      </c>
      <c r="W7" s="3" t="str">
        <f t="shared" si="1"/>
        <v/>
      </c>
      <c r="X7" s="3" t="str">
        <f t="shared" si="1"/>
        <v/>
      </c>
      <c r="Y7" s="3" t="str">
        <f t="shared" si="1"/>
        <v/>
      </c>
      <c r="Z7" s="3" t="str">
        <f t="shared" si="1"/>
        <v/>
      </c>
      <c r="AA7" s="3" t="str">
        <f t="shared" si="1"/>
        <v/>
      </c>
      <c r="AB7" s="3" t="str">
        <f t="shared" si="1"/>
        <v/>
      </c>
      <c r="AC7" s="3" t="str">
        <f t="shared" si="2"/>
        <v/>
      </c>
      <c r="AD7" s="3" t="str">
        <f t="shared" si="2"/>
        <v/>
      </c>
      <c r="AE7" s="3" t="str">
        <f t="shared" si="2"/>
        <v/>
      </c>
      <c r="AF7" s="3" t="str">
        <f t="shared" si="2"/>
        <v/>
      </c>
      <c r="AG7" s="3" t="str">
        <f t="shared" si="2"/>
        <v/>
      </c>
      <c r="AH7" s="3" t="str">
        <f t="shared" si="2"/>
        <v/>
      </c>
      <c r="AI7" s="3" t="str">
        <f t="shared" si="2"/>
        <v/>
      </c>
      <c r="AJ7" s="3" t="str">
        <f t="shared" si="2"/>
        <v/>
      </c>
      <c r="AK7" s="3" t="str">
        <f t="shared" si="2"/>
        <v/>
      </c>
      <c r="AL7" s="3" t="str">
        <f t="shared" si="2"/>
        <v/>
      </c>
      <c r="AM7" s="3" t="str">
        <f t="shared" si="3"/>
        <v/>
      </c>
      <c r="AN7" s="3" t="str">
        <f t="shared" si="3"/>
        <v/>
      </c>
      <c r="AO7" s="3" t="str">
        <f t="shared" si="3"/>
        <v/>
      </c>
      <c r="AP7" s="3" t="str">
        <f t="shared" si="3"/>
        <v/>
      </c>
      <c r="AQ7" s="3" t="str">
        <f t="shared" si="3"/>
        <v/>
      </c>
      <c r="AR7" s="3" t="str">
        <f t="shared" si="3"/>
        <v/>
      </c>
      <c r="AS7" s="3" t="str">
        <f t="shared" si="3"/>
        <v/>
      </c>
      <c r="AT7" s="3" t="str">
        <f t="shared" si="3"/>
        <v/>
      </c>
      <c r="AU7" s="3" t="str">
        <f t="shared" si="3"/>
        <v/>
      </c>
      <c r="AV7" s="3" t="str">
        <f t="shared" si="3"/>
        <v/>
      </c>
      <c r="AW7" s="3" t="str">
        <f t="shared" si="4"/>
        <v/>
      </c>
      <c r="AX7" s="3" t="str">
        <f t="shared" si="4"/>
        <v/>
      </c>
      <c r="AY7" s="3" t="str">
        <f t="shared" si="4"/>
        <v/>
      </c>
      <c r="AZ7" s="3" t="str">
        <f t="shared" si="4"/>
        <v/>
      </c>
      <c r="BA7" s="3" t="str">
        <f t="shared" si="4"/>
        <v/>
      </c>
      <c r="BB7" s="3" t="str">
        <f t="shared" si="4"/>
        <v/>
      </c>
      <c r="BC7" s="3" t="str">
        <f t="shared" si="4"/>
        <v/>
      </c>
      <c r="BD7" s="3" t="str">
        <f t="shared" si="4"/>
        <v/>
      </c>
      <c r="BE7" s="3" t="str">
        <f t="shared" si="4"/>
        <v/>
      </c>
      <c r="BF7" s="3" t="str">
        <f t="shared" si="4"/>
        <v/>
      </c>
      <c r="BG7" s="3" t="str">
        <f t="shared" si="5"/>
        <v/>
      </c>
      <c r="BH7" s="3" t="str">
        <f t="shared" si="5"/>
        <v/>
      </c>
      <c r="BI7" s="3" t="str">
        <f t="shared" si="5"/>
        <v/>
      </c>
      <c r="BJ7" s="3" t="str">
        <f t="shared" si="5"/>
        <v/>
      </c>
      <c r="BK7" s="3" t="str">
        <f t="shared" si="5"/>
        <v/>
      </c>
      <c r="BL7" s="3" t="str">
        <f t="shared" si="5"/>
        <v/>
      </c>
      <c r="BM7" s="3" t="str">
        <f t="shared" si="5"/>
        <v/>
      </c>
      <c r="BN7" s="3" t="str">
        <f t="shared" si="5"/>
        <v/>
      </c>
      <c r="BO7" s="3" t="str">
        <f t="shared" si="5"/>
        <v/>
      </c>
      <c r="BP7" s="3" t="str">
        <f t="shared" si="5"/>
        <v/>
      </c>
      <c r="BQ7" s="3" t="str">
        <f t="shared" si="6"/>
        <v/>
      </c>
      <c r="BR7" s="3" t="str">
        <f t="shared" si="6"/>
        <v/>
      </c>
      <c r="BS7" s="3" t="str">
        <f t="shared" si="6"/>
        <v/>
      </c>
      <c r="BT7" s="3" t="str">
        <f t="shared" si="6"/>
        <v/>
      </c>
      <c r="BU7" s="3" t="str">
        <f t="shared" si="6"/>
        <v/>
      </c>
      <c r="BV7" s="3" t="str">
        <f t="shared" si="6"/>
        <v/>
      </c>
      <c r="BW7" s="3" t="str">
        <f t="shared" si="6"/>
        <v/>
      </c>
      <c r="BX7" s="3" t="str">
        <f t="shared" si="6"/>
        <v/>
      </c>
      <c r="BY7" s="3" t="str">
        <f t="shared" si="6"/>
        <v/>
      </c>
      <c r="BZ7" s="3" t="str">
        <f t="shared" si="6"/>
        <v/>
      </c>
      <c r="CB7" cm="1">
        <f t="array" ref="CB7">IF(Tasks!C7="","",SUMPRODUCT((Tasks!$E$4:$E$43&lt;Tasks!E7)*(Tasks!$C$4:$C$43&lt;&gt;""))+SUMPRODUCT((Tasks!$E$4:$E$43=Tasks!E7)*(Tasks!$A$4:$A$43&lt;Tasks!A7)*(Tasks!$C$4:$C$43&lt;&gt;""))+1)</f>
        <v>4</v>
      </c>
      <c r="CC7">
        <f t="shared" si="7"/>
        <v>4</v>
      </c>
    </row>
    <row r="8" spans="1:81" ht="16" customHeight="1" x14ac:dyDescent="0.2">
      <c r="A8" s="11" cm="1">
        <f t="array" ref="A8">IF($CC8="","",INDEX(Tasks!A$4:A$43,$CC8))</f>
        <v>5</v>
      </c>
      <c r="B8" s="13" t="str" cm="1">
        <f t="array" ref="B8">IF($CC8="","",INDEX(Tasks!B$4:B$43,$CC8))</f>
        <v>Design</v>
      </c>
      <c r="C8" s="12" t="str" cm="1">
        <f t="array" ref="C8">IF($CC8="","",INDEX(Tasks!C$4:C$43,$CC8))</f>
        <v>UX wireframes</v>
      </c>
      <c r="D8" s="20" t="str" cm="1">
        <f t="array" ref="D8">IF($CC8="","",INDEX(Tasks!D$4:D$43,$CC8))</f>
        <v>Jane</v>
      </c>
      <c r="E8" s="25" cm="1">
        <f t="array" ref="E8">IF($CC8="","",INDEX(Tasks!E$4:E$43,$CC8))</f>
        <v>45820</v>
      </c>
      <c r="F8" s="20" cm="1">
        <f t="array" ref="F8">IF($CC8="","",INDEX(Tasks!F$4:F$43,$CC8))</f>
        <v>6</v>
      </c>
      <c r="G8" s="25" cm="1">
        <f t="array" ref="G8">IF($CC8="","",INDEX(Tasks!G$4:G$43,$CC8))</f>
        <v>45825</v>
      </c>
      <c r="H8" s="21" cm="1">
        <f t="array" ref="H8">IF($CC8="","",INDEX(Tasks!H$4:H$43,$CC8))</f>
        <v>0.6</v>
      </c>
      <c r="I8" s="3" t="str">
        <f t="shared" si="0"/>
        <v/>
      </c>
      <c r="J8" s="3" t="str">
        <f t="shared" si="0"/>
        <v/>
      </c>
      <c r="K8" s="3" t="str">
        <f t="shared" si="0"/>
        <v/>
      </c>
      <c r="L8" s="3" t="str">
        <f t="shared" si="0"/>
        <v/>
      </c>
      <c r="M8" s="3" t="str">
        <f t="shared" si="0"/>
        <v/>
      </c>
      <c r="N8" s="3" t="str">
        <f t="shared" si="0"/>
        <v/>
      </c>
      <c r="O8" s="3" t="str">
        <f t="shared" si="0"/>
        <v/>
      </c>
      <c r="P8" s="3" t="str">
        <f t="shared" si="0"/>
        <v/>
      </c>
      <c r="Q8" s="3" t="str">
        <f t="shared" si="0"/>
        <v/>
      </c>
      <c r="R8" s="3" t="str">
        <f t="shared" si="0"/>
        <v/>
      </c>
      <c r="S8" s="3">
        <f t="shared" si="1"/>
        <v>1</v>
      </c>
      <c r="T8" s="3">
        <f t="shared" si="1"/>
        <v>1</v>
      </c>
      <c r="U8" s="3">
        <f t="shared" si="1"/>
        <v>1</v>
      </c>
      <c r="V8" s="3">
        <f t="shared" si="1"/>
        <v>1</v>
      </c>
      <c r="W8" s="3">
        <f t="shared" si="1"/>
        <v>1</v>
      </c>
      <c r="X8" s="3">
        <f t="shared" si="1"/>
        <v>1</v>
      </c>
      <c r="Y8" s="3" t="str">
        <f t="shared" si="1"/>
        <v/>
      </c>
      <c r="Z8" s="3" t="str">
        <f t="shared" si="1"/>
        <v/>
      </c>
      <c r="AA8" s="3" t="str">
        <f t="shared" si="1"/>
        <v/>
      </c>
      <c r="AB8" s="3" t="str">
        <f t="shared" si="1"/>
        <v/>
      </c>
      <c r="AC8" s="3" t="str">
        <f t="shared" si="2"/>
        <v/>
      </c>
      <c r="AD8" s="3" t="str">
        <f t="shared" si="2"/>
        <v/>
      </c>
      <c r="AE8" s="3" t="str">
        <f t="shared" si="2"/>
        <v/>
      </c>
      <c r="AF8" s="3" t="str">
        <f t="shared" si="2"/>
        <v/>
      </c>
      <c r="AG8" s="3" t="str">
        <f t="shared" si="2"/>
        <v/>
      </c>
      <c r="AH8" s="3" t="str">
        <f t="shared" si="2"/>
        <v/>
      </c>
      <c r="AI8" s="3" t="str">
        <f t="shared" si="2"/>
        <v/>
      </c>
      <c r="AJ8" s="3" t="str">
        <f t="shared" si="2"/>
        <v/>
      </c>
      <c r="AK8" s="3" t="str">
        <f t="shared" si="2"/>
        <v/>
      </c>
      <c r="AL8" s="3" t="str">
        <f t="shared" si="2"/>
        <v/>
      </c>
      <c r="AM8" s="3" t="str">
        <f t="shared" si="3"/>
        <v/>
      </c>
      <c r="AN8" s="3" t="str">
        <f t="shared" si="3"/>
        <v/>
      </c>
      <c r="AO8" s="3" t="str">
        <f t="shared" si="3"/>
        <v/>
      </c>
      <c r="AP8" s="3" t="str">
        <f t="shared" si="3"/>
        <v/>
      </c>
      <c r="AQ8" s="3" t="str">
        <f t="shared" si="3"/>
        <v/>
      </c>
      <c r="AR8" s="3" t="str">
        <f t="shared" si="3"/>
        <v/>
      </c>
      <c r="AS8" s="3" t="str">
        <f t="shared" si="3"/>
        <v/>
      </c>
      <c r="AT8" s="3" t="str">
        <f t="shared" si="3"/>
        <v/>
      </c>
      <c r="AU8" s="3" t="str">
        <f t="shared" si="3"/>
        <v/>
      </c>
      <c r="AV8" s="3" t="str">
        <f t="shared" si="3"/>
        <v/>
      </c>
      <c r="AW8" s="3" t="str">
        <f t="shared" si="4"/>
        <v/>
      </c>
      <c r="AX8" s="3" t="str">
        <f t="shared" si="4"/>
        <v/>
      </c>
      <c r="AY8" s="3" t="str">
        <f t="shared" si="4"/>
        <v/>
      </c>
      <c r="AZ8" s="3" t="str">
        <f t="shared" si="4"/>
        <v/>
      </c>
      <c r="BA8" s="3" t="str">
        <f t="shared" si="4"/>
        <v/>
      </c>
      <c r="BB8" s="3" t="str">
        <f t="shared" si="4"/>
        <v/>
      </c>
      <c r="BC8" s="3" t="str">
        <f t="shared" si="4"/>
        <v/>
      </c>
      <c r="BD8" s="3" t="str">
        <f t="shared" si="4"/>
        <v/>
      </c>
      <c r="BE8" s="3" t="str">
        <f t="shared" si="4"/>
        <v/>
      </c>
      <c r="BF8" s="3" t="str">
        <f t="shared" si="4"/>
        <v/>
      </c>
      <c r="BG8" s="3" t="str">
        <f t="shared" si="5"/>
        <v/>
      </c>
      <c r="BH8" s="3" t="str">
        <f t="shared" si="5"/>
        <v/>
      </c>
      <c r="BI8" s="3" t="str">
        <f t="shared" si="5"/>
        <v/>
      </c>
      <c r="BJ8" s="3" t="str">
        <f t="shared" si="5"/>
        <v/>
      </c>
      <c r="BK8" s="3" t="str">
        <f t="shared" si="5"/>
        <v/>
      </c>
      <c r="BL8" s="3" t="str">
        <f t="shared" si="5"/>
        <v/>
      </c>
      <c r="BM8" s="3" t="str">
        <f t="shared" si="5"/>
        <v/>
      </c>
      <c r="BN8" s="3" t="str">
        <f t="shared" si="5"/>
        <v/>
      </c>
      <c r="BO8" s="3" t="str">
        <f t="shared" si="5"/>
        <v/>
      </c>
      <c r="BP8" s="3" t="str">
        <f t="shared" si="5"/>
        <v/>
      </c>
      <c r="BQ8" s="3" t="str">
        <f t="shared" si="6"/>
        <v/>
      </c>
      <c r="BR8" s="3" t="str">
        <f t="shared" si="6"/>
        <v/>
      </c>
      <c r="BS8" s="3" t="str">
        <f t="shared" si="6"/>
        <v/>
      </c>
      <c r="BT8" s="3" t="str">
        <f t="shared" si="6"/>
        <v/>
      </c>
      <c r="BU8" s="3" t="str">
        <f t="shared" si="6"/>
        <v/>
      </c>
      <c r="BV8" s="3" t="str">
        <f t="shared" si="6"/>
        <v/>
      </c>
      <c r="BW8" s="3" t="str">
        <f t="shared" si="6"/>
        <v/>
      </c>
      <c r="BX8" s="3" t="str">
        <f t="shared" si="6"/>
        <v/>
      </c>
      <c r="BY8" s="3" t="str">
        <f t="shared" si="6"/>
        <v/>
      </c>
      <c r="BZ8" s="3" t="str">
        <f t="shared" si="6"/>
        <v/>
      </c>
      <c r="CB8" cm="1">
        <f t="array" ref="CB8">IF(Tasks!C8="","",SUMPRODUCT((Tasks!$E$4:$E$43&lt;Tasks!E8)*(Tasks!$C$4:$C$43&lt;&gt;""))+SUMPRODUCT((Tasks!$E$4:$E$43=Tasks!E8)*(Tasks!$A$4:$A$43&lt;Tasks!A8)*(Tasks!$C$4:$C$43&lt;&gt;""))+1)</f>
        <v>5</v>
      </c>
      <c r="CC8">
        <f t="shared" si="7"/>
        <v>5</v>
      </c>
    </row>
    <row r="9" spans="1:81" ht="16" customHeight="1" x14ac:dyDescent="0.2">
      <c r="A9" s="11" cm="1">
        <f t="array" ref="A9">IF($CC9="","",INDEX(Tasks!A$4:A$43,$CC9))</f>
        <v>6</v>
      </c>
      <c r="B9" s="13" t="str" cm="1">
        <f t="array" ref="B9">IF($CC9="","",INDEX(Tasks!B$4:B$43,$CC9))</f>
        <v>Design</v>
      </c>
      <c r="C9" s="12" t="str" cm="1">
        <f t="array" ref="C9">IF($CC9="","",INDEX(Tasks!C$4:C$43,$CC9))</f>
        <v>Design system / tokens</v>
      </c>
      <c r="D9" s="20" t="str" cm="1">
        <f t="array" ref="D9">IF($CC9="","",INDEX(Tasks!D$4:D$43,$CC9))</f>
        <v>Jane</v>
      </c>
      <c r="E9" s="25" cm="1">
        <f t="array" ref="E9">IF($CC9="","",INDEX(Tasks!E$4:E$43,$CC9))</f>
        <v>45824</v>
      </c>
      <c r="F9" s="20" cm="1">
        <f t="array" ref="F9">IF($CC9="","",INDEX(Tasks!F$4:F$43,$CC9))</f>
        <v>5</v>
      </c>
      <c r="G9" s="25" cm="1">
        <f t="array" ref="G9">IF($CC9="","",INDEX(Tasks!G$4:G$43,$CC9))</f>
        <v>45828</v>
      </c>
      <c r="H9" s="21" cm="1">
        <f t="array" ref="H9">IF($CC9="","",INDEX(Tasks!H$4:H$43,$CC9))</f>
        <v>0.2</v>
      </c>
      <c r="I9" s="3" t="str">
        <f t="shared" si="0"/>
        <v/>
      </c>
      <c r="J9" s="3" t="str">
        <f t="shared" si="0"/>
        <v/>
      </c>
      <c r="K9" s="3" t="str">
        <f t="shared" si="0"/>
        <v/>
      </c>
      <c r="L9" s="3" t="str">
        <f t="shared" si="0"/>
        <v/>
      </c>
      <c r="M9" s="3" t="str">
        <f t="shared" si="0"/>
        <v/>
      </c>
      <c r="N9" s="3" t="str">
        <f t="shared" si="0"/>
        <v/>
      </c>
      <c r="O9" s="3" t="str">
        <f t="shared" si="0"/>
        <v/>
      </c>
      <c r="P9" s="3" t="str">
        <f t="shared" si="0"/>
        <v/>
      </c>
      <c r="Q9" s="3" t="str">
        <f t="shared" si="0"/>
        <v/>
      </c>
      <c r="R9" s="3" t="str">
        <f t="shared" si="0"/>
        <v/>
      </c>
      <c r="S9" s="3" t="str">
        <f t="shared" si="1"/>
        <v/>
      </c>
      <c r="T9" s="3" t="str">
        <f t="shared" si="1"/>
        <v/>
      </c>
      <c r="U9" s="3" t="str">
        <f t="shared" si="1"/>
        <v/>
      </c>
      <c r="V9" s="3" t="str">
        <f t="shared" si="1"/>
        <v/>
      </c>
      <c r="W9" s="3">
        <f t="shared" si="1"/>
        <v>1</v>
      </c>
      <c r="X9" s="3">
        <f t="shared" si="1"/>
        <v>1</v>
      </c>
      <c r="Y9" s="3">
        <f t="shared" si="1"/>
        <v>1</v>
      </c>
      <c r="Z9" s="3">
        <f t="shared" si="1"/>
        <v>1</v>
      </c>
      <c r="AA9" s="3">
        <f t="shared" si="1"/>
        <v>1</v>
      </c>
      <c r="AB9" s="3" t="str">
        <f t="shared" si="1"/>
        <v/>
      </c>
      <c r="AC9" s="3" t="str">
        <f t="shared" si="2"/>
        <v/>
      </c>
      <c r="AD9" s="3" t="str">
        <f t="shared" si="2"/>
        <v/>
      </c>
      <c r="AE9" s="3" t="str">
        <f t="shared" si="2"/>
        <v/>
      </c>
      <c r="AF9" s="3" t="str">
        <f t="shared" si="2"/>
        <v/>
      </c>
      <c r="AG9" s="3" t="str">
        <f t="shared" si="2"/>
        <v/>
      </c>
      <c r="AH9" s="3" t="str">
        <f t="shared" si="2"/>
        <v/>
      </c>
      <c r="AI9" s="3" t="str">
        <f t="shared" si="2"/>
        <v/>
      </c>
      <c r="AJ9" s="3" t="str">
        <f t="shared" si="2"/>
        <v/>
      </c>
      <c r="AK9" s="3" t="str">
        <f t="shared" si="2"/>
        <v/>
      </c>
      <c r="AL9" s="3" t="str">
        <f t="shared" si="2"/>
        <v/>
      </c>
      <c r="AM9" s="3" t="str">
        <f t="shared" si="3"/>
        <v/>
      </c>
      <c r="AN9" s="3" t="str">
        <f t="shared" si="3"/>
        <v/>
      </c>
      <c r="AO9" s="3" t="str">
        <f t="shared" si="3"/>
        <v/>
      </c>
      <c r="AP9" s="3" t="str">
        <f t="shared" si="3"/>
        <v/>
      </c>
      <c r="AQ9" s="3" t="str">
        <f t="shared" si="3"/>
        <v/>
      </c>
      <c r="AR9" s="3" t="str">
        <f t="shared" si="3"/>
        <v/>
      </c>
      <c r="AS9" s="3" t="str">
        <f t="shared" si="3"/>
        <v/>
      </c>
      <c r="AT9" s="3" t="str">
        <f t="shared" si="3"/>
        <v/>
      </c>
      <c r="AU9" s="3" t="str">
        <f t="shared" si="3"/>
        <v/>
      </c>
      <c r="AV9" s="3" t="str">
        <f t="shared" si="3"/>
        <v/>
      </c>
      <c r="AW9" s="3" t="str">
        <f t="shared" si="4"/>
        <v/>
      </c>
      <c r="AX9" s="3" t="str">
        <f t="shared" si="4"/>
        <v/>
      </c>
      <c r="AY9" s="3" t="str">
        <f t="shared" si="4"/>
        <v/>
      </c>
      <c r="AZ9" s="3" t="str">
        <f t="shared" si="4"/>
        <v/>
      </c>
      <c r="BA9" s="3" t="str">
        <f t="shared" si="4"/>
        <v/>
      </c>
      <c r="BB9" s="3" t="str">
        <f t="shared" si="4"/>
        <v/>
      </c>
      <c r="BC9" s="3" t="str">
        <f t="shared" si="4"/>
        <v/>
      </c>
      <c r="BD9" s="3" t="str">
        <f t="shared" si="4"/>
        <v/>
      </c>
      <c r="BE9" s="3" t="str">
        <f t="shared" si="4"/>
        <v/>
      </c>
      <c r="BF9" s="3" t="str">
        <f t="shared" si="4"/>
        <v/>
      </c>
      <c r="BG9" s="3" t="str">
        <f t="shared" si="5"/>
        <v/>
      </c>
      <c r="BH9" s="3" t="str">
        <f t="shared" si="5"/>
        <v/>
      </c>
      <c r="BI9" s="3" t="str">
        <f t="shared" si="5"/>
        <v/>
      </c>
      <c r="BJ9" s="3" t="str">
        <f t="shared" si="5"/>
        <v/>
      </c>
      <c r="BK9" s="3" t="str">
        <f t="shared" si="5"/>
        <v/>
      </c>
      <c r="BL9" s="3" t="str">
        <f t="shared" si="5"/>
        <v/>
      </c>
      <c r="BM9" s="3" t="str">
        <f t="shared" si="5"/>
        <v/>
      </c>
      <c r="BN9" s="3" t="str">
        <f t="shared" si="5"/>
        <v/>
      </c>
      <c r="BO9" s="3" t="str">
        <f t="shared" si="5"/>
        <v/>
      </c>
      <c r="BP9" s="3" t="str">
        <f t="shared" si="5"/>
        <v/>
      </c>
      <c r="BQ9" s="3" t="str">
        <f t="shared" si="6"/>
        <v/>
      </c>
      <c r="BR9" s="3" t="str">
        <f t="shared" si="6"/>
        <v/>
      </c>
      <c r="BS9" s="3" t="str">
        <f t="shared" si="6"/>
        <v/>
      </c>
      <c r="BT9" s="3" t="str">
        <f t="shared" si="6"/>
        <v/>
      </c>
      <c r="BU9" s="3" t="str">
        <f t="shared" si="6"/>
        <v/>
      </c>
      <c r="BV9" s="3" t="str">
        <f t="shared" si="6"/>
        <v/>
      </c>
      <c r="BW9" s="3" t="str">
        <f t="shared" si="6"/>
        <v/>
      </c>
      <c r="BX9" s="3" t="str">
        <f t="shared" si="6"/>
        <v/>
      </c>
      <c r="BY9" s="3" t="str">
        <f t="shared" si="6"/>
        <v/>
      </c>
      <c r="BZ9" s="3" t="str">
        <f t="shared" si="6"/>
        <v/>
      </c>
      <c r="CB9" cm="1">
        <f t="array" ref="CB9">IF(Tasks!C9="","",SUMPRODUCT((Tasks!$E$4:$E$43&lt;Tasks!E9)*(Tasks!$C$4:$C$43&lt;&gt;""))+SUMPRODUCT((Tasks!$E$4:$E$43=Tasks!E9)*(Tasks!$A$4:$A$43&lt;Tasks!A9)*(Tasks!$C$4:$C$43&lt;&gt;""))+1)</f>
        <v>6</v>
      </c>
      <c r="CC9">
        <f t="shared" si="7"/>
        <v>6</v>
      </c>
    </row>
    <row r="10" spans="1:81" ht="16" customHeight="1" x14ac:dyDescent="0.2">
      <c r="A10" s="11" cm="1">
        <f t="array" ref="A10">IF($CC10="","",INDEX(Tasks!A$4:A$43,$CC10))</f>
        <v>7</v>
      </c>
      <c r="B10" s="13" t="str" cm="1">
        <f t="array" ref="B10">IF($CC10="","",INDEX(Tasks!B$4:B$43,$CC10))</f>
        <v>Design</v>
      </c>
      <c r="C10" s="12" t="str" cm="1">
        <f t="array" ref="C10">IF($CC10="","",INDEX(Tasks!C$4:C$43,$CC10))</f>
        <v>Prototype review</v>
      </c>
      <c r="D10" s="20" t="str" cm="1">
        <f t="array" ref="D10">IF($CC10="","",INDEX(Tasks!D$4:D$43,$CC10))</f>
        <v>John</v>
      </c>
      <c r="E10" s="25" cm="1">
        <f t="array" ref="E10">IF($CC10="","",INDEX(Tasks!E$4:E$43,$CC10))</f>
        <v>45826</v>
      </c>
      <c r="F10" s="20" cm="1">
        <f t="array" ref="F10">IF($CC10="","",INDEX(Tasks!F$4:F$43,$CC10))</f>
        <v>3</v>
      </c>
      <c r="G10" s="25" cm="1">
        <f t="array" ref="G10">IF($CC10="","",INDEX(Tasks!G$4:G$43,$CC10))</f>
        <v>45828</v>
      </c>
      <c r="H10" s="21" cm="1">
        <f t="array" ref="H10">IF($CC10="","",INDEX(Tasks!H$4:H$43,$CC10))</f>
        <v>0</v>
      </c>
      <c r="I10" s="3" t="str">
        <f t="shared" si="0"/>
        <v/>
      </c>
      <c r="J10" s="3" t="str">
        <f t="shared" si="0"/>
        <v/>
      </c>
      <c r="K10" s="3" t="str">
        <f t="shared" si="0"/>
        <v/>
      </c>
      <c r="L10" s="3" t="str">
        <f t="shared" si="0"/>
        <v/>
      </c>
      <c r="M10" s="3" t="str">
        <f t="shared" si="0"/>
        <v/>
      </c>
      <c r="N10" s="3" t="str">
        <f t="shared" si="0"/>
        <v/>
      </c>
      <c r="O10" s="3" t="str">
        <f t="shared" si="0"/>
        <v/>
      </c>
      <c r="P10" s="3" t="str">
        <f t="shared" si="0"/>
        <v/>
      </c>
      <c r="Q10" s="3" t="str">
        <f t="shared" si="0"/>
        <v/>
      </c>
      <c r="R10" s="3" t="str">
        <f t="shared" si="0"/>
        <v/>
      </c>
      <c r="S10" s="3" t="str">
        <f t="shared" si="1"/>
        <v/>
      </c>
      <c r="T10" s="3" t="str">
        <f t="shared" si="1"/>
        <v/>
      </c>
      <c r="U10" s="3" t="str">
        <f t="shared" si="1"/>
        <v/>
      </c>
      <c r="V10" s="3" t="str">
        <f t="shared" si="1"/>
        <v/>
      </c>
      <c r="W10" s="3" t="str">
        <f t="shared" si="1"/>
        <v/>
      </c>
      <c r="X10" s="3" t="str">
        <f t="shared" si="1"/>
        <v/>
      </c>
      <c r="Y10" s="3">
        <f t="shared" si="1"/>
        <v>1</v>
      </c>
      <c r="Z10" s="3">
        <f t="shared" si="1"/>
        <v>1</v>
      </c>
      <c r="AA10" s="3">
        <f t="shared" si="1"/>
        <v>1</v>
      </c>
      <c r="AB10" s="3" t="str">
        <f t="shared" si="1"/>
        <v/>
      </c>
      <c r="AC10" s="3" t="str">
        <f t="shared" si="2"/>
        <v/>
      </c>
      <c r="AD10" s="3" t="str">
        <f t="shared" si="2"/>
        <v/>
      </c>
      <c r="AE10" s="3" t="str">
        <f t="shared" si="2"/>
        <v/>
      </c>
      <c r="AF10" s="3" t="str">
        <f t="shared" si="2"/>
        <v/>
      </c>
      <c r="AG10" s="3" t="str">
        <f t="shared" si="2"/>
        <v/>
      </c>
      <c r="AH10" s="3" t="str">
        <f t="shared" si="2"/>
        <v/>
      </c>
      <c r="AI10" s="3" t="str">
        <f t="shared" si="2"/>
        <v/>
      </c>
      <c r="AJ10" s="3" t="str">
        <f t="shared" si="2"/>
        <v/>
      </c>
      <c r="AK10" s="3" t="str">
        <f t="shared" si="2"/>
        <v/>
      </c>
      <c r="AL10" s="3" t="str">
        <f t="shared" si="2"/>
        <v/>
      </c>
      <c r="AM10" s="3" t="str">
        <f t="shared" si="3"/>
        <v/>
      </c>
      <c r="AN10" s="3" t="str">
        <f t="shared" si="3"/>
        <v/>
      </c>
      <c r="AO10" s="3" t="str">
        <f t="shared" si="3"/>
        <v/>
      </c>
      <c r="AP10" s="3" t="str">
        <f t="shared" si="3"/>
        <v/>
      </c>
      <c r="AQ10" s="3" t="str">
        <f t="shared" si="3"/>
        <v/>
      </c>
      <c r="AR10" s="3" t="str">
        <f t="shared" si="3"/>
        <v/>
      </c>
      <c r="AS10" s="3" t="str">
        <f t="shared" si="3"/>
        <v/>
      </c>
      <c r="AT10" s="3" t="str">
        <f t="shared" si="3"/>
        <v/>
      </c>
      <c r="AU10" s="3" t="str">
        <f t="shared" si="3"/>
        <v/>
      </c>
      <c r="AV10" s="3" t="str">
        <f t="shared" si="3"/>
        <v/>
      </c>
      <c r="AW10" s="3" t="str">
        <f t="shared" si="4"/>
        <v/>
      </c>
      <c r="AX10" s="3" t="str">
        <f t="shared" si="4"/>
        <v/>
      </c>
      <c r="AY10" s="3" t="str">
        <f t="shared" si="4"/>
        <v/>
      </c>
      <c r="AZ10" s="3" t="str">
        <f t="shared" si="4"/>
        <v/>
      </c>
      <c r="BA10" s="3" t="str">
        <f t="shared" si="4"/>
        <v/>
      </c>
      <c r="BB10" s="3" t="str">
        <f t="shared" si="4"/>
        <v/>
      </c>
      <c r="BC10" s="3" t="str">
        <f t="shared" si="4"/>
        <v/>
      </c>
      <c r="BD10" s="3" t="str">
        <f t="shared" si="4"/>
        <v/>
      </c>
      <c r="BE10" s="3" t="str">
        <f t="shared" si="4"/>
        <v/>
      </c>
      <c r="BF10" s="3" t="str">
        <f t="shared" si="4"/>
        <v/>
      </c>
      <c r="BG10" s="3" t="str">
        <f t="shared" si="5"/>
        <v/>
      </c>
      <c r="BH10" s="3" t="str">
        <f t="shared" si="5"/>
        <v/>
      </c>
      <c r="BI10" s="3" t="str">
        <f t="shared" si="5"/>
        <v/>
      </c>
      <c r="BJ10" s="3" t="str">
        <f t="shared" si="5"/>
        <v/>
      </c>
      <c r="BK10" s="3" t="str">
        <f t="shared" si="5"/>
        <v/>
      </c>
      <c r="BL10" s="3" t="str">
        <f t="shared" si="5"/>
        <v/>
      </c>
      <c r="BM10" s="3" t="str">
        <f t="shared" si="5"/>
        <v/>
      </c>
      <c r="BN10" s="3" t="str">
        <f t="shared" si="5"/>
        <v/>
      </c>
      <c r="BO10" s="3" t="str">
        <f t="shared" si="5"/>
        <v/>
      </c>
      <c r="BP10" s="3" t="str">
        <f t="shared" si="5"/>
        <v/>
      </c>
      <c r="BQ10" s="3" t="str">
        <f t="shared" si="6"/>
        <v/>
      </c>
      <c r="BR10" s="3" t="str">
        <f t="shared" si="6"/>
        <v/>
      </c>
      <c r="BS10" s="3" t="str">
        <f t="shared" si="6"/>
        <v/>
      </c>
      <c r="BT10" s="3" t="str">
        <f t="shared" si="6"/>
        <v/>
      </c>
      <c r="BU10" s="3" t="str">
        <f t="shared" si="6"/>
        <v/>
      </c>
      <c r="BV10" s="3" t="str">
        <f t="shared" si="6"/>
        <v/>
      </c>
      <c r="BW10" s="3" t="str">
        <f t="shared" si="6"/>
        <v/>
      </c>
      <c r="BX10" s="3" t="str">
        <f t="shared" si="6"/>
        <v/>
      </c>
      <c r="BY10" s="3" t="str">
        <f t="shared" si="6"/>
        <v/>
      </c>
      <c r="BZ10" s="3" t="str">
        <f t="shared" si="6"/>
        <v/>
      </c>
      <c r="CB10" cm="1">
        <f t="array" ref="CB10">IF(Tasks!C10="","",SUMPRODUCT((Tasks!$E$4:$E$43&lt;Tasks!E10)*(Tasks!$C$4:$C$43&lt;&gt;""))+SUMPRODUCT((Tasks!$E$4:$E$43=Tasks!E10)*(Tasks!$A$4:$A$43&lt;Tasks!A10)*(Tasks!$C$4:$C$43&lt;&gt;""))+1)</f>
        <v>7</v>
      </c>
      <c r="CC10">
        <f t="shared" si="7"/>
        <v>7</v>
      </c>
    </row>
    <row r="11" spans="1:81" ht="16" customHeight="1" x14ac:dyDescent="0.2">
      <c r="A11" s="11" cm="1">
        <f t="array" ref="A11">IF($CC11="","",INDEX(Tasks!A$4:A$43,$CC11))</f>
        <v>8</v>
      </c>
      <c r="B11" s="13" t="str" cm="1">
        <f t="array" ref="B11">IF($CC11="","",INDEX(Tasks!B$4:B$43,$CC11))</f>
        <v>Dev</v>
      </c>
      <c r="C11" s="12" t="str" cm="1">
        <f t="array" ref="C11">IF($CC11="","",INDEX(Tasks!C$4:C$43,$CC11))</f>
        <v>Spreadsheet engine core</v>
      </c>
      <c r="D11" s="20" t="str" cm="1">
        <f t="array" ref="D11">IF($CC11="","",INDEX(Tasks!D$4:D$43,$CC11))</f>
        <v>Jane</v>
      </c>
      <c r="E11" s="25" cm="1">
        <f t="array" ref="E11">IF($CC11="","",INDEX(Tasks!E$4:E$43,$CC11))</f>
        <v>45829</v>
      </c>
      <c r="F11" s="20" cm="1">
        <f t="array" ref="F11">IF($CC11="","",INDEX(Tasks!F$4:F$43,$CC11))</f>
        <v>14</v>
      </c>
      <c r="G11" s="25" cm="1">
        <f t="array" ref="G11">IF($CC11="","",INDEX(Tasks!G$4:G$43,$CC11))</f>
        <v>45842</v>
      </c>
      <c r="H11" s="21" cm="1">
        <f t="array" ref="H11">IF($CC11="","",INDEX(Tasks!H$4:H$43,$CC11))</f>
        <v>0</v>
      </c>
      <c r="I11" s="3" t="str">
        <f t="shared" si="0"/>
        <v/>
      </c>
      <c r="J11" s="3" t="str">
        <f t="shared" si="0"/>
        <v/>
      </c>
      <c r="K11" s="3" t="str">
        <f t="shared" si="0"/>
        <v/>
      </c>
      <c r="L11" s="3" t="str">
        <f t="shared" si="0"/>
        <v/>
      </c>
      <c r="M11" s="3" t="str">
        <f t="shared" si="0"/>
        <v/>
      </c>
      <c r="N11" s="3" t="str">
        <f t="shared" si="0"/>
        <v/>
      </c>
      <c r="O11" s="3" t="str">
        <f t="shared" si="0"/>
        <v/>
      </c>
      <c r="P11" s="3" t="str">
        <f t="shared" si="0"/>
        <v/>
      </c>
      <c r="Q11" s="3" t="str">
        <f t="shared" si="0"/>
        <v/>
      </c>
      <c r="R11" s="3" t="str">
        <f t="shared" si="0"/>
        <v/>
      </c>
      <c r="S11" s="3" t="str">
        <f t="shared" si="1"/>
        <v/>
      </c>
      <c r="T11" s="3" t="str">
        <f t="shared" si="1"/>
        <v/>
      </c>
      <c r="U11" s="3" t="str">
        <f t="shared" si="1"/>
        <v/>
      </c>
      <c r="V11" s="3" t="str">
        <f t="shared" si="1"/>
        <v/>
      </c>
      <c r="W11" s="3" t="str">
        <f t="shared" si="1"/>
        <v/>
      </c>
      <c r="X11" s="3" t="str">
        <f t="shared" si="1"/>
        <v/>
      </c>
      <c r="Y11" s="3" t="str">
        <f t="shared" si="1"/>
        <v/>
      </c>
      <c r="Z11" s="3" t="str">
        <f t="shared" si="1"/>
        <v/>
      </c>
      <c r="AA11" s="3" t="str">
        <f t="shared" si="1"/>
        <v/>
      </c>
      <c r="AB11" s="3">
        <f t="shared" si="1"/>
        <v>1</v>
      </c>
      <c r="AC11" s="3">
        <f t="shared" si="2"/>
        <v>1</v>
      </c>
      <c r="AD11" s="3">
        <f t="shared" si="2"/>
        <v>1</v>
      </c>
      <c r="AE11" s="3">
        <f t="shared" si="2"/>
        <v>1</v>
      </c>
      <c r="AF11" s="3">
        <f t="shared" si="2"/>
        <v>1</v>
      </c>
      <c r="AG11" s="3">
        <f t="shared" si="2"/>
        <v>1</v>
      </c>
      <c r="AH11" s="3">
        <f t="shared" si="2"/>
        <v>1</v>
      </c>
      <c r="AI11" s="3">
        <f t="shared" si="2"/>
        <v>1</v>
      </c>
      <c r="AJ11" s="3">
        <f t="shared" si="2"/>
        <v>1</v>
      </c>
      <c r="AK11" s="3">
        <f t="shared" si="2"/>
        <v>1</v>
      </c>
      <c r="AL11" s="3">
        <f t="shared" si="2"/>
        <v>1</v>
      </c>
      <c r="AM11" s="3">
        <f t="shared" si="3"/>
        <v>1</v>
      </c>
      <c r="AN11" s="3">
        <f t="shared" si="3"/>
        <v>1</v>
      </c>
      <c r="AO11" s="3">
        <f t="shared" si="3"/>
        <v>1</v>
      </c>
      <c r="AP11" s="3" t="str">
        <f t="shared" si="3"/>
        <v/>
      </c>
      <c r="AQ11" s="3" t="str">
        <f t="shared" si="3"/>
        <v/>
      </c>
      <c r="AR11" s="3" t="str">
        <f t="shared" si="3"/>
        <v/>
      </c>
      <c r="AS11" s="3" t="str">
        <f t="shared" si="3"/>
        <v/>
      </c>
      <c r="AT11" s="3" t="str">
        <f t="shared" si="3"/>
        <v/>
      </c>
      <c r="AU11" s="3" t="str">
        <f t="shared" si="3"/>
        <v/>
      </c>
      <c r="AV11" s="3" t="str">
        <f t="shared" si="3"/>
        <v/>
      </c>
      <c r="AW11" s="3" t="str">
        <f t="shared" si="4"/>
        <v/>
      </c>
      <c r="AX11" s="3" t="str">
        <f t="shared" si="4"/>
        <v/>
      </c>
      <c r="AY11" s="3" t="str">
        <f t="shared" si="4"/>
        <v/>
      </c>
      <c r="AZ11" s="3" t="str">
        <f t="shared" si="4"/>
        <v/>
      </c>
      <c r="BA11" s="3" t="str">
        <f t="shared" si="4"/>
        <v/>
      </c>
      <c r="BB11" s="3" t="str">
        <f t="shared" si="4"/>
        <v/>
      </c>
      <c r="BC11" s="3" t="str">
        <f t="shared" si="4"/>
        <v/>
      </c>
      <c r="BD11" s="3" t="str">
        <f t="shared" si="4"/>
        <v/>
      </c>
      <c r="BE11" s="3" t="str">
        <f t="shared" si="4"/>
        <v/>
      </c>
      <c r="BF11" s="3" t="str">
        <f t="shared" si="4"/>
        <v/>
      </c>
      <c r="BG11" s="3" t="str">
        <f t="shared" si="5"/>
        <v/>
      </c>
      <c r="BH11" s="3" t="str">
        <f t="shared" si="5"/>
        <v/>
      </c>
      <c r="BI11" s="3" t="str">
        <f t="shared" si="5"/>
        <v/>
      </c>
      <c r="BJ11" s="3" t="str">
        <f t="shared" si="5"/>
        <v/>
      </c>
      <c r="BK11" s="3" t="str">
        <f t="shared" si="5"/>
        <v/>
      </c>
      <c r="BL11" s="3" t="str">
        <f t="shared" si="5"/>
        <v/>
      </c>
      <c r="BM11" s="3" t="str">
        <f t="shared" si="5"/>
        <v/>
      </c>
      <c r="BN11" s="3" t="str">
        <f t="shared" si="5"/>
        <v/>
      </c>
      <c r="BO11" s="3" t="str">
        <f t="shared" si="5"/>
        <v/>
      </c>
      <c r="BP11" s="3" t="str">
        <f t="shared" si="5"/>
        <v/>
      </c>
      <c r="BQ11" s="3" t="str">
        <f t="shared" si="6"/>
        <v/>
      </c>
      <c r="BR11" s="3" t="str">
        <f t="shared" si="6"/>
        <v/>
      </c>
      <c r="BS11" s="3" t="str">
        <f t="shared" si="6"/>
        <v/>
      </c>
      <c r="BT11" s="3" t="str">
        <f t="shared" si="6"/>
        <v/>
      </c>
      <c r="BU11" s="3" t="str">
        <f t="shared" si="6"/>
        <v/>
      </c>
      <c r="BV11" s="3" t="str">
        <f t="shared" si="6"/>
        <v/>
      </c>
      <c r="BW11" s="3" t="str">
        <f t="shared" si="6"/>
        <v/>
      </c>
      <c r="BX11" s="3" t="str">
        <f t="shared" si="6"/>
        <v/>
      </c>
      <c r="BY11" s="3" t="str">
        <f t="shared" si="6"/>
        <v/>
      </c>
      <c r="BZ11" s="3" t="str">
        <f t="shared" si="6"/>
        <v/>
      </c>
      <c r="CB11" cm="1">
        <f t="array" ref="CB11">IF(Tasks!C11="","",SUMPRODUCT((Tasks!$E$4:$E$43&lt;Tasks!E11)*(Tasks!$C$4:$C$43&lt;&gt;""))+SUMPRODUCT((Tasks!$E$4:$E$43=Tasks!E11)*(Tasks!$A$4:$A$43&lt;Tasks!A11)*(Tasks!$C$4:$C$43&lt;&gt;""))+1)</f>
        <v>8</v>
      </c>
      <c r="CC11">
        <f t="shared" si="7"/>
        <v>8</v>
      </c>
    </row>
    <row r="12" spans="1:81" ht="16" customHeight="1" x14ac:dyDescent="0.2">
      <c r="A12" s="11" cm="1">
        <f t="array" ref="A12">IF($CC12="","",INDEX(Tasks!A$4:A$43,$CC12))</f>
        <v>10</v>
      </c>
      <c r="B12" s="13" t="str" cm="1">
        <f t="array" ref="B12">IF($CC12="","",INDEX(Tasks!B$4:B$43,$CC12))</f>
        <v>Dev</v>
      </c>
      <c r="C12" s="12" t="str" cm="1">
        <f t="array" ref="C12">IF($CC12="","",INDEX(Tasks!C$4:C$43,$CC12))</f>
        <v>Frontend components</v>
      </c>
      <c r="D12" s="20" t="str" cm="1">
        <f t="array" ref="D12">IF($CC12="","",INDEX(Tasks!D$4:D$43,$CC12))</f>
        <v>John</v>
      </c>
      <c r="E12" s="25" cm="1">
        <f t="array" ref="E12">IF($CC12="","",INDEX(Tasks!E$4:E$43,$CC12))</f>
        <v>45829</v>
      </c>
      <c r="F12" s="20" cm="1">
        <f t="array" ref="F12">IF($CC12="","",INDEX(Tasks!F$4:F$43,$CC12))</f>
        <v>12</v>
      </c>
      <c r="G12" s="25" cm="1">
        <f t="array" ref="G12">IF($CC12="","",INDEX(Tasks!G$4:G$43,$CC12))</f>
        <v>45840</v>
      </c>
      <c r="H12" s="21" cm="1">
        <f t="array" ref="H12">IF($CC12="","",INDEX(Tasks!H$4:H$43,$CC12))</f>
        <v>0</v>
      </c>
      <c r="I12" s="3" t="str">
        <f t="shared" si="0"/>
        <v/>
      </c>
      <c r="J12" s="3" t="str">
        <f t="shared" si="0"/>
        <v/>
      </c>
      <c r="K12" s="3" t="str">
        <f t="shared" si="0"/>
        <v/>
      </c>
      <c r="L12" s="3" t="str">
        <f t="shared" si="0"/>
        <v/>
      </c>
      <c r="M12" s="3" t="str">
        <f t="shared" si="0"/>
        <v/>
      </c>
      <c r="N12" s="3" t="str">
        <f t="shared" si="0"/>
        <v/>
      </c>
      <c r="O12" s="3" t="str">
        <f t="shared" si="0"/>
        <v/>
      </c>
      <c r="P12" s="3" t="str">
        <f t="shared" si="0"/>
        <v/>
      </c>
      <c r="Q12" s="3" t="str">
        <f t="shared" si="0"/>
        <v/>
      </c>
      <c r="R12" s="3" t="str">
        <f t="shared" si="0"/>
        <v/>
      </c>
      <c r="S12" s="3" t="str">
        <f t="shared" si="1"/>
        <v/>
      </c>
      <c r="T12" s="3" t="str">
        <f t="shared" si="1"/>
        <v/>
      </c>
      <c r="U12" s="3" t="str">
        <f t="shared" si="1"/>
        <v/>
      </c>
      <c r="V12" s="3" t="str">
        <f t="shared" si="1"/>
        <v/>
      </c>
      <c r="W12" s="3" t="str">
        <f t="shared" si="1"/>
        <v/>
      </c>
      <c r="X12" s="3" t="str">
        <f t="shared" si="1"/>
        <v/>
      </c>
      <c r="Y12" s="3" t="str">
        <f t="shared" si="1"/>
        <v/>
      </c>
      <c r="Z12" s="3" t="str">
        <f t="shared" si="1"/>
        <v/>
      </c>
      <c r="AA12" s="3" t="str">
        <f t="shared" si="1"/>
        <v/>
      </c>
      <c r="AB12" s="3">
        <f t="shared" si="1"/>
        <v>1</v>
      </c>
      <c r="AC12" s="3">
        <f t="shared" si="2"/>
        <v>1</v>
      </c>
      <c r="AD12" s="3">
        <f t="shared" si="2"/>
        <v>1</v>
      </c>
      <c r="AE12" s="3">
        <f t="shared" si="2"/>
        <v>1</v>
      </c>
      <c r="AF12" s="3">
        <f t="shared" si="2"/>
        <v>1</v>
      </c>
      <c r="AG12" s="3">
        <f t="shared" si="2"/>
        <v>1</v>
      </c>
      <c r="AH12" s="3">
        <f t="shared" si="2"/>
        <v>1</v>
      </c>
      <c r="AI12" s="3">
        <f t="shared" si="2"/>
        <v>1</v>
      </c>
      <c r="AJ12" s="3">
        <f t="shared" si="2"/>
        <v>1</v>
      </c>
      <c r="AK12" s="3">
        <f t="shared" si="2"/>
        <v>1</v>
      </c>
      <c r="AL12" s="3">
        <f t="shared" si="2"/>
        <v>1</v>
      </c>
      <c r="AM12" s="3">
        <f t="shared" si="3"/>
        <v>1</v>
      </c>
      <c r="AN12" s="3" t="str">
        <f t="shared" si="3"/>
        <v/>
      </c>
      <c r="AO12" s="3" t="str">
        <f t="shared" si="3"/>
        <v/>
      </c>
      <c r="AP12" s="3" t="str">
        <f t="shared" si="3"/>
        <v/>
      </c>
      <c r="AQ12" s="3" t="str">
        <f t="shared" si="3"/>
        <v/>
      </c>
      <c r="AR12" s="3" t="str">
        <f t="shared" si="3"/>
        <v/>
      </c>
      <c r="AS12" s="3" t="str">
        <f t="shared" si="3"/>
        <v/>
      </c>
      <c r="AT12" s="3" t="str">
        <f t="shared" si="3"/>
        <v/>
      </c>
      <c r="AU12" s="3" t="str">
        <f t="shared" si="3"/>
        <v/>
      </c>
      <c r="AV12" s="3" t="str">
        <f t="shared" si="3"/>
        <v/>
      </c>
      <c r="AW12" s="3" t="str">
        <f t="shared" si="4"/>
        <v/>
      </c>
      <c r="AX12" s="3" t="str">
        <f t="shared" si="4"/>
        <v/>
      </c>
      <c r="AY12" s="3" t="str">
        <f t="shared" si="4"/>
        <v/>
      </c>
      <c r="AZ12" s="3" t="str">
        <f t="shared" si="4"/>
        <v/>
      </c>
      <c r="BA12" s="3" t="str">
        <f t="shared" si="4"/>
        <v/>
      </c>
      <c r="BB12" s="3" t="str">
        <f t="shared" si="4"/>
        <v/>
      </c>
      <c r="BC12" s="3" t="str">
        <f t="shared" si="4"/>
        <v/>
      </c>
      <c r="BD12" s="3" t="str">
        <f t="shared" si="4"/>
        <v/>
      </c>
      <c r="BE12" s="3" t="str">
        <f t="shared" si="4"/>
        <v/>
      </c>
      <c r="BF12" s="3" t="str">
        <f t="shared" si="4"/>
        <v/>
      </c>
      <c r="BG12" s="3" t="str">
        <f t="shared" si="5"/>
        <v/>
      </c>
      <c r="BH12" s="3" t="str">
        <f t="shared" si="5"/>
        <v/>
      </c>
      <c r="BI12" s="3" t="str">
        <f t="shared" si="5"/>
        <v/>
      </c>
      <c r="BJ12" s="3" t="str">
        <f t="shared" si="5"/>
        <v/>
      </c>
      <c r="BK12" s="3" t="str">
        <f t="shared" si="5"/>
        <v/>
      </c>
      <c r="BL12" s="3" t="str">
        <f t="shared" si="5"/>
        <v/>
      </c>
      <c r="BM12" s="3" t="str">
        <f t="shared" si="5"/>
        <v/>
      </c>
      <c r="BN12" s="3" t="str">
        <f t="shared" si="5"/>
        <v/>
      </c>
      <c r="BO12" s="3" t="str">
        <f t="shared" si="5"/>
        <v/>
      </c>
      <c r="BP12" s="3" t="str">
        <f t="shared" si="5"/>
        <v/>
      </c>
      <c r="BQ12" s="3" t="str">
        <f t="shared" si="6"/>
        <v/>
      </c>
      <c r="BR12" s="3" t="str">
        <f t="shared" si="6"/>
        <v/>
      </c>
      <c r="BS12" s="3" t="str">
        <f t="shared" si="6"/>
        <v/>
      </c>
      <c r="BT12" s="3" t="str">
        <f t="shared" si="6"/>
        <v/>
      </c>
      <c r="BU12" s="3" t="str">
        <f t="shared" si="6"/>
        <v/>
      </c>
      <c r="BV12" s="3" t="str">
        <f t="shared" si="6"/>
        <v/>
      </c>
      <c r="BW12" s="3" t="str">
        <f t="shared" si="6"/>
        <v/>
      </c>
      <c r="BX12" s="3" t="str">
        <f t="shared" si="6"/>
        <v/>
      </c>
      <c r="BY12" s="3" t="str">
        <f t="shared" si="6"/>
        <v/>
      </c>
      <c r="BZ12" s="3" t="str">
        <f t="shared" si="6"/>
        <v/>
      </c>
      <c r="CB12" cm="1">
        <f t="array" ref="CB12">IF(Tasks!C12="","",SUMPRODUCT((Tasks!$E$4:$E$43&lt;Tasks!E12)*(Tasks!$C$4:$C$43&lt;&gt;""))+SUMPRODUCT((Tasks!$E$4:$E$43=Tasks!E12)*(Tasks!$A$4:$A$43&lt;Tasks!A12)*(Tasks!$C$4:$C$43&lt;&gt;""))+1)</f>
        <v>10</v>
      </c>
      <c r="CC12">
        <f t="shared" si="7"/>
        <v>10</v>
      </c>
    </row>
    <row r="13" spans="1:81" ht="16" customHeight="1" x14ac:dyDescent="0.2">
      <c r="A13" s="11" cm="1">
        <f t="array" ref="A13">IF($CC13="","",INDEX(Tasks!A$4:A$43,$CC13))</f>
        <v>9</v>
      </c>
      <c r="B13" s="13" t="str" cm="1">
        <f t="array" ref="B13">IF($CC13="","",INDEX(Tasks!B$4:B$43,$CC13))</f>
        <v>Dev</v>
      </c>
      <c r="C13" s="12" t="str" cm="1">
        <f t="array" ref="C13">IF($CC13="","",INDEX(Tasks!C$4:C$43,$CC13))</f>
        <v>Formula parser v2</v>
      </c>
      <c r="D13" s="20" t="str" cm="1">
        <f t="array" ref="D13">IF($CC13="","",INDEX(Tasks!D$4:D$43,$CC13))</f>
        <v>Jane</v>
      </c>
      <c r="E13" s="25" cm="1">
        <f t="array" ref="E13">IF($CC13="","",INDEX(Tasks!E$4:E$43,$CC13))</f>
        <v>45832</v>
      </c>
      <c r="F13" s="20" cm="1">
        <f t="array" ref="F13">IF($CC13="","",INDEX(Tasks!F$4:F$43,$CC13))</f>
        <v>10</v>
      </c>
      <c r="G13" s="25" cm="1">
        <f t="array" ref="G13">IF($CC13="","",INDEX(Tasks!G$4:G$43,$CC13))</f>
        <v>45841</v>
      </c>
      <c r="H13" s="21" cm="1">
        <f t="array" ref="H13">IF($CC13="","",INDEX(Tasks!H$4:H$43,$CC13))</f>
        <v>0</v>
      </c>
      <c r="I13" s="3" t="str">
        <f t="shared" si="0"/>
        <v/>
      </c>
      <c r="J13" s="3" t="str">
        <f t="shared" si="0"/>
        <v/>
      </c>
      <c r="K13" s="3" t="str">
        <f t="shared" si="0"/>
        <v/>
      </c>
      <c r="L13" s="3" t="str">
        <f t="shared" si="0"/>
        <v/>
      </c>
      <c r="M13" s="3" t="str">
        <f t="shared" si="0"/>
        <v/>
      </c>
      <c r="N13" s="3" t="str">
        <f t="shared" si="0"/>
        <v/>
      </c>
      <c r="O13" s="3" t="str">
        <f t="shared" si="0"/>
        <v/>
      </c>
      <c r="P13" s="3" t="str">
        <f t="shared" si="0"/>
        <v/>
      </c>
      <c r="Q13" s="3" t="str">
        <f t="shared" si="0"/>
        <v/>
      </c>
      <c r="R13" s="3" t="str">
        <f t="shared" si="0"/>
        <v/>
      </c>
      <c r="S13" s="3" t="str">
        <f t="shared" si="1"/>
        <v/>
      </c>
      <c r="T13" s="3" t="str">
        <f t="shared" si="1"/>
        <v/>
      </c>
      <c r="U13" s="3" t="str">
        <f t="shared" si="1"/>
        <v/>
      </c>
      <c r="V13" s="3" t="str">
        <f t="shared" si="1"/>
        <v/>
      </c>
      <c r="W13" s="3" t="str">
        <f t="shared" si="1"/>
        <v/>
      </c>
      <c r="X13" s="3" t="str">
        <f t="shared" si="1"/>
        <v/>
      </c>
      <c r="Y13" s="3" t="str">
        <f t="shared" si="1"/>
        <v/>
      </c>
      <c r="Z13" s="3" t="str">
        <f t="shared" si="1"/>
        <v/>
      </c>
      <c r="AA13" s="3" t="str">
        <f t="shared" si="1"/>
        <v/>
      </c>
      <c r="AB13" s="3" t="str">
        <f t="shared" si="1"/>
        <v/>
      </c>
      <c r="AC13" s="3" t="str">
        <f t="shared" si="2"/>
        <v/>
      </c>
      <c r="AD13" s="3" t="str">
        <f t="shared" si="2"/>
        <v/>
      </c>
      <c r="AE13" s="3">
        <f t="shared" si="2"/>
        <v>1</v>
      </c>
      <c r="AF13" s="3">
        <f t="shared" si="2"/>
        <v>1</v>
      </c>
      <c r="AG13" s="3">
        <f t="shared" si="2"/>
        <v>1</v>
      </c>
      <c r="AH13" s="3">
        <f t="shared" si="2"/>
        <v>1</v>
      </c>
      <c r="AI13" s="3">
        <f t="shared" si="2"/>
        <v>1</v>
      </c>
      <c r="AJ13" s="3">
        <f t="shared" si="2"/>
        <v>1</v>
      </c>
      <c r="AK13" s="3">
        <f t="shared" si="2"/>
        <v>1</v>
      </c>
      <c r="AL13" s="3">
        <f t="shared" si="2"/>
        <v>1</v>
      </c>
      <c r="AM13" s="3">
        <f t="shared" si="3"/>
        <v>1</v>
      </c>
      <c r="AN13" s="3">
        <f t="shared" si="3"/>
        <v>1</v>
      </c>
      <c r="AO13" s="3" t="str">
        <f t="shared" si="3"/>
        <v/>
      </c>
      <c r="AP13" s="3" t="str">
        <f t="shared" si="3"/>
        <v/>
      </c>
      <c r="AQ13" s="3" t="str">
        <f t="shared" si="3"/>
        <v/>
      </c>
      <c r="AR13" s="3" t="str">
        <f t="shared" si="3"/>
        <v/>
      </c>
      <c r="AS13" s="3" t="str">
        <f t="shared" si="3"/>
        <v/>
      </c>
      <c r="AT13" s="3" t="str">
        <f t="shared" si="3"/>
        <v/>
      </c>
      <c r="AU13" s="3" t="str">
        <f t="shared" si="3"/>
        <v/>
      </c>
      <c r="AV13" s="3" t="str">
        <f t="shared" si="3"/>
        <v/>
      </c>
      <c r="AW13" s="3" t="str">
        <f t="shared" si="4"/>
        <v/>
      </c>
      <c r="AX13" s="3" t="str">
        <f t="shared" si="4"/>
        <v/>
      </c>
      <c r="AY13" s="3" t="str">
        <f t="shared" si="4"/>
        <v/>
      </c>
      <c r="AZ13" s="3" t="str">
        <f t="shared" si="4"/>
        <v/>
      </c>
      <c r="BA13" s="3" t="str">
        <f t="shared" si="4"/>
        <v/>
      </c>
      <c r="BB13" s="3" t="str">
        <f t="shared" si="4"/>
        <v/>
      </c>
      <c r="BC13" s="3" t="str">
        <f t="shared" si="4"/>
        <v/>
      </c>
      <c r="BD13" s="3" t="str">
        <f t="shared" si="4"/>
        <v/>
      </c>
      <c r="BE13" s="3" t="str">
        <f t="shared" si="4"/>
        <v/>
      </c>
      <c r="BF13" s="3" t="str">
        <f t="shared" si="4"/>
        <v/>
      </c>
      <c r="BG13" s="3" t="str">
        <f t="shared" si="5"/>
        <v/>
      </c>
      <c r="BH13" s="3" t="str">
        <f t="shared" si="5"/>
        <v/>
      </c>
      <c r="BI13" s="3" t="str">
        <f t="shared" si="5"/>
        <v/>
      </c>
      <c r="BJ13" s="3" t="str">
        <f t="shared" si="5"/>
        <v/>
      </c>
      <c r="BK13" s="3" t="str">
        <f t="shared" si="5"/>
        <v/>
      </c>
      <c r="BL13" s="3" t="str">
        <f t="shared" si="5"/>
        <v/>
      </c>
      <c r="BM13" s="3" t="str">
        <f t="shared" si="5"/>
        <v/>
      </c>
      <c r="BN13" s="3" t="str">
        <f t="shared" si="5"/>
        <v/>
      </c>
      <c r="BO13" s="3" t="str">
        <f t="shared" si="5"/>
        <v/>
      </c>
      <c r="BP13" s="3" t="str">
        <f t="shared" si="5"/>
        <v/>
      </c>
      <c r="BQ13" s="3" t="str">
        <f t="shared" si="6"/>
        <v/>
      </c>
      <c r="BR13" s="3" t="str">
        <f t="shared" si="6"/>
        <v/>
      </c>
      <c r="BS13" s="3" t="str">
        <f t="shared" si="6"/>
        <v/>
      </c>
      <c r="BT13" s="3" t="str">
        <f t="shared" si="6"/>
        <v/>
      </c>
      <c r="BU13" s="3" t="str">
        <f t="shared" si="6"/>
        <v/>
      </c>
      <c r="BV13" s="3" t="str">
        <f t="shared" si="6"/>
        <v/>
      </c>
      <c r="BW13" s="3" t="str">
        <f t="shared" si="6"/>
        <v/>
      </c>
      <c r="BX13" s="3" t="str">
        <f t="shared" si="6"/>
        <v/>
      </c>
      <c r="BY13" s="3" t="str">
        <f t="shared" si="6"/>
        <v/>
      </c>
      <c r="BZ13" s="3" t="str">
        <f t="shared" si="6"/>
        <v/>
      </c>
      <c r="CB13" cm="1">
        <f t="array" ref="CB13">IF(Tasks!C13="","",SUMPRODUCT((Tasks!$E$4:$E$43&lt;Tasks!E13)*(Tasks!$C$4:$C$43&lt;&gt;""))+SUMPRODUCT((Tasks!$E$4:$E$43=Tasks!E13)*(Tasks!$A$4:$A$43&lt;Tasks!A13)*(Tasks!$C$4:$C$43&lt;&gt;""))+1)</f>
        <v>9</v>
      </c>
      <c r="CC13">
        <f t="shared" si="7"/>
        <v>9</v>
      </c>
    </row>
    <row r="14" spans="1:81" ht="16" customHeight="1" x14ac:dyDescent="0.2">
      <c r="A14" s="11" cm="1">
        <f t="array" ref="A14">IF($CC14="","",INDEX(Tasks!A$4:A$43,$CC14))</f>
        <v>11</v>
      </c>
      <c r="B14" s="13" t="str" cm="1">
        <f t="array" ref="B14">IF($CC14="","",INDEX(Tasks!B$4:B$43,$CC14))</f>
        <v>Dev</v>
      </c>
      <c r="C14" s="12" t="str" cm="1">
        <f t="array" ref="C14">IF($CC14="","",INDEX(Tasks!C$4:C$43,$CC14))</f>
        <v>WebAssembly build</v>
      </c>
      <c r="D14" s="20" t="str" cm="1">
        <f t="array" ref="D14">IF($CC14="","",INDEX(Tasks!D$4:D$43,$CC14))</f>
        <v>John</v>
      </c>
      <c r="E14" s="25" cm="1">
        <f t="array" ref="E14">IF($CC14="","",INDEX(Tasks!E$4:E$43,$CC14))</f>
        <v>45840</v>
      </c>
      <c r="F14" s="20" cm="1">
        <f t="array" ref="F14">IF($CC14="","",INDEX(Tasks!F$4:F$43,$CC14))</f>
        <v>8</v>
      </c>
      <c r="G14" s="25" cm="1">
        <f t="array" ref="G14">IF($CC14="","",INDEX(Tasks!G$4:G$43,$CC14))</f>
        <v>45847</v>
      </c>
      <c r="H14" s="21" cm="1">
        <f t="array" ref="H14">IF($CC14="","",INDEX(Tasks!H$4:H$43,$CC14))</f>
        <v>0</v>
      </c>
      <c r="I14" s="3" t="str">
        <f t="shared" ref="I14:R23" si="8">IF($CC14="","",IF(AND(I$3&gt;=$E14,I$3&lt;=$G14),1,""))</f>
        <v/>
      </c>
      <c r="J14" s="3" t="str">
        <f t="shared" si="8"/>
        <v/>
      </c>
      <c r="K14" s="3" t="str">
        <f t="shared" si="8"/>
        <v/>
      </c>
      <c r="L14" s="3" t="str">
        <f t="shared" si="8"/>
        <v/>
      </c>
      <c r="M14" s="3" t="str">
        <f t="shared" si="8"/>
        <v/>
      </c>
      <c r="N14" s="3" t="str">
        <f t="shared" si="8"/>
        <v/>
      </c>
      <c r="O14" s="3" t="str">
        <f t="shared" si="8"/>
        <v/>
      </c>
      <c r="P14" s="3" t="str">
        <f t="shared" si="8"/>
        <v/>
      </c>
      <c r="Q14" s="3" t="str">
        <f t="shared" si="8"/>
        <v/>
      </c>
      <c r="R14" s="3" t="str">
        <f t="shared" si="8"/>
        <v/>
      </c>
      <c r="S14" s="3" t="str">
        <f t="shared" ref="S14:AB23" si="9">IF($CC14="","",IF(AND(S$3&gt;=$E14,S$3&lt;=$G14),1,""))</f>
        <v/>
      </c>
      <c r="T14" s="3" t="str">
        <f t="shared" si="9"/>
        <v/>
      </c>
      <c r="U14" s="3" t="str">
        <f t="shared" si="9"/>
        <v/>
      </c>
      <c r="V14" s="3" t="str">
        <f t="shared" si="9"/>
        <v/>
      </c>
      <c r="W14" s="3" t="str">
        <f t="shared" si="9"/>
        <v/>
      </c>
      <c r="X14" s="3" t="str">
        <f t="shared" si="9"/>
        <v/>
      </c>
      <c r="Y14" s="3" t="str">
        <f t="shared" si="9"/>
        <v/>
      </c>
      <c r="Z14" s="3" t="str">
        <f t="shared" si="9"/>
        <v/>
      </c>
      <c r="AA14" s="3" t="str">
        <f t="shared" si="9"/>
        <v/>
      </c>
      <c r="AB14" s="3" t="str">
        <f t="shared" si="9"/>
        <v/>
      </c>
      <c r="AC14" s="3" t="str">
        <f t="shared" ref="AC14:AL23" si="10">IF($CC14="","",IF(AND(AC$3&gt;=$E14,AC$3&lt;=$G14),1,""))</f>
        <v/>
      </c>
      <c r="AD14" s="3" t="str">
        <f t="shared" si="10"/>
        <v/>
      </c>
      <c r="AE14" s="3" t="str">
        <f t="shared" si="10"/>
        <v/>
      </c>
      <c r="AF14" s="3" t="str">
        <f t="shared" si="10"/>
        <v/>
      </c>
      <c r="AG14" s="3" t="str">
        <f t="shared" si="10"/>
        <v/>
      </c>
      <c r="AH14" s="3" t="str">
        <f t="shared" si="10"/>
        <v/>
      </c>
      <c r="AI14" s="3" t="str">
        <f t="shared" si="10"/>
        <v/>
      </c>
      <c r="AJ14" s="3" t="str">
        <f t="shared" si="10"/>
        <v/>
      </c>
      <c r="AK14" s="3" t="str">
        <f t="shared" si="10"/>
        <v/>
      </c>
      <c r="AL14" s="3" t="str">
        <f t="shared" si="10"/>
        <v/>
      </c>
      <c r="AM14" s="3">
        <f t="shared" ref="AM14:AV23" si="11">IF($CC14="","",IF(AND(AM$3&gt;=$E14,AM$3&lt;=$G14),1,""))</f>
        <v>1</v>
      </c>
      <c r="AN14" s="3">
        <f t="shared" si="11"/>
        <v>1</v>
      </c>
      <c r="AO14" s="3">
        <f t="shared" si="11"/>
        <v>1</v>
      </c>
      <c r="AP14" s="3">
        <f t="shared" si="11"/>
        <v>1</v>
      </c>
      <c r="AQ14" s="3">
        <f t="shared" si="11"/>
        <v>1</v>
      </c>
      <c r="AR14" s="3">
        <f t="shared" si="11"/>
        <v>1</v>
      </c>
      <c r="AS14" s="3">
        <f t="shared" si="11"/>
        <v>1</v>
      </c>
      <c r="AT14" s="3">
        <f t="shared" si="11"/>
        <v>1</v>
      </c>
      <c r="AU14" s="3" t="str">
        <f t="shared" si="11"/>
        <v/>
      </c>
      <c r="AV14" s="3" t="str">
        <f t="shared" si="11"/>
        <v/>
      </c>
      <c r="AW14" s="3" t="str">
        <f t="shared" ref="AW14:BF23" si="12">IF($CC14="","",IF(AND(AW$3&gt;=$E14,AW$3&lt;=$G14),1,""))</f>
        <v/>
      </c>
      <c r="AX14" s="3" t="str">
        <f t="shared" si="12"/>
        <v/>
      </c>
      <c r="AY14" s="3" t="str">
        <f t="shared" si="12"/>
        <v/>
      </c>
      <c r="AZ14" s="3" t="str">
        <f t="shared" si="12"/>
        <v/>
      </c>
      <c r="BA14" s="3" t="str">
        <f t="shared" si="12"/>
        <v/>
      </c>
      <c r="BB14" s="3" t="str">
        <f t="shared" si="12"/>
        <v/>
      </c>
      <c r="BC14" s="3" t="str">
        <f t="shared" si="12"/>
        <v/>
      </c>
      <c r="BD14" s="3" t="str">
        <f t="shared" si="12"/>
        <v/>
      </c>
      <c r="BE14" s="3" t="str">
        <f t="shared" si="12"/>
        <v/>
      </c>
      <c r="BF14" s="3" t="str">
        <f t="shared" si="12"/>
        <v/>
      </c>
      <c r="BG14" s="3" t="str">
        <f t="shared" ref="BG14:BP23" si="13">IF($CC14="","",IF(AND(BG$3&gt;=$E14,BG$3&lt;=$G14),1,""))</f>
        <v/>
      </c>
      <c r="BH14" s="3" t="str">
        <f t="shared" si="13"/>
        <v/>
      </c>
      <c r="BI14" s="3" t="str">
        <f t="shared" si="13"/>
        <v/>
      </c>
      <c r="BJ14" s="3" t="str">
        <f t="shared" si="13"/>
        <v/>
      </c>
      <c r="BK14" s="3" t="str">
        <f t="shared" si="13"/>
        <v/>
      </c>
      <c r="BL14" s="3" t="str">
        <f t="shared" si="13"/>
        <v/>
      </c>
      <c r="BM14" s="3" t="str">
        <f t="shared" si="13"/>
        <v/>
      </c>
      <c r="BN14" s="3" t="str">
        <f t="shared" si="13"/>
        <v/>
      </c>
      <c r="BO14" s="3" t="str">
        <f t="shared" si="13"/>
        <v/>
      </c>
      <c r="BP14" s="3" t="str">
        <f t="shared" si="13"/>
        <v/>
      </c>
      <c r="BQ14" s="3" t="str">
        <f t="shared" ref="BQ14:BZ23" si="14">IF($CC14="","",IF(AND(BQ$3&gt;=$E14,BQ$3&lt;=$G14),1,""))</f>
        <v/>
      </c>
      <c r="BR14" s="3" t="str">
        <f t="shared" si="14"/>
        <v/>
      </c>
      <c r="BS14" s="3" t="str">
        <f t="shared" si="14"/>
        <v/>
      </c>
      <c r="BT14" s="3" t="str">
        <f t="shared" si="14"/>
        <v/>
      </c>
      <c r="BU14" s="3" t="str">
        <f t="shared" si="14"/>
        <v/>
      </c>
      <c r="BV14" s="3" t="str">
        <f t="shared" si="14"/>
        <v/>
      </c>
      <c r="BW14" s="3" t="str">
        <f t="shared" si="14"/>
        <v/>
      </c>
      <c r="BX14" s="3" t="str">
        <f t="shared" si="14"/>
        <v/>
      </c>
      <c r="BY14" s="3" t="str">
        <f t="shared" si="14"/>
        <v/>
      </c>
      <c r="BZ14" s="3" t="str">
        <f t="shared" si="14"/>
        <v/>
      </c>
      <c r="CB14" cm="1">
        <f t="array" ref="CB14">IF(Tasks!C14="","",SUMPRODUCT((Tasks!$E$4:$E$43&lt;Tasks!E14)*(Tasks!$C$4:$C$43&lt;&gt;""))+SUMPRODUCT((Tasks!$E$4:$E$43=Tasks!E14)*(Tasks!$A$4:$A$43&lt;Tasks!A14)*(Tasks!$C$4:$C$43&lt;&gt;""))+1)</f>
        <v>11</v>
      </c>
      <c r="CC14">
        <f t="shared" si="7"/>
        <v>11</v>
      </c>
    </row>
    <row r="15" spans="1:81" ht="16" customHeight="1" x14ac:dyDescent="0.2">
      <c r="A15" s="11" cm="1">
        <f t="array" ref="A15">IF($CC15="","",INDEX(Tasks!A$4:A$43,$CC15))</f>
        <v>12</v>
      </c>
      <c r="B15" s="13" t="str" cm="1">
        <f t="array" ref="B15">IF($CC15="","",INDEX(Tasks!B$4:B$43,$CC15))</f>
        <v>Dev</v>
      </c>
      <c r="C15" s="12" t="str" cm="1">
        <f t="array" ref="C15">IF($CC15="","",INDEX(Tasks!C$4:C$43,$CC15))</f>
        <v>API integration</v>
      </c>
      <c r="D15" s="20" t="str" cm="1">
        <f t="array" ref="D15">IF($CC15="","",INDEX(Tasks!D$4:D$43,$CC15))</f>
        <v>Jane</v>
      </c>
      <c r="E15" s="25" cm="1">
        <f t="array" ref="E15">IF($CC15="","",INDEX(Tasks!E$4:E$43,$CC15))</f>
        <v>45841</v>
      </c>
      <c r="F15" s="20" cm="1">
        <f t="array" ref="F15">IF($CC15="","",INDEX(Tasks!F$4:F$43,$CC15))</f>
        <v>10</v>
      </c>
      <c r="G15" s="25" cm="1">
        <f t="array" ref="G15">IF($CC15="","",INDEX(Tasks!G$4:G$43,$CC15))</f>
        <v>45850</v>
      </c>
      <c r="H15" s="21" cm="1">
        <f t="array" ref="H15">IF($CC15="","",INDEX(Tasks!H$4:H$43,$CC15))</f>
        <v>0</v>
      </c>
      <c r="I15" s="3" t="str">
        <f t="shared" si="8"/>
        <v/>
      </c>
      <c r="J15" s="3" t="str">
        <f t="shared" si="8"/>
        <v/>
      </c>
      <c r="K15" s="3" t="str">
        <f t="shared" si="8"/>
        <v/>
      </c>
      <c r="L15" s="3" t="str">
        <f t="shared" si="8"/>
        <v/>
      </c>
      <c r="M15" s="3" t="str">
        <f t="shared" si="8"/>
        <v/>
      </c>
      <c r="N15" s="3" t="str">
        <f t="shared" si="8"/>
        <v/>
      </c>
      <c r="O15" s="3" t="str">
        <f t="shared" si="8"/>
        <v/>
      </c>
      <c r="P15" s="3" t="str">
        <f t="shared" si="8"/>
        <v/>
      </c>
      <c r="Q15" s="3" t="str">
        <f t="shared" si="8"/>
        <v/>
      </c>
      <c r="R15" s="3" t="str">
        <f t="shared" si="8"/>
        <v/>
      </c>
      <c r="S15" s="3" t="str">
        <f t="shared" si="9"/>
        <v/>
      </c>
      <c r="T15" s="3" t="str">
        <f t="shared" si="9"/>
        <v/>
      </c>
      <c r="U15" s="3" t="str">
        <f t="shared" si="9"/>
        <v/>
      </c>
      <c r="V15" s="3" t="str">
        <f t="shared" si="9"/>
        <v/>
      </c>
      <c r="W15" s="3" t="str">
        <f t="shared" si="9"/>
        <v/>
      </c>
      <c r="X15" s="3" t="str">
        <f t="shared" si="9"/>
        <v/>
      </c>
      <c r="Y15" s="3" t="str">
        <f t="shared" si="9"/>
        <v/>
      </c>
      <c r="Z15" s="3" t="str">
        <f t="shared" si="9"/>
        <v/>
      </c>
      <c r="AA15" s="3" t="str">
        <f t="shared" si="9"/>
        <v/>
      </c>
      <c r="AB15" s="3" t="str">
        <f t="shared" si="9"/>
        <v/>
      </c>
      <c r="AC15" s="3" t="str">
        <f t="shared" si="10"/>
        <v/>
      </c>
      <c r="AD15" s="3" t="str">
        <f t="shared" si="10"/>
        <v/>
      </c>
      <c r="AE15" s="3" t="str">
        <f t="shared" si="10"/>
        <v/>
      </c>
      <c r="AF15" s="3" t="str">
        <f t="shared" si="10"/>
        <v/>
      </c>
      <c r="AG15" s="3" t="str">
        <f t="shared" si="10"/>
        <v/>
      </c>
      <c r="AH15" s="3" t="str">
        <f t="shared" si="10"/>
        <v/>
      </c>
      <c r="AI15" s="3" t="str">
        <f t="shared" si="10"/>
        <v/>
      </c>
      <c r="AJ15" s="3" t="str">
        <f t="shared" si="10"/>
        <v/>
      </c>
      <c r="AK15" s="3" t="str">
        <f t="shared" si="10"/>
        <v/>
      </c>
      <c r="AL15" s="3" t="str">
        <f t="shared" si="10"/>
        <v/>
      </c>
      <c r="AM15" s="3" t="str">
        <f t="shared" si="11"/>
        <v/>
      </c>
      <c r="AN15" s="3">
        <f t="shared" si="11"/>
        <v>1</v>
      </c>
      <c r="AO15" s="3">
        <f t="shared" si="11"/>
        <v>1</v>
      </c>
      <c r="AP15" s="3">
        <f t="shared" si="11"/>
        <v>1</v>
      </c>
      <c r="AQ15" s="3">
        <f t="shared" si="11"/>
        <v>1</v>
      </c>
      <c r="AR15" s="3">
        <f t="shared" si="11"/>
        <v>1</v>
      </c>
      <c r="AS15" s="3">
        <f t="shared" si="11"/>
        <v>1</v>
      </c>
      <c r="AT15" s="3">
        <f t="shared" si="11"/>
        <v>1</v>
      </c>
      <c r="AU15" s="3">
        <f t="shared" si="11"/>
        <v>1</v>
      </c>
      <c r="AV15" s="3">
        <f t="shared" si="11"/>
        <v>1</v>
      </c>
      <c r="AW15" s="3">
        <f t="shared" si="12"/>
        <v>1</v>
      </c>
      <c r="AX15" s="3" t="str">
        <f t="shared" si="12"/>
        <v/>
      </c>
      <c r="AY15" s="3" t="str">
        <f t="shared" si="12"/>
        <v/>
      </c>
      <c r="AZ15" s="3" t="str">
        <f t="shared" si="12"/>
        <v/>
      </c>
      <c r="BA15" s="3" t="str">
        <f t="shared" si="12"/>
        <v/>
      </c>
      <c r="BB15" s="3" t="str">
        <f t="shared" si="12"/>
        <v/>
      </c>
      <c r="BC15" s="3" t="str">
        <f t="shared" si="12"/>
        <v/>
      </c>
      <c r="BD15" s="3" t="str">
        <f t="shared" si="12"/>
        <v/>
      </c>
      <c r="BE15" s="3" t="str">
        <f t="shared" si="12"/>
        <v/>
      </c>
      <c r="BF15" s="3" t="str">
        <f t="shared" si="12"/>
        <v/>
      </c>
      <c r="BG15" s="3" t="str">
        <f t="shared" si="13"/>
        <v/>
      </c>
      <c r="BH15" s="3" t="str">
        <f t="shared" si="13"/>
        <v/>
      </c>
      <c r="BI15" s="3" t="str">
        <f t="shared" si="13"/>
        <v/>
      </c>
      <c r="BJ15" s="3" t="str">
        <f t="shared" si="13"/>
        <v/>
      </c>
      <c r="BK15" s="3" t="str">
        <f t="shared" si="13"/>
        <v/>
      </c>
      <c r="BL15" s="3" t="str">
        <f t="shared" si="13"/>
        <v/>
      </c>
      <c r="BM15" s="3" t="str">
        <f t="shared" si="13"/>
        <v/>
      </c>
      <c r="BN15" s="3" t="str">
        <f t="shared" si="13"/>
        <v/>
      </c>
      <c r="BO15" s="3" t="str">
        <f t="shared" si="13"/>
        <v/>
      </c>
      <c r="BP15" s="3" t="str">
        <f t="shared" si="13"/>
        <v/>
      </c>
      <c r="BQ15" s="3" t="str">
        <f t="shared" si="14"/>
        <v/>
      </c>
      <c r="BR15" s="3" t="str">
        <f t="shared" si="14"/>
        <v/>
      </c>
      <c r="BS15" s="3" t="str">
        <f t="shared" si="14"/>
        <v/>
      </c>
      <c r="BT15" s="3" t="str">
        <f t="shared" si="14"/>
        <v/>
      </c>
      <c r="BU15" s="3" t="str">
        <f t="shared" si="14"/>
        <v/>
      </c>
      <c r="BV15" s="3" t="str">
        <f t="shared" si="14"/>
        <v/>
      </c>
      <c r="BW15" s="3" t="str">
        <f t="shared" si="14"/>
        <v/>
      </c>
      <c r="BX15" s="3" t="str">
        <f t="shared" si="14"/>
        <v/>
      </c>
      <c r="BY15" s="3" t="str">
        <f t="shared" si="14"/>
        <v/>
      </c>
      <c r="BZ15" s="3" t="str">
        <f t="shared" si="14"/>
        <v/>
      </c>
      <c r="CB15" cm="1">
        <f t="array" ref="CB15">IF(Tasks!C15="","",SUMPRODUCT((Tasks!$E$4:$E$43&lt;Tasks!E15)*(Tasks!$C$4:$C$43&lt;&gt;""))+SUMPRODUCT((Tasks!$E$4:$E$43=Tasks!E15)*(Tasks!$A$4:$A$43&lt;Tasks!A15)*(Tasks!$C$4:$C$43&lt;&gt;""))+1)</f>
        <v>12</v>
      </c>
      <c r="CC15">
        <f t="shared" si="7"/>
        <v>12</v>
      </c>
    </row>
    <row r="16" spans="1:81" ht="16" customHeight="1" x14ac:dyDescent="0.2">
      <c r="A16" s="11" cm="1">
        <f t="array" ref="A16">IF($CC16="","",INDEX(Tasks!A$4:A$43,$CC16))</f>
        <v>13</v>
      </c>
      <c r="B16" s="13" t="str" cm="1">
        <f t="array" ref="B16">IF($CC16="","",INDEX(Tasks!B$4:B$43,$CC16))</f>
        <v>Testing</v>
      </c>
      <c r="C16" s="12" t="str" cm="1">
        <f t="array" ref="C16">IF($CC16="","",INDEX(Tasks!C$4:C$43,$CC16))</f>
        <v>Unit test suite</v>
      </c>
      <c r="D16" s="20" t="str" cm="1">
        <f t="array" ref="D16">IF($CC16="","",INDEX(Tasks!D$4:D$43,$CC16))</f>
        <v>John</v>
      </c>
      <c r="E16" s="25" cm="1">
        <f t="array" ref="E16">IF($CC16="","",INDEX(Tasks!E$4:E$43,$CC16))</f>
        <v>45850</v>
      </c>
      <c r="F16" s="20" cm="1">
        <f t="array" ref="F16">IF($CC16="","",INDEX(Tasks!F$4:F$43,$CC16))</f>
        <v>6</v>
      </c>
      <c r="G16" s="25" cm="1">
        <f t="array" ref="G16">IF($CC16="","",INDEX(Tasks!G$4:G$43,$CC16))</f>
        <v>45855</v>
      </c>
      <c r="H16" s="21" cm="1">
        <f t="array" ref="H16">IF($CC16="","",INDEX(Tasks!H$4:H$43,$CC16))</f>
        <v>0</v>
      </c>
      <c r="I16" s="3" t="str">
        <f t="shared" si="8"/>
        <v/>
      </c>
      <c r="J16" s="3" t="str">
        <f t="shared" si="8"/>
        <v/>
      </c>
      <c r="K16" s="3" t="str">
        <f t="shared" si="8"/>
        <v/>
      </c>
      <c r="L16" s="3" t="str">
        <f t="shared" si="8"/>
        <v/>
      </c>
      <c r="M16" s="3" t="str">
        <f t="shared" si="8"/>
        <v/>
      </c>
      <c r="N16" s="3" t="str">
        <f t="shared" si="8"/>
        <v/>
      </c>
      <c r="O16" s="3" t="str">
        <f t="shared" si="8"/>
        <v/>
      </c>
      <c r="P16" s="3" t="str">
        <f t="shared" si="8"/>
        <v/>
      </c>
      <c r="Q16" s="3" t="str">
        <f t="shared" si="8"/>
        <v/>
      </c>
      <c r="R16" s="3" t="str">
        <f t="shared" si="8"/>
        <v/>
      </c>
      <c r="S16" s="3" t="str">
        <f t="shared" si="9"/>
        <v/>
      </c>
      <c r="T16" s="3" t="str">
        <f t="shared" si="9"/>
        <v/>
      </c>
      <c r="U16" s="3" t="str">
        <f t="shared" si="9"/>
        <v/>
      </c>
      <c r="V16" s="3" t="str">
        <f t="shared" si="9"/>
        <v/>
      </c>
      <c r="W16" s="3" t="str">
        <f t="shared" si="9"/>
        <v/>
      </c>
      <c r="X16" s="3" t="str">
        <f t="shared" si="9"/>
        <v/>
      </c>
      <c r="Y16" s="3" t="str">
        <f t="shared" si="9"/>
        <v/>
      </c>
      <c r="Z16" s="3" t="str">
        <f t="shared" si="9"/>
        <v/>
      </c>
      <c r="AA16" s="3" t="str">
        <f t="shared" si="9"/>
        <v/>
      </c>
      <c r="AB16" s="3" t="str">
        <f t="shared" si="9"/>
        <v/>
      </c>
      <c r="AC16" s="3" t="str">
        <f t="shared" si="10"/>
        <v/>
      </c>
      <c r="AD16" s="3" t="str">
        <f t="shared" si="10"/>
        <v/>
      </c>
      <c r="AE16" s="3" t="str">
        <f t="shared" si="10"/>
        <v/>
      </c>
      <c r="AF16" s="3" t="str">
        <f t="shared" si="10"/>
        <v/>
      </c>
      <c r="AG16" s="3" t="str">
        <f t="shared" si="10"/>
        <v/>
      </c>
      <c r="AH16" s="3" t="str">
        <f t="shared" si="10"/>
        <v/>
      </c>
      <c r="AI16" s="3" t="str">
        <f t="shared" si="10"/>
        <v/>
      </c>
      <c r="AJ16" s="3" t="str">
        <f t="shared" si="10"/>
        <v/>
      </c>
      <c r="AK16" s="3" t="str">
        <f t="shared" si="10"/>
        <v/>
      </c>
      <c r="AL16" s="3" t="str">
        <f t="shared" si="10"/>
        <v/>
      </c>
      <c r="AM16" s="3" t="str">
        <f t="shared" si="11"/>
        <v/>
      </c>
      <c r="AN16" s="3" t="str">
        <f t="shared" si="11"/>
        <v/>
      </c>
      <c r="AO16" s="3" t="str">
        <f t="shared" si="11"/>
        <v/>
      </c>
      <c r="AP16" s="3" t="str">
        <f t="shared" si="11"/>
        <v/>
      </c>
      <c r="AQ16" s="3" t="str">
        <f t="shared" si="11"/>
        <v/>
      </c>
      <c r="AR16" s="3" t="str">
        <f t="shared" si="11"/>
        <v/>
      </c>
      <c r="AS16" s="3" t="str">
        <f t="shared" si="11"/>
        <v/>
      </c>
      <c r="AT16" s="3" t="str">
        <f t="shared" si="11"/>
        <v/>
      </c>
      <c r="AU16" s="3" t="str">
        <f t="shared" si="11"/>
        <v/>
      </c>
      <c r="AV16" s="3" t="str">
        <f t="shared" si="11"/>
        <v/>
      </c>
      <c r="AW16" s="3">
        <f t="shared" si="12"/>
        <v>1</v>
      </c>
      <c r="AX16" s="3">
        <f t="shared" si="12"/>
        <v>1</v>
      </c>
      <c r="AY16" s="3">
        <f t="shared" si="12"/>
        <v>1</v>
      </c>
      <c r="AZ16" s="3">
        <f t="shared" si="12"/>
        <v>1</v>
      </c>
      <c r="BA16" s="3">
        <f t="shared" si="12"/>
        <v>1</v>
      </c>
      <c r="BB16" s="3">
        <f t="shared" si="12"/>
        <v>1</v>
      </c>
      <c r="BC16" s="3" t="str">
        <f t="shared" si="12"/>
        <v/>
      </c>
      <c r="BD16" s="3" t="str">
        <f t="shared" si="12"/>
        <v/>
      </c>
      <c r="BE16" s="3" t="str">
        <f t="shared" si="12"/>
        <v/>
      </c>
      <c r="BF16" s="3" t="str">
        <f t="shared" si="12"/>
        <v/>
      </c>
      <c r="BG16" s="3" t="str">
        <f t="shared" si="13"/>
        <v/>
      </c>
      <c r="BH16" s="3" t="str">
        <f t="shared" si="13"/>
        <v/>
      </c>
      <c r="BI16" s="3" t="str">
        <f t="shared" si="13"/>
        <v/>
      </c>
      <c r="BJ16" s="3" t="str">
        <f t="shared" si="13"/>
        <v/>
      </c>
      <c r="BK16" s="3" t="str">
        <f t="shared" si="13"/>
        <v/>
      </c>
      <c r="BL16" s="3" t="str">
        <f t="shared" si="13"/>
        <v/>
      </c>
      <c r="BM16" s="3" t="str">
        <f t="shared" si="13"/>
        <v/>
      </c>
      <c r="BN16" s="3" t="str">
        <f t="shared" si="13"/>
        <v/>
      </c>
      <c r="BO16" s="3" t="str">
        <f t="shared" si="13"/>
        <v/>
      </c>
      <c r="BP16" s="3" t="str">
        <f t="shared" si="13"/>
        <v/>
      </c>
      <c r="BQ16" s="3" t="str">
        <f t="shared" si="14"/>
        <v/>
      </c>
      <c r="BR16" s="3" t="str">
        <f t="shared" si="14"/>
        <v/>
      </c>
      <c r="BS16" s="3" t="str">
        <f t="shared" si="14"/>
        <v/>
      </c>
      <c r="BT16" s="3" t="str">
        <f t="shared" si="14"/>
        <v/>
      </c>
      <c r="BU16" s="3" t="str">
        <f t="shared" si="14"/>
        <v/>
      </c>
      <c r="BV16" s="3" t="str">
        <f t="shared" si="14"/>
        <v/>
      </c>
      <c r="BW16" s="3" t="str">
        <f t="shared" si="14"/>
        <v/>
      </c>
      <c r="BX16" s="3" t="str">
        <f t="shared" si="14"/>
        <v/>
      </c>
      <c r="BY16" s="3" t="str">
        <f t="shared" si="14"/>
        <v/>
      </c>
      <c r="BZ16" s="3" t="str">
        <f t="shared" si="14"/>
        <v/>
      </c>
      <c r="CB16" cm="1">
        <f t="array" ref="CB16">IF(Tasks!C16="","",SUMPRODUCT((Tasks!$E$4:$E$43&lt;Tasks!E16)*(Tasks!$C$4:$C$43&lt;&gt;""))+SUMPRODUCT((Tasks!$E$4:$E$43=Tasks!E16)*(Tasks!$A$4:$A$43&lt;Tasks!A16)*(Tasks!$C$4:$C$43&lt;&gt;""))+1)</f>
        <v>13</v>
      </c>
      <c r="CC16">
        <f t="shared" si="7"/>
        <v>13</v>
      </c>
    </row>
    <row r="17" spans="1:81" ht="16" customHeight="1" x14ac:dyDescent="0.2">
      <c r="A17" s="11" cm="1">
        <f t="array" ref="A17">IF($CC17="","",INDEX(Tasks!A$4:A$43,$CC17))</f>
        <v>14</v>
      </c>
      <c r="B17" s="13" t="str" cm="1">
        <f t="array" ref="B17">IF($CC17="","",INDEX(Tasks!B$4:B$43,$CC17))</f>
        <v>Testing</v>
      </c>
      <c r="C17" s="12" t="str" cm="1">
        <f t="array" ref="C17">IF($CC17="","",INDEX(Tasks!C$4:C$43,$CC17))</f>
        <v>Cross-browser QA</v>
      </c>
      <c r="D17" s="20" t="str" cm="1">
        <f t="array" ref="D17">IF($CC17="","",INDEX(Tasks!D$4:D$43,$CC17))</f>
        <v>Jane</v>
      </c>
      <c r="E17" s="25" cm="1">
        <f t="array" ref="E17">IF($CC17="","",INDEX(Tasks!E$4:E$43,$CC17))</f>
        <v>45854</v>
      </c>
      <c r="F17" s="20" cm="1">
        <f t="array" ref="F17">IF($CC17="","",INDEX(Tasks!F$4:F$43,$CC17))</f>
        <v>5</v>
      </c>
      <c r="G17" s="25" cm="1">
        <f t="array" ref="G17">IF($CC17="","",INDEX(Tasks!G$4:G$43,$CC17))</f>
        <v>45858</v>
      </c>
      <c r="H17" s="21" cm="1">
        <f t="array" ref="H17">IF($CC17="","",INDEX(Tasks!H$4:H$43,$CC17))</f>
        <v>0</v>
      </c>
      <c r="I17" s="3" t="str">
        <f t="shared" si="8"/>
        <v/>
      </c>
      <c r="J17" s="3" t="str">
        <f t="shared" si="8"/>
        <v/>
      </c>
      <c r="K17" s="3" t="str">
        <f t="shared" si="8"/>
        <v/>
      </c>
      <c r="L17" s="3" t="str">
        <f t="shared" si="8"/>
        <v/>
      </c>
      <c r="M17" s="3" t="str">
        <f t="shared" si="8"/>
        <v/>
      </c>
      <c r="N17" s="3" t="str">
        <f t="shared" si="8"/>
        <v/>
      </c>
      <c r="O17" s="3" t="str">
        <f t="shared" si="8"/>
        <v/>
      </c>
      <c r="P17" s="3" t="str">
        <f t="shared" si="8"/>
        <v/>
      </c>
      <c r="Q17" s="3" t="str">
        <f t="shared" si="8"/>
        <v/>
      </c>
      <c r="R17" s="3" t="str">
        <f t="shared" si="8"/>
        <v/>
      </c>
      <c r="S17" s="3" t="str">
        <f t="shared" si="9"/>
        <v/>
      </c>
      <c r="T17" s="3" t="str">
        <f t="shared" si="9"/>
        <v/>
      </c>
      <c r="U17" s="3" t="str">
        <f t="shared" si="9"/>
        <v/>
      </c>
      <c r="V17" s="3" t="str">
        <f t="shared" si="9"/>
        <v/>
      </c>
      <c r="W17" s="3" t="str">
        <f t="shared" si="9"/>
        <v/>
      </c>
      <c r="X17" s="3" t="str">
        <f t="shared" si="9"/>
        <v/>
      </c>
      <c r="Y17" s="3" t="str">
        <f t="shared" si="9"/>
        <v/>
      </c>
      <c r="Z17" s="3" t="str">
        <f t="shared" si="9"/>
        <v/>
      </c>
      <c r="AA17" s="3" t="str">
        <f t="shared" si="9"/>
        <v/>
      </c>
      <c r="AB17" s="3" t="str">
        <f t="shared" si="9"/>
        <v/>
      </c>
      <c r="AC17" s="3" t="str">
        <f t="shared" si="10"/>
        <v/>
      </c>
      <c r="AD17" s="3" t="str">
        <f t="shared" si="10"/>
        <v/>
      </c>
      <c r="AE17" s="3" t="str">
        <f t="shared" si="10"/>
        <v/>
      </c>
      <c r="AF17" s="3" t="str">
        <f t="shared" si="10"/>
        <v/>
      </c>
      <c r="AG17" s="3" t="str">
        <f t="shared" si="10"/>
        <v/>
      </c>
      <c r="AH17" s="3" t="str">
        <f t="shared" si="10"/>
        <v/>
      </c>
      <c r="AI17" s="3" t="str">
        <f t="shared" si="10"/>
        <v/>
      </c>
      <c r="AJ17" s="3" t="str">
        <f t="shared" si="10"/>
        <v/>
      </c>
      <c r="AK17" s="3" t="str">
        <f t="shared" si="10"/>
        <v/>
      </c>
      <c r="AL17" s="3" t="str">
        <f t="shared" si="10"/>
        <v/>
      </c>
      <c r="AM17" s="3" t="str">
        <f t="shared" si="11"/>
        <v/>
      </c>
      <c r="AN17" s="3" t="str">
        <f t="shared" si="11"/>
        <v/>
      </c>
      <c r="AO17" s="3" t="str">
        <f t="shared" si="11"/>
        <v/>
      </c>
      <c r="AP17" s="3" t="str">
        <f t="shared" si="11"/>
        <v/>
      </c>
      <c r="AQ17" s="3" t="str">
        <f t="shared" si="11"/>
        <v/>
      </c>
      <c r="AR17" s="3" t="str">
        <f t="shared" si="11"/>
        <v/>
      </c>
      <c r="AS17" s="3" t="str">
        <f t="shared" si="11"/>
        <v/>
      </c>
      <c r="AT17" s="3" t="str">
        <f t="shared" si="11"/>
        <v/>
      </c>
      <c r="AU17" s="3" t="str">
        <f t="shared" si="11"/>
        <v/>
      </c>
      <c r="AV17" s="3" t="str">
        <f t="shared" si="11"/>
        <v/>
      </c>
      <c r="AW17" s="3" t="str">
        <f t="shared" si="12"/>
        <v/>
      </c>
      <c r="AX17" s="3" t="str">
        <f t="shared" si="12"/>
        <v/>
      </c>
      <c r="AY17" s="3" t="str">
        <f t="shared" si="12"/>
        <v/>
      </c>
      <c r="AZ17" s="3" t="str">
        <f t="shared" si="12"/>
        <v/>
      </c>
      <c r="BA17" s="3">
        <f t="shared" si="12"/>
        <v>1</v>
      </c>
      <c r="BB17" s="3">
        <f t="shared" si="12"/>
        <v>1</v>
      </c>
      <c r="BC17" s="3">
        <f t="shared" si="12"/>
        <v>1</v>
      </c>
      <c r="BD17" s="3">
        <f t="shared" si="12"/>
        <v>1</v>
      </c>
      <c r="BE17" s="3">
        <f t="shared" si="12"/>
        <v>1</v>
      </c>
      <c r="BF17" s="3" t="str">
        <f t="shared" si="12"/>
        <v/>
      </c>
      <c r="BG17" s="3" t="str">
        <f t="shared" si="13"/>
        <v/>
      </c>
      <c r="BH17" s="3" t="str">
        <f t="shared" si="13"/>
        <v/>
      </c>
      <c r="BI17" s="3" t="str">
        <f t="shared" si="13"/>
        <v/>
      </c>
      <c r="BJ17" s="3" t="str">
        <f t="shared" si="13"/>
        <v/>
      </c>
      <c r="BK17" s="3" t="str">
        <f t="shared" si="13"/>
        <v/>
      </c>
      <c r="BL17" s="3" t="str">
        <f t="shared" si="13"/>
        <v/>
      </c>
      <c r="BM17" s="3" t="str">
        <f t="shared" si="13"/>
        <v/>
      </c>
      <c r="BN17" s="3" t="str">
        <f t="shared" si="13"/>
        <v/>
      </c>
      <c r="BO17" s="3" t="str">
        <f t="shared" si="13"/>
        <v/>
      </c>
      <c r="BP17" s="3" t="str">
        <f t="shared" si="13"/>
        <v/>
      </c>
      <c r="BQ17" s="3" t="str">
        <f t="shared" si="14"/>
        <v/>
      </c>
      <c r="BR17" s="3" t="str">
        <f t="shared" si="14"/>
        <v/>
      </c>
      <c r="BS17" s="3" t="str">
        <f t="shared" si="14"/>
        <v/>
      </c>
      <c r="BT17" s="3" t="str">
        <f t="shared" si="14"/>
        <v/>
      </c>
      <c r="BU17" s="3" t="str">
        <f t="shared" si="14"/>
        <v/>
      </c>
      <c r="BV17" s="3" t="str">
        <f t="shared" si="14"/>
        <v/>
      </c>
      <c r="BW17" s="3" t="str">
        <f t="shared" si="14"/>
        <v/>
      </c>
      <c r="BX17" s="3" t="str">
        <f t="shared" si="14"/>
        <v/>
      </c>
      <c r="BY17" s="3" t="str">
        <f t="shared" si="14"/>
        <v/>
      </c>
      <c r="BZ17" s="3" t="str">
        <f t="shared" si="14"/>
        <v/>
      </c>
      <c r="CB17" cm="1">
        <f t="array" ref="CB17">IF(Tasks!C17="","",SUMPRODUCT((Tasks!$E$4:$E$43&lt;Tasks!E17)*(Tasks!$C$4:$C$43&lt;&gt;""))+SUMPRODUCT((Tasks!$E$4:$E$43=Tasks!E17)*(Tasks!$A$4:$A$43&lt;Tasks!A17)*(Tasks!$C$4:$C$43&lt;&gt;""))+1)</f>
        <v>14</v>
      </c>
      <c r="CC17">
        <f t="shared" si="7"/>
        <v>14</v>
      </c>
    </row>
    <row r="18" spans="1:81" ht="16" customHeight="1" x14ac:dyDescent="0.2">
      <c r="A18" s="11" cm="1">
        <f t="array" ref="A18">IF($CC18="","",INDEX(Tasks!A$4:A$43,$CC18))</f>
        <v>15</v>
      </c>
      <c r="B18" s="13" t="str" cm="1">
        <f t="array" ref="B18">IF($CC18="","",INDEX(Tasks!B$4:B$43,$CC18))</f>
        <v>Testing</v>
      </c>
      <c r="C18" s="12" t="str" cm="1">
        <f t="array" ref="C18">IF($CC18="","",INDEX(Tasks!C$4:C$43,$CC18))</f>
        <v>Performance benchmarks</v>
      </c>
      <c r="D18" s="20" t="str" cm="1">
        <f t="array" ref="D18">IF($CC18="","",INDEX(Tasks!D$4:D$43,$CC18))</f>
        <v>Jane</v>
      </c>
      <c r="E18" s="25" cm="1">
        <f t="array" ref="E18">IF($CC18="","",INDEX(Tasks!E$4:E$43,$CC18))</f>
        <v>45856</v>
      </c>
      <c r="F18" s="20" cm="1">
        <f t="array" ref="F18">IF($CC18="","",INDEX(Tasks!F$4:F$43,$CC18))</f>
        <v>5</v>
      </c>
      <c r="G18" s="25" cm="1">
        <f t="array" ref="G18">IF($CC18="","",INDEX(Tasks!G$4:G$43,$CC18))</f>
        <v>45860</v>
      </c>
      <c r="H18" s="21" cm="1">
        <f t="array" ref="H18">IF($CC18="","",INDEX(Tasks!H$4:H$43,$CC18))</f>
        <v>0</v>
      </c>
      <c r="I18" s="3" t="str">
        <f t="shared" si="8"/>
        <v/>
      </c>
      <c r="J18" s="3" t="str">
        <f t="shared" si="8"/>
        <v/>
      </c>
      <c r="K18" s="3" t="str">
        <f t="shared" si="8"/>
        <v/>
      </c>
      <c r="L18" s="3" t="str">
        <f t="shared" si="8"/>
        <v/>
      </c>
      <c r="M18" s="3" t="str">
        <f t="shared" si="8"/>
        <v/>
      </c>
      <c r="N18" s="3" t="str">
        <f t="shared" si="8"/>
        <v/>
      </c>
      <c r="O18" s="3" t="str">
        <f t="shared" si="8"/>
        <v/>
      </c>
      <c r="P18" s="3" t="str">
        <f t="shared" si="8"/>
        <v/>
      </c>
      <c r="Q18" s="3" t="str">
        <f t="shared" si="8"/>
        <v/>
      </c>
      <c r="R18" s="3" t="str">
        <f t="shared" si="8"/>
        <v/>
      </c>
      <c r="S18" s="3" t="str">
        <f t="shared" si="9"/>
        <v/>
      </c>
      <c r="T18" s="3" t="str">
        <f t="shared" si="9"/>
        <v/>
      </c>
      <c r="U18" s="3" t="str">
        <f t="shared" si="9"/>
        <v/>
      </c>
      <c r="V18" s="3" t="str">
        <f t="shared" si="9"/>
        <v/>
      </c>
      <c r="W18" s="3" t="str">
        <f t="shared" si="9"/>
        <v/>
      </c>
      <c r="X18" s="3" t="str">
        <f t="shared" si="9"/>
        <v/>
      </c>
      <c r="Y18" s="3" t="str">
        <f t="shared" si="9"/>
        <v/>
      </c>
      <c r="Z18" s="3" t="str">
        <f t="shared" si="9"/>
        <v/>
      </c>
      <c r="AA18" s="3" t="str">
        <f t="shared" si="9"/>
        <v/>
      </c>
      <c r="AB18" s="3" t="str">
        <f t="shared" si="9"/>
        <v/>
      </c>
      <c r="AC18" s="3" t="str">
        <f t="shared" si="10"/>
        <v/>
      </c>
      <c r="AD18" s="3" t="str">
        <f t="shared" si="10"/>
        <v/>
      </c>
      <c r="AE18" s="3" t="str">
        <f t="shared" si="10"/>
        <v/>
      </c>
      <c r="AF18" s="3" t="str">
        <f t="shared" si="10"/>
        <v/>
      </c>
      <c r="AG18" s="3" t="str">
        <f t="shared" si="10"/>
        <v/>
      </c>
      <c r="AH18" s="3" t="str">
        <f t="shared" si="10"/>
        <v/>
      </c>
      <c r="AI18" s="3" t="str">
        <f t="shared" si="10"/>
        <v/>
      </c>
      <c r="AJ18" s="3" t="str">
        <f t="shared" si="10"/>
        <v/>
      </c>
      <c r="AK18" s="3" t="str">
        <f t="shared" si="10"/>
        <v/>
      </c>
      <c r="AL18" s="3" t="str">
        <f t="shared" si="10"/>
        <v/>
      </c>
      <c r="AM18" s="3" t="str">
        <f t="shared" si="11"/>
        <v/>
      </c>
      <c r="AN18" s="3" t="str">
        <f t="shared" si="11"/>
        <v/>
      </c>
      <c r="AO18" s="3" t="str">
        <f t="shared" si="11"/>
        <v/>
      </c>
      <c r="AP18" s="3" t="str">
        <f t="shared" si="11"/>
        <v/>
      </c>
      <c r="AQ18" s="3" t="str">
        <f t="shared" si="11"/>
        <v/>
      </c>
      <c r="AR18" s="3" t="str">
        <f t="shared" si="11"/>
        <v/>
      </c>
      <c r="AS18" s="3" t="str">
        <f t="shared" si="11"/>
        <v/>
      </c>
      <c r="AT18" s="3" t="str">
        <f t="shared" si="11"/>
        <v/>
      </c>
      <c r="AU18" s="3" t="str">
        <f t="shared" si="11"/>
        <v/>
      </c>
      <c r="AV18" s="3" t="str">
        <f t="shared" si="11"/>
        <v/>
      </c>
      <c r="AW18" s="3" t="str">
        <f t="shared" si="12"/>
        <v/>
      </c>
      <c r="AX18" s="3" t="str">
        <f t="shared" si="12"/>
        <v/>
      </c>
      <c r="AY18" s="3" t="str">
        <f t="shared" si="12"/>
        <v/>
      </c>
      <c r="AZ18" s="3" t="str">
        <f t="shared" si="12"/>
        <v/>
      </c>
      <c r="BA18" s="3" t="str">
        <f t="shared" si="12"/>
        <v/>
      </c>
      <c r="BB18" s="3" t="str">
        <f t="shared" si="12"/>
        <v/>
      </c>
      <c r="BC18" s="3">
        <f t="shared" si="12"/>
        <v>1</v>
      </c>
      <c r="BD18" s="3">
        <f t="shared" si="12"/>
        <v>1</v>
      </c>
      <c r="BE18" s="3">
        <f t="shared" si="12"/>
        <v>1</v>
      </c>
      <c r="BF18" s="3">
        <f t="shared" si="12"/>
        <v>1</v>
      </c>
      <c r="BG18" s="3">
        <f t="shared" si="13"/>
        <v>1</v>
      </c>
      <c r="BH18" s="3" t="str">
        <f t="shared" si="13"/>
        <v/>
      </c>
      <c r="BI18" s="3" t="str">
        <f t="shared" si="13"/>
        <v/>
      </c>
      <c r="BJ18" s="3" t="str">
        <f t="shared" si="13"/>
        <v/>
      </c>
      <c r="BK18" s="3" t="str">
        <f t="shared" si="13"/>
        <v/>
      </c>
      <c r="BL18" s="3" t="str">
        <f t="shared" si="13"/>
        <v/>
      </c>
      <c r="BM18" s="3" t="str">
        <f t="shared" si="13"/>
        <v/>
      </c>
      <c r="BN18" s="3" t="str">
        <f t="shared" si="13"/>
        <v/>
      </c>
      <c r="BO18" s="3" t="str">
        <f t="shared" si="13"/>
        <v/>
      </c>
      <c r="BP18" s="3" t="str">
        <f t="shared" si="13"/>
        <v/>
      </c>
      <c r="BQ18" s="3" t="str">
        <f t="shared" si="14"/>
        <v/>
      </c>
      <c r="BR18" s="3" t="str">
        <f t="shared" si="14"/>
        <v/>
      </c>
      <c r="BS18" s="3" t="str">
        <f t="shared" si="14"/>
        <v/>
      </c>
      <c r="BT18" s="3" t="str">
        <f t="shared" si="14"/>
        <v/>
      </c>
      <c r="BU18" s="3" t="str">
        <f t="shared" si="14"/>
        <v/>
      </c>
      <c r="BV18" s="3" t="str">
        <f t="shared" si="14"/>
        <v/>
      </c>
      <c r="BW18" s="3" t="str">
        <f t="shared" si="14"/>
        <v/>
      </c>
      <c r="BX18" s="3" t="str">
        <f t="shared" si="14"/>
        <v/>
      </c>
      <c r="BY18" s="3" t="str">
        <f t="shared" si="14"/>
        <v/>
      </c>
      <c r="BZ18" s="3" t="str">
        <f t="shared" si="14"/>
        <v/>
      </c>
      <c r="CB18" cm="1">
        <f t="array" ref="CB18">IF(Tasks!C18="","",SUMPRODUCT((Tasks!$E$4:$E$43&lt;Tasks!E18)*(Tasks!$C$4:$C$43&lt;&gt;""))+SUMPRODUCT((Tasks!$E$4:$E$43=Tasks!E18)*(Tasks!$A$4:$A$43&lt;Tasks!A18)*(Tasks!$C$4:$C$43&lt;&gt;""))+1)</f>
        <v>15</v>
      </c>
      <c r="CC18">
        <f t="shared" si="7"/>
        <v>15</v>
      </c>
    </row>
    <row r="19" spans="1:81" ht="16" customHeight="1" x14ac:dyDescent="0.2">
      <c r="A19" s="11" cm="1">
        <f t="array" ref="A19">IF($CC19="","",INDEX(Tasks!A$4:A$43,$CC19))</f>
        <v>16</v>
      </c>
      <c r="B19" s="13" t="str" cm="1">
        <f t="array" ref="B19">IF($CC19="","",INDEX(Tasks!B$4:B$43,$CC19))</f>
        <v>Testing</v>
      </c>
      <c r="C19" s="12" t="str" cm="1">
        <f t="array" ref="C19">IF($CC19="","",INDEX(Tasks!C$4:C$43,$CC19))</f>
        <v>Bug fixes</v>
      </c>
      <c r="D19" s="20" t="str" cm="1">
        <f t="array" ref="D19">IF($CC19="","",INDEX(Tasks!D$4:D$43,$CC19))</f>
        <v>John</v>
      </c>
      <c r="E19" s="25" cm="1">
        <f t="array" ref="E19">IF($CC19="","",INDEX(Tasks!E$4:E$43,$CC19))</f>
        <v>45858</v>
      </c>
      <c r="F19" s="20" cm="1">
        <f t="array" ref="F19">IF($CC19="","",INDEX(Tasks!F$4:F$43,$CC19))</f>
        <v>5</v>
      </c>
      <c r="G19" s="25" cm="1">
        <f t="array" ref="G19">IF($CC19="","",INDEX(Tasks!G$4:G$43,$CC19))</f>
        <v>45862</v>
      </c>
      <c r="H19" s="21" cm="1">
        <f t="array" ref="H19">IF($CC19="","",INDEX(Tasks!H$4:H$43,$CC19))</f>
        <v>0</v>
      </c>
      <c r="I19" s="3" t="str">
        <f t="shared" si="8"/>
        <v/>
      </c>
      <c r="J19" s="3" t="str">
        <f t="shared" si="8"/>
        <v/>
      </c>
      <c r="K19" s="3" t="str">
        <f t="shared" si="8"/>
        <v/>
      </c>
      <c r="L19" s="3" t="str">
        <f t="shared" si="8"/>
        <v/>
      </c>
      <c r="M19" s="3" t="str">
        <f t="shared" si="8"/>
        <v/>
      </c>
      <c r="N19" s="3" t="str">
        <f t="shared" si="8"/>
        <v/>
      </c>
      <c r="O19" s="3" t="str">
        <f t="shared" si="8"/>
        <v/>
      </c>
      <c r="P19" s="3" t="str">
        <f t="shared" si="8"/>
        <v/>
      </c>
      <c r="Q19" s="3" t="str">
        <f t="shared" si="8"/>
        <v/>
      </c>
      <c r="R19" s="3" t="str">
        <f t="shared" si="8"/>
        <v/>
      </c>
      <c r="S19" s="3" t="str">
        <f t="shared" si="9"/>
        <v/>
      </c>
      <c r="T19" s="3" t="str">
        <f t="shared" si="9"/>
        <v/>
      </c>
      <c r="U19" s="3" t="str">
        <f t="shared" si="9"/>
        <v/>
      </c>
      <c r="V19" s="3" t="str">
        <f t="shared" si="9"/>
        <v/>
      </c>
      <c r="W19" s="3" t="str">
        <f t="shared" si="9"/>
        <v/>
      </c>
      <c r="X19" s="3" t="str">
        <f t="shared" si="9"/>
        <v/>
      </c>
      <c r="Y19" s="3" t="str">
        <f t="shared" si="9"/>
        <v/>
      </c>
      <c r="Z19" s="3" t="str">
        <f t="shared" si="9"/>
        <v/>
      </c>
      <c r="AA19" s="3" t="str">
        <f t="shared" si="9"/>
        <v/>
      </c>
      <c r="AB19" s="3" t="str">
        <f t="shared" si="9"/>
        <v/>
      </c>
      <c r="AC19" s="3" t="str">
        <f t="shared" si="10"/>
        <v/>
      </c>
      <c r="AD19" s="3" t="str">
        <f t="shared" si="10"/>
        <v/>
      </c>
      <c r="AE19" s="3" t="str">
        <f t="shared" si="10"/>
        <v/>
      </c>
      <c r="AF19" s="3" t="str">
        <f t="shared" si="10"/>
        <v/>
      </c>
      <c r="AG19" s="3" t="str">
        <f t="shared" si="10"/>
        <v/>
      </c>
      <c r="AH19" s="3" t="str">
        <f t="shared" si="10"/>
        <v/>
      </c>
      <c r="AI19" s="3" t="str">
        <f t="shared" si="10"/>
        <v/>
      </c>
      <c r="AJ19" s="3" t="str">
        <f t="shared" si="10"/>
        <v/>
      </c>
      <c r="AK19" s="3" t="str">
        <f t="shared" si="10"/>
        <v/>
      </c>
      <c r="AL19" s="3" t="str">
        <f t="shared" si="10"/>
        <v/>
      </c>
      <c r="AM19" s="3" t="str">
        <f t="shared" si="11"/>
        <v/>
      </c>
      <c r="AN19" s="3" t="str">
        <f t="shared" si="11"/>
        <v/>
      </c>
      <c r="AO19" s="3" t="str">
        <f t="shared" si="11"/>
        <v/>
      </c>
      <c r="AP19" s="3" t="str">
        <f t="shared" si="11"/>
        <v/>
      </c>
      <c r="AQ19" s="3" t="str">
        <f t="shared" si="11"/>
        <v/>
      </c>
      <c r="AR19" s="3" t="str">
        <f t="shared" si="11"/>
        <v/>
      </c>
      <c r="AS19" s="3" t="str">
        <f t="shared" si="11"/>
        <v/>
      </c>
      <c r="AT19" s="3" t="str">
        <f t="shared" si="11"/>
        <v/>
      </c>
      <c r="AU19" s="3" t="str">
        <f t="shared" si="11"/>
        <v/>
      </c>
      <c r="AV19" s="3" t="str">
        <f t="shared" si="11"/>
        <v/>
      </c>
      <c r="AW19" s="3" t="str">
        <f t="shared" si="12"/>
        <v/>
      </c>
      <c r="AX19" s="3" t="str">
        <f t="shared" si="12"/>
        <v/>
      </c>
      <c r="AY19" s="3" t="str">
        <f t="shared" si="12"/>
        <v/>
      </c>
      <c r="AZ19" s="3" t="str">
        <f t="shared" si="12"/>
        <v/>
      </c>
      <c r="BA19" s="3" t="str">
        <f t="shared" si="12"/>
        <v/>
      </c>
      <c r="BB19" s="3" t="str">
        <f t="shared" si="12"/>
        <v/>
      </c>
      <c r="BC19" s="3" t="str">
        <f t="shared" si="12"/>
        <v/>
      </c>
      <c r="BD19" s="3" t="str">
        <f t="shared" si="12"/>
        <v/>
      </c>
      <c r="BE19" s="3">
        <f t="shared" si="12"/>
        <v>1</v>
      </c>
      <c r="BF19" s="3">
        <f t="shared" si="12"/>
        <v>1</v>
      </c>
      <c r="BG19" s="3">
        <f t="shared" si="13"/>
        <v>1</v>
      </c>
      <c r="BH19" s="3">
        <f t="shared" si="13"/>
        <v>1</v>
      </c>
      <c r="BI19" s="3">
        <f t="shared" si="13"/>
        <v>1</v>
      </c>
      <c r="BJ19" s="3" t="str">
        <f t="shared" si="13"/>
        <v/>
      </c>
      <c r="BK19" s="3" t="str">
        <f t="shared" si="13"/>
        <v/>
      </c>
      <c r="BL19" s="3" t="str">
        <f t="shared" si="13"/>
        <v/>
      </c>
      <c r="BM19" s="3" t="str">
        <f t="shared" si="13"/>
        <v/>
      </c>
      <c r="BN19" s="3" t="str">
        <f t="shared" si="13"/>
        <v/>
      </c>
      <c r="BO19" s="3" t="str">
        <f t="shared" si="13"/>
        <v/>
      </c>
      <c r="BP19" s="3" t="str">
        <f t="shared" si="13"/>
        <v/>
      </c>
      <c r="BQ19" s="3" t="str">
        <f t="shared" si="14"/>
        <v/>
      </c>
      <c r="BR19" s="3" t="str">
        <f t="shared" si="14"/>
        <v/>
      </c>
      <c r="BS19" s="3" t="str">
        <f t="shared" si="14"/>
        <v/>
      </c>
      <c r="BT19" s="3" t="str">
        <f t="shared" si="14"/>
        <v/>
      </c>
      <c r="BU19" s="3" t="str">
        <f t="shared" si="14"/>
        <v/>
      </c>
      <c r="BV19" s="3" t="str">
        <f t="shared" si="14"/>
        <v/>
      </c>
      <c r="BW19" s="3" t="str">
        <f t="shared" si="14"/>
        <v/>
      </c>
      <c r="BX19" s="3" t="str">
        <f t="shared" si="14"/>
        <v/>
      </c>
      <c r="BY19" s="3" t="str">
        <f t="shared" si="14"/>
        <v/>
      </c>
      <c r="BZ19" s="3" t="str">
        <f t="shared" si="14"/>
        <v/>
      </c>
      <c r="CB19" cm="1">
        <f t="array" ref="CB19">IF(Tasks!C19="","",SUMPRODUCT((Tasks!$E$4:$E$43&lt;Tasks!E19)*(Tasks!$C$4:$C$43&lt;&gt;""))+SUMPRODUCT((Tasks!$E$4:$E$43=Tasks!E19)*(Tasks!$A$4:$A$43&lt;Tasks!A19)*(Tasks!$C$4:$C$43&lt;&gt;""))+1)</f>
        <v>16</v>
      </c>
      <c r="CC19">
        <f t="shared" si="7"/>
        <v>16</v>
      </c>
    </row>
    <row r="20" spans="1:81" ht="16" customHeight="1" x14ac:dyDescent="0.2">
      <c r="A20" s="11" cm="1">
        <f t="array" ref="A20">IF($CC20="","",INDEX(Tasks!A$4:A$43,$CC20))</f>
        <v>17</v>
      </c>
      <c r="B20" s="13" t="str" cm="1">
        <f t="array" ref="B20">IF($CC20="","",INDEX(Tasks!B$4:B$43,$CC20))</f>
        <v>Launch</v>
      </c>
      <c r="C20" s="12" t="str" cm="1">
        <f t="array" ref="C20">IF($CC20="","",INDEX(Tasks!C$4:C$43,$CC20))</f>
        <v>Docs &amp; changelog</v>
      </c>
      <c r="D20" s="20" t="str" cm="1">
        <f t="array" ref="D20">IF($CC20="","",INDEX(Tasks!D$4:D$43,$CC20))</f>
        <v>John</v>
      </c>
      <c r="E20" s="25" cm="1">
        <f t="array" ref="E20">IF($CC20="","",INDEX(Tasks!E$4:E$43,$CC20))</f>
        <v>45864</v>
      </c>
      <c r="F20" s="20" cm="1">
        <f t="array" ref="F20">IF($CC20="","",INDEX(Tasks!F$4:F$43,$CC20))</f>
        <v>4</v>
      </c>
      <c r="G20" s="25" cm="1">
        <f t="array" ref="G20">IF($CC20="","",INDEX(Tasks!G$4:G$43,$CC20))</f>
        <v>45867</v>
      </c>
      <c r="H20" s="21" cm="1">
        <f t="array" ref="H20">IF($CC20="","",INDEX(Tasks!H$4:H$43,$CC20))</f>
        <v>0</v>
      </c>
      <c r="I20" s="3" t="str">
        <f t="shared" si="8"/>
        <v/>
      </c>
      <c r="J20" s="3" t="str">
        <f t="shared" si="8"/>
        <v/>
      </c>
      <c r="K20" s="3" t="str">
        <f t="shared" si="8"/>
        <v/>
      </c>
      <c r="L20" s="3" t="str">
        <f t="shared" si="8"/>
        <v/>
      </c>
      <c r="M20" s="3" t="str">
        <f t="shared" si="8"/>
        <v/>
      </c>
      <c r="N20" s="3" t="str">
        <f t="shared" si="8"/>
        <v/>
      </c>
      <c r="O20" s="3" t="str">
        <f t="shared" si="8"/>
        <v/>
      </c>
      <c r="P20" s="3" t="str">
        <f t="shared" si="8"/>
        <v/>
      </c>
      <c r="Q20" s="3" t="str">
        <f t="shared" si="8"/>
        <v/>
      </c>
      <c r="R20" s="3" t="str">
        <f t="shared" si="8"/>
        <v/>
      </c>
      <c r="S20" s="3" t="str">
        <f t="shared" si="9"/>
        <v/>
      </c>
      <c r="T20" s="3" t="str">
        <f t="shared" si="9"/>
        <v/>
      </c>
      <c r="U20" s="3" t="str">
        <f t="shared" si="9"/>
        <v/>
      </c>
      <c r="V20" s="3" t="str">
        <f t="shared" si="9"/>
        <v/>
      </c>
      <c r="W20" s="3" t="str">
        <f t="shared" si="9"/>
        <v/>
      </c>
      <c r="X20" s="3" t="str">
        <f t="shared" si="9"/>
        <v/>
      </c>
      <c r="Y20" s="3" t="str">
        <f t="shared" si="9"/>
        <v/>
      </c>
      <c r="Z20" s="3" t="str">
        <f t="shared" si="9"/>
        <v/>
      </c>
      <c r="AA20" s="3" t="str">
        <f t="shared" si="9"/>
        <v/>
      </c>
      <c r="AB20" s="3" t="str">
        <f t="shared" si="9"/>
        <v/>
      </c>
      <c r="AC20" s="3" t="str">
        <f t="shared" si="10"/>
        <v/>
      </c>
      <c r="AD20" s="3" t="str">
        <f t="shared" si="10"/>
        <v/>
      </c>
      <c r="AE20" s="3" t="str">
        <f t="shared" si="10"/>
        <v/>
      </c>
      <c r="AF20" s="3" t="str">
        <f t="shared" si="10"/>
        <v/>
      </c>
      <c r="AG20" s="3" t="str">
        <f t="shared" si="10"/>
        <v/>
      </c>
      <c r="AH20" s="3" t="str">
        <f t="shared" si="10"/>
        <v/>
      </c>
      <c r="AI20" s="3" t="str">
        <f t="shared" si="10"/>
        <v/>
      </c>
      <c r="AJ20" s="3" t="str">
        <f t="shared" si="10"/>
        <v/>
      </c>
      <c r="AK20" s="3" t="str">
        <f t="shared" si="10"/>
        <v/>
      </c>
      <c r="AL20" s="3" t="str">
        <f t="shared" si="10"/>
        <v/>
      </c>
      <c r="AM20" s="3" t="str">
        <f t="shared" si="11"/>
        <v/>
      </c>
      <c r="AN20" s="3" t="str">
        <f t="shared" si="11"/>
        <v/>
      </c>
      <c r="AO20" s="3" t="str">
        <f t="shared" si="11"/>
        <v/>
      </c>
      <c r="AP20" s="3" t="str">
        <f t="shared" si="11"/>
        <v/>
      </c>
      <c r="AQ20" s="3" t="str">
        <f t="shared" si="11"/>
        <v/>
      </c>
      <c r="AR20" s="3" t="str">
        <f t="shared" si="11"/>
        <v/>
      </c>
      <c r="AS20" s="3" t="str">
        <f t="shared" si="11"/>
        <v/>
      </c>
      <c r="AT20" s="3" t="str">
        <f t="shared" si="11"/>
        <v/>
      </c>
      <c r="AU20" s="3" t="str">
        <f t="shared" si="11"/>
        <v/>
      </c>
      <c r="AV20" s="3" t="str">
        <f t="shared" si="11"/>
        <v/>
      </c>
      <c r="AW20" s="3" t="str">
        <f t="shared" si="12"/>
        <v/>
      </c>
      <c r="AX20" s="3" t="str">
        <f t="shared" si="12"/>
        <v/>
      </c>
      <c r="AY20" s="3" t="str">
        <f t="shared" si="12"/>
        <v/>
      </c>
      <c r="AZ20" s="3" t="str">
        <f t="shared" si="12"/>
        <v/>
      </c>
      <c r="BA20" s="3" t="str">
        <f t="shared" si="12"/>
        <v/>
      </c>
      <c r="BB20" s="3" t="str">
        <f t="shared" si="12"/>
        <v/>
      </c>
      <c r="BC20" s="3" t="str">
        <f t="shared" si="12"/>
        <v/>
      </c>
      <c r="BD20" s="3" t="str">
        <f t="shared" si="12"/>
        <v/>
      </c>
      <c r="BE20" s="3" t="str">
        <f t="shared" si="12"/>
        <v/>
      </c>
      <c r="BF20" s="3" t="str">
        <f t="shared" si="12"/>
        <v/>
      </c>
      <c r="BG20" s="3" t="str">
        <f t="shared" si="13"/>
        <v/>
      </c>
      <c r="BH20" s="3" t="str">
        <f t="shared" si="13"/>
        <v/>
      </c>
      <c r="BI20" s="3" t="str">
        <f t="shared" si="13"/>
        <v/>
      </c>
      <c r="BJ20" s="3" t="str">
        <f t="shared" si="13"/>
        <v/>
      </c>
      <c r="BK20" s="3">
        <f t="shared" si="13"/>
        <v>1</v>
      </c>
      <c r="BL20" s="3">
        <f t="shared" si="13"/>
        <v>1</v>
      </c>
      <c r="BM20" s="3">
        <f t="shared" si="13"/>
        <v>1</v>
      </c>
      <c r="BN20" s="3">
        <f t="shared" si="13"/>
        <v>1</v>
      </c>
      <c r="BO20" s="3" t="str">
        <f t="shared" si="13"/>
        <v/>
      </c>
      <c r="BP20" s="3" t="str">
        <f t="shared" si="13"/>
        <v/>
      </c>
      <c r="BQ20" s="3" t="str">
        <f t="shared" si="14"/>
        <v/>
      </c>
      <c r="BR20" s="3" t="str">
        <f t="shared" si="14"/>
        <v/>
      </c>
      <c r="BS20" s="3" t="str">
        <f t="shared" si="14"/>
        <v/>
      </c>
      <c r="BT20" s="3" t="str">
        <f t="shared" si="14"/>
        <v/>
      </c>
      <c r="BU20" s="3" t="str">
        <f t="shared" si="14"/>
        <v/>
      </c>
      <c r="BV20" s="3" t="str">
        <f t="shared" si="14"/>
        <v/>
      </c>
      <c r="BW20" s="3" t="str">
        <f t="shared" si="14"/>
        <v/>
      </c>
      <c r="BX20" s="3" t="str">
        <f t="shared" si="14"/>
        <v/>
      </c>
      <c r="BY20" s="3" t="str">
        <f t="shared" si="14"/>
        <v/>
      </c>
      <c r="BZ20" s="3" t="str">
        <f t="shared" si="14"/>
        <v/>
      </c>
      <c r="CB20" cm="1">
        <f t="array" ref="CB20">IF(Tasks!C20="","",SUMPRODUCT((Tasks!$E$4:$E$43&lt;Tasks!E20)*(Tasks!$C$4:$C$43&lt;&gt;""))+SUMPRODUCT((Tasks!$E$4:$E$43=Tasks!E20)*(Tasks!$A$4:$A$43&lt;Tasks!A20)*(Tasks!$C$4:$C$43&lt;&gt;""))+1)</f>
        <v>17</v>
      </c>
      <c r="CC20">
        <f t="shared" si="7"/>
        <v>17</v>
      </c>
    </row>
    <row r="21" spans="1:81" ht="16" customHeight="1" x14ac:dyDescent="0.2">
      <c r="A21" s="11" cm="1">
        <f t="array" ref="A21">IF($CC21="","",INDEX(Tasks!A$4:A$43,$CC21))</f>
        <v>18</v>
      </c>
      <c r="B21" s="13" t="str" cm="1">
        <f t="array" ref="B21">IF($CC21="","",INDEX(Tasks!B$4:B$43,$CC21))</f>
        <v>Launch</v>
      </c>
      <c r="C21" s="12" t="str" cm="1">
        <f t="array" ref="C21">IF($CC21="","",INDEX(Tasks!C$4:C$43,$CC21))</f>
        <v>Beta release</v>
      </c>
      <c r="D21" s="20" t="str" cm="1">
        <f t="array" ref="D21">IF($CC21="","",INDEX(Tasks!D$4:D$43,$CC21))</f>
        <v>Jane</v>
      </c>
      <c r="E21" s="25" cm="1">
        <f t="array" ref="E21">IF($CC21="","",INDEX(Tasks!E$4:E$43,$CC21))</f>
        <v>45867</v>
      </c>
      <c r="F21" s="20" cm="1">
        <f t="array" ref="F21">IF($CC21="","",INDEX(Tasks!F$4:F$43,$CC21))</f>
        <v>3</v>
      </c>
      <c r="G21" s="25" cm="1">
        <f t="array" ref="G21">IF($CC21="","",INDEX(Tasks!G$4:G$43,$CC21))</f>
        <v>45869</v>
      </c>
      <c r="H21" s="21" cm="1">
        <f t="array" ref="H21">IF($CC21="","",INDEX(Tasks!H$4:H$43,$CC21))</f>
        <v>0</v>
      </c>
      <c r="I21" s="3" t="str">
        <f t="shared" si="8"/>
        <v/>
      </c>
      <c r="J21" s="3" t="str">
        <f t="shared" si="8"/>
        <v/>
      </c>
      <c r="K21" s="3" t="str">
        <f t="shared" si="8"/>
        <v/>
      </c>
      <c r="L21" s="3" t="str">
        <f t="shared" si="8"/>
        <v/>
      </c>
      <c r="M21" s="3" t="str">
        <f t="shared" si="8"/>
        <v/>
      </c>
      <c r="N21" s="3" t="str">
        <f t="shared" si="8"/>
        <v/>
      </c>
      <c r="O21" s="3" t="str">
        <f t="shared" si="8"/>
        <v/>
      </c>
      <c r="P21" s="3" t="str">
        <f t="shared" si="8"/>
        <v/>
      </c>
      <c r="Q21" s="3" t="str">
        <f t="shared" si="8"/>
        <v/>
      </c>
      <c r="R21" s="3" t="str">
        <f t="shared" si="8"/>
        <v/>
      </c>
      <c r="S21" s="3" t="str">
        <f t="shared" si="9"/>
        <v/>
      </c>
      <c r="T21" s="3" t="str">
        <f t="shared" si="9"/>
        <v/>
      </c>
      <c r="U21" s="3" t="str">
        <f t="shared" si="9"/>
        <v/>
      </c>
      <c r="V21" s="3" t="str">
        <f t="shared" si="9"/>
        <v/>
      </c>
      <c r="W21" s="3" t="str">
        <f t="shared" si="9"/>
        <v/>
      </c>
      <c r="X21" s="3" t="str">
        <f t="shared" si="9"/>
        <v/>
      </c>
      <c r="Y21" s="3" t="str">
        <f t="shared" si="9"/>
        <v/>
      </c>
      <c r="Z21" s="3" t="str">
        <f t="shared" si="9"/>
        <v/>
      </c>
      <c r="AA21" s="3" t="str">
        <f t="shared" si="9"/>
        <v/>
      </c>
      <c r="AB21" s="3" t="str">
        <f t="shared" si="9"/>
        <v/>
      </c>
      <c r="AC21" s="3" t="str">
        <f t="shared" si="10"/>
        <v/>
      </c>
      <c r="AD21" s="3" t="str">
        <f t="shared" si="10"/>
        <v/>
      </c>
      <c r="AE21" s="3" t="str">
        <f t="shared" si="10"/>
        <v/>
      </c>
      <c r="AF21" s="3" t="str">
        <f t="shared" si="10"/>
        <v/>
      </c>
      <c r="AG21" s="3" t="str">
        <f t="shared" si="10"/>
        <v/>
      </c>
      <c r="AH21" s="3" t="str">
        <f t="shared" si="10"/>
        <v/>
      </c>
      <c r="AI21" s="3" t="str">
        <f t="shared" si="10"/>
        <v/>
      </c>
      <c r="AJ21" s="3" t="str">
        <f t="shared" si="10"/>
        <v/>
      </c>
      <c r="AK21" s="3" t="str">
        <f t="shared" si="10"/>
        <v/>
      </c>
      <c r="AL21" s="3" t="str">
        <f t="shared" si="10"/>
        <v/>
      </c>
      <c r="AM21" s="3" t="str">
        <f t="shared" si="11"/>
        <v/>
      </c>
      <c r="AN21" s="3" t="str">
        <f t="shared" si="11"/>
        <v/>
      </c>
      <c r="AO21" s="3" t="str">
        <f t="shared" si="11"/>
        <v/>
      </c>
      <c r="AP21" s="3" t="str">
        <f t="shared" si="11"/>
        <v/>
      </c>
      <c r="AQ21" s="3" t="str">
        <f t="shared" si="11"/>
        <v/>
      </c>
      <c r="AR21" s="3" t="str">
        <f t="shared" si="11"/>
        <v/>
      </c>
      <c r="AS21" s="3" t="str">
        <f t="shared" si="11"/>
        <v/>
      </c>
      <c r="AT21" s="3" t="str">
        <f t="shared" si="11"/>
        <v/>
      </c>
      <c r="AU21" s="3" t="str">
        <f t="shared" si="11"/>
        <v/>
      </c>
      <c r="AV21" s="3" t="str">
        <f t="shared" si="11"/>
        <v/>
      </c>
      <c r="AW21" s="3" t="str">
        <f t="shared" si="12"/>
        <v/>
      </c>
      <c r="AX21" s="3" t="str">
        <f t="shared" si="12"/>
        <v/>
      </c>
      <c r="AY21" s="3" t="str">
        <f t="shared" si="12"/>
        <v/>
      </c>
      <c r="AZ21" s="3" t="str">
        <f t="shared" si="12"/>
        <v/>
      </c>
      <c r="BA21" s="3" t="str">
        <f t="shared" si="12"/>
        <v/>
      </c>
      <c r="BB21" s="3" t="str">
        <f t="shared" si="12"/>
        <v/>
      </c>
      <c r="BC21" s="3" t="str">
        <f t="shared" si="12"/>
        <v/>
      </c>
      <c r="BD21" s="3" t="str">
        <f t="shared" si="12"/>
        <v/>
      </c>
      <c r="BE21" s="3" t="str">
        <f t="shared" si="12"/>
        <v/>
      </c>
      <c r="BF21" s="3" t="str">
        <f t="shared" si="12"/>
        <v/>
      </c>
      <c r="BG21" s="3" t="str">
        <f t="shared" si="13"/>
        <v/>
      </c>
      <c r="BH21" s="3" t="str">
        <f t="shared" si="13"/>
        <v/>
      </c>
      <c r="BI21" s="3" t="str">
        <f t="shared" si="13"/>
        <v/>
      </c>
      <c r="BJ21" s="3" t="str">
        <f t="shared" si="13"/>
        <v/>
      </c>
      <c r="BK21" s="3" t="str">
        <f t="shared" si="13"/>
        <v/>
      </c>
      <c r="BL21" s="3" t="str">
        <f t="shared" si="13"/>
        <v/>
      </c>
      <c r="BM21" s="3" t="str">
        <f t="shared" si="13"/>
        <v/>
      </c>
      <c r="BN21" s="3">
        <f t="shared" si="13"/>
        <v>1</v>
      </c>
      <c r="BO21" s="3">
        <f t="shared" si="13"/>
        <v>1</v>
      </c>
      <c r="BP21" s="3">
        <f t="shared" si="13"/>
        <v>1</v>
      </c>
      <c r="BQ21" s="3" t="str">
        <f t="shared" si="14"/>
        <v/>
      </c>
      <c r="BR21" s="3" t="str">
        <f t="shared" si="14"/>
        <v/>
      </c>
      <c r="BS21" s="3" t="str">
        <f t="shared" si="14"/>
        <v/>
      </c>
      <c r="BT21" s="3" t="str">
        <f t="shared" si="14"/>
        <v/>
      </c>
      <c r="BU21" s="3" t="str">
        <f t="shared" si="14"/>
        <v/>
      </c>
      <c r="BV21" s="3" t="str">
        <f t="shared" si="14"/>
        <v/>
      </c>
      <c r="BW21" s="3" t="str">
        <f t="shared" si="14"/>
        <v/>
      </c>
      <c r="BX21" s="3" t="str">
        <f t="shared" si="14"/>
        <v/>
      </c>
      <c r="BY21" s="3" t="str">
        <f t="shared" si="14"/>
        <v/>
      </c>
      <c r="BZ21" s="3" t="str">
        <f t="shared" si="14"/>
        <v/>
      </c>
      <c r="CB21" cm="1">
        <f t="array" ref="CB21">IF(Tasks!C21="","",SUMPRODUCT((Tasks!$E$4:$E$43&lt;Tasks!E21)*(Tasks!$C$4:$C$43&lt;&gt;""))+SUMPRODUCT((Tasks!$E$4:$E$43=Tasks!E21)*(Tasks!$A$4:$A$43&lt;Tasks!A21)*(Tasks!$C$4:$C$43&lt;&gt;""))+1)</f>
        <v>18</v>
      </c>
      <c r="CC21">
        <f t="shared" si="7"/>
        <v>18</v>
      </c>
    </row>
    <row r="22" spans="1:81" ht="16" customHeight="1" x14ac:dyDescent="0.2">
      <c r="A22" s="11" cm="1">
        <f t="array" ref="A22">IF($CC22="","",INDEX(Tasks!A$4:A$43,$CC22))</f>
        <v>19</v>
      </c>
      <c r="B22" s="13" t="str" cm="1">
        <f t="array" ref="B22">IF($CC22="","",INDEX(Tasks!B$4:B$43,$CC22))</f>
        <v>Launch</v>
      </c>
      <c r="C22" s="12" t="str" cm="1">
        <f t="array" ref="C22">IF($CC22="","",INDEX(Tasks!C$4:C$43,$CC22))</f>
        <v>Marketing page</v>
      </c>
      <c r="D22" s="20" t="str" cm="1">
        <f t="array" ref="D22">IF($CC22="","",INDEX(Tasks!D$4:D$43,$CC22))</f>
        <v>Jane</v>
      </c>
      <c r="E22" s="25" cm="1">
        <f t="array" ref="E22">IF($CC22="","",INDEX(Tasks!E$4:E$43,$CC22))</f>
        <v>45868</v>
      </c>
      <c r="F22" s="20" cm="1">
        <f t="array" ref="F22">IF($CC22="","",INDEX(Tasks!F$4:F$43,$CC22))</f>
        <v>5</v>
      </c>
      <c r="G22" s="25" cm="1">
        <f t="array" ref="G22">IF($CC22="","",INDEX(Tasks!G$4:G$43,$CC22))</f>
        <v>45872</v>
      </c>
      <c r="H22" s="21" cm="1">
        <f t="array" ref="H22">IF($CC22="","",INDEX(Tasks!H$4:H$43,$CC22))</f>
        <v>0</v>
      </c>
      <c r="I22" s="3" t="str">
        <f t="shared" si="8"/>
        <v/>
      </c>
      <c r="J22" s="3" t="str">
        <f t="shared" si="8"/>
        <v/>
      </c>
      <c r="K22" s="3" t="str">
        <f t="shared" si="8"/>
        <v/>
      </c>
      <c r="L22" s="3" t="str">
        <f t="shared" si="8"/>
        <v/>
      </c>
      <c r="M22" s="3" t="str">
        <f t="shared" si="8"/>
        <v/>
      </c>
      <c r="N22" s="3" t="str">
        <f t="shared" si="8"/>
        <v/>
      </c>
      <c r="O22" s="3" t="str">
        <f t="shared" si="8"/>
        <v/>
      </c>
      <c r="P22" s="3" t="str">
        <f t="shared" si="8"/>
        <v/>
      </c>
      <c r="Q22" s="3" t="str">
        <f t="shared" si="8"/>
        <v/>
      </c>
      <c r="R22" s="3" t="str">
        <f t="shared" si="8"/>
        <v/>
      </c>
      <c r="S22" s="3" t="str">
        <f t="shared" si="9"/>
        <v/>
      </c>
      <c r="T22" s="3" t="str">
        <f t="shared" si="9"/>
        <v/>
      </c>
      <c r="U22" s="3" t="str">
        <f t="shared" si="9"/>
        <v/>
      </c>
      <c r="V22" s="3" t="str">
        <f t="shared" si="9"/>
        <v/>
      </c>
      <c r="W22" s="3" t="str">
        <f t="shared" si="9"/>
        <v/>
      </c>
      <c r="X22" s="3" t="str">
        <f t="shared" si="9"/>
        <v/>
      </c>
      <c r="Y22" s="3" t="str">
        <f t="shared" si="9"/>
        <v/>
      </c>
      <c r="Z22" s="3" t="str">
        <f t="shared" si="9"/>
        <v/>
      </c>
      <c r="AA22" s="3" t="str">
        <f t="shared" si="9"/>
        <v/>
      </c>
      <c r="AB22" s="3" t="str">
        <f t="shared" si="9"/>
        <v/>
      </c>
      <c r="AC22" s="3" t="str">
        <f t="shared" si="10"/>
        <v/>
      </c>
      <c r="AD22" s="3" t="str">
        <f t="shared" si="10"/>
        <v/>
      </c>
      <c r="AE22" s="3" t="str">
        <f t="shared" si="10"/>
        <v/>
      </c>
      <c r="AF22" s="3" t="str">
        <f t="shared" si="10"/>
        <v/>
      </c>
      <c r="AG22" s="3" t="str">
        <f t="shared" si="10"/>
        <v/>
      </c>
      <c r="AH22" s="3" t="str">
        <f t="shared" si="10"/>
        <v/>
      </c>
      <c r="AI22" s="3" t="str">
        <f t="shared" si="10"/>
        <v/>
      </c>
      <c r="AJ22" s="3" t="str">
        <f t="shared" si="10"/>
        <v/>
      </c>
      <c r="AK22" s="3" t="str">
        <f t="shared" si="10"/>
        <v/>
      </c>
      <c r="AL22" s="3" t="str">
        <f t="shared" si="10"/>
        <v/>
      </c>
      <c r="AM22" s="3" t="str">
        <f t="shared" si="11"/>
        <v/>
      </c>
      <c r="AN22" s="3" t="str">
        <f t="shared" si="11"/>
        <v/>
      </c>
      <c r="AO22" s="3" t="str">
        <f t="shared" si="11"/>
        <v/>
      </c>
      <c r="AP22" s="3" t="str">
        <f t="shared" si="11"/>
        <v/>
      </c>
      <c r="AQ22" s="3" t="str">
        <f t="shared" si="11"/>
        <v/>
      </c>
      <c r="AR22" s="3" t="str">
        <f t="shared" si="11"/>
        <v/>
      </c>
      <c r="AS22" s="3" t="str">
        <f t="shared" si="11"/>
        <v/>
      </c>
      <c r="AT22" s="3" t="str">
        <f t="shared" si="11"/>
        <v/>
      </c>
      <c r="AU22" s="3" t="str">
        <f t="shared" si="11"/>
        <v/>
      </c>
      <c r="AV22" s="3" t="str">
        <f t="shared" si="11"/>
        <v/>
      </c>
      <c r="AW22" s="3" t="str">
        <f t="shared" si="12"/>
        <v/>
      </c>
      <c r="AX22" s="3" t="str">
        <f t="shared" si="12"/>
        <v/>
      </c>
      <c r="AY22" s="3" t="str">
        <f t="shared" si="12"/>
        <v/>
      </c>
      <c r="AZ22" s="3" t="str">
        <f t="shared" si="12"/>
        <v/>
      </c>
      <c r="BA22" s="3" t="str">
        <f t="shared" si="12"/>
        <v/>
      </c>
      <c r="BB22" s="3" t="str">
        <f t="shared" si="12"/>
        <v/>
      </c>
      <c r="BC22" s="3" t="str">
        <f t="shared" si="12"/>
        <v/>
      </c>
      <c r="BD22" s="3" t="str">
        <f t="shared" si="12"/>
        <v/>
      </c>
      <c r="BE22" s="3" t="str">
        <f t="shared" si="12"/>
        <v/>
      </c>
      <c r="BF22" s="3" t="str">
        <f t="shared" si="12"/>
        <v/>
      </c>
      <c r="BG22" s="3" t="str">
        <f t="shared" si="13"/>
        <v/>
      </c>
      <c r="BH22" s="3" t="str">
        <f t="shared" si="13"/>
        <v/>
      </c>
      <c r="BI22" s="3" t="str">
        <f t="shared" si="13"/>
        <v/>
      </c>
      <c r="BJ22" s="3" t="str">
        <f t="shared" si="13"/>
        <v/>
      </c>
      <c r="BK22" s="3" t="str">
        <f t="shared" si="13"/>
        <v/>
      </c>
      <c r="BL22" s="3" t="str">
        <f t="shared" si="13"/>
        <v/>
      </c>
      <c r="BM22" s="3" t="str">
        <f t="shared" si="13"/>
        <v/>
      </c>
      <c r="BN22" s="3" t="str">
        <f t="shared" si="13"/>
        <v/>
      </c>
      <c r="BO22" s="3">
        <f t="shared" si="13"/>
        <v>1</v>
      </c>
      <c r="BP22" s="3">
        <f t="shared" si="13"/>
        <v>1</v>
      </c>
      <c r="BQ22" s="3">
        <f t="shared" si="14"/>
        <v>1</v>
      </c>
      <c r="BR22" s="3">
        <f t="shared" si="14"/>
        <v>1</v>
      </c>
      <c r="BS22" s="3">
        <f t="shared" si="14"/>
        <v>1</v>
      </c>
      <c r="BT22" s="3" t="str">
        <f t="shared" si="14"/>
        <v/>
      </c>
      <c r="BU22" s="3" t="str">
        <f t="shared" si="14"/>
        <v/>
      </c>
      <c r="BV22" s="3" t="str">
        <f t="shared" si="14"/>
        <v/>
      </c>
      <c r="BW22" s="3" t="str">
        <f t="shared" si="14"/>
        <v/>
      </c>
      <c r="BX22" s="3" t="str">
        <f t="shared" si="14"/>
        <v/>
      </c>
      <c r="BY22" s="3" t="str">
        <f t="shared" si="14"/>
        <v/>
      </c>
      <c r="BZ22" s="3" t="str">
        <f t="shared" si="14"/>
        <v/>
      </c>
      <c r="CB22" cm="1">
        <f t="array" ref="CB22">IF(Tasks!C22="","",SUMPRODUCT((Tasks!$E$4:$E$43&lt;Tasks!E22)*(Tasks!$C$4:$C$43&lt;&gt;""))+SUMPRODUCT((Tasks!$E$4:$E$43=Tasks!E22)*(Tasks!$A$4:$A$43&lt;Tasks!A22)*(Tasks!$C$4:$C$43&lt;&gt;""))+1)</f>
        <v>19</v>
      </c>
      <c r="CC22">
        <f t="shared" si="7"/>
        <v>19</v>
      </c>
    </row>
    <row r="23" spans="1:81" ht="16" customHeight="1" x14ac:dyDescent="0.2">
      <c r="A23" s="11" cm="1">
        <f t="array" ref="A23">IF($CC23="","",INDEX(Tasks!A$4:A$43,$CC23))</f>
        <v>20</v>
      </c>
      <c r="B23" s="13" t="str" cm="1">
        <f t="array" ref="B23">IF($CC23="","",INDEX(Tasks!B$4:B$43,$CC23))</f>
        <v>Launch</v>
      </c>
      <c r="C23" s="12" t="str" cm="1">
        <f t="array" ref="C23">IF($CC23="","",INDEX(Tasks!C$4:C$43,$CC23))</f>
        <v>v1.0 release 🚀</v>
      </c>
      <c r="D23" s="20" t="str" cm="1">
        <f t="array" ref="D23">IF($CC23="","",INDEX(Tasks!D$4:D$43,$CC23))</f>
        <v>John</v>
      </c>
      <c r="E23" s="25" cm="1">
        <f t="array" ref="E23">IF($CC23="","",INDEX(Tasks!E$4:E$43,$CC23))</f>
        <v>45873</v>
      </c>
      <c r="F23" s="20" cm="1">
        <f t="array" ref="F23">IF($CC23="","",INDEX(Tasks!F$4:F$43,$CC23))</f>
        <v>2</v>
      </c>
      <c r="G23" s="25" cm="1">
        <f t="array" ref="G23">IF($CC23="","",INDEX(Tasks!G$4:G$43,$CC23))</f>
        <v>45874</v>
      </c>
      <c r="H23" s="21" cm="1">
        <f t="array" ref="H23">IF($CC23="","",INDEX(Tasks!H$4:H$43,$CC23))</f>
        <v>0</v>
      </c>
      <c r="I23" s="3" t="str">
        <f t="shared" si="8"/>
        <v/>
      </c>
      <c r="J23" s="3" t="str">
        <f t="shared" si="8"/>
        <v/>
      </c>
      <c r="K23" s="3" t="str">
        <f t="shared" si="8"/>
        <v/>
      </c>
      <c r="L23" s="3" t="str">
        <f t="shared" si="8"/>
        <v/>
      </c>
      <c r="M23" s="3" t="str">
        <f t="shared" si="8"/>
        <v/>
      </c>
      <c r="N23" s="3" t="str">
        <f t="shared" si="8"/>
        <v/>
      </c>
      <c r="O23" s="3" t="str">
        <f t="shared" si="8"/>
        <v/>
      </c>
      <c r="P23" s="3" t="str">
        <f t="shared" si="8"/>
        <v/>
      </c>
      <c r="Q23" s="3" t="str">
        <f t="shared" si="8"/>
        <v/>
      </c>
      <c r="R23" s="3" t="str">
        <f t="shared" si="8"/>
        <v/>
      </c>
      <c r="S23" s="3" t="str">
        <f t="shared" si="9"/>
        <v/>
      </c>
      <c r="T23" s="3" t="str">
        <f t="shared" si="9"/>
        <v/>
      </c>
      <c r="U23" s="3" t="str">
        <f t="shared" si="9"/>
        <v/>
      </c>
      <c r="V23" s="3" t="str">
        <f t="shared" si="9"/>
        <v/>
      </c>
      <c r="W23" s="3" t="str">
        <f t="shared" si="9"/>
        <v/>
      </c>
      <c r="X23" s="3" t="str">
        <f t="shared" si="9"/>
        <v/>
      </c>
      <c r="Y23" s="3" t="str">
        <f t="shared" si="9"/>
        <v/>
      </c>
      <c r="Z23" s="3" t="str">
        <f t="shared" si="9"/>
        <v/>
      </c>
      <c r="AA23" s="3" t="str">
        <f t="shared" si="9"/>
        <v/>
      </c>
      <c r="AB23" s="3" t="str">
        <f t="shared" si="9"/>
        <v/>
      </c>
      <c r="AC23" s="3" t="str">
        <f t="shared" si="10"/>
        <v/>
      </c>
      <c r="AD23" s="3" t="str">
        <f t="shared" si="10"/>
        <v/>
      </c>
      <c r="AE23" s="3" t="str">
        <f t="shared" si="10"/>
        <v/>
      </c>
      <c r="AF23" s="3" t="str">
        <f t="shared" si="10"/>
        <v/>
      </c>
      <c r="AG23" s="3" t="str">
        <f t="shared" si="10"/>
        <v/>
      </c>
      <c r="AH23" s="3" t="str">
        <f t="shared" si="10"/>
        <v/>
      </c>
      <c r="AI23" s="3" t="str">
        <f t="shared" si="10"/>
        <v/>
      </c>
      <c r="AJ23" s="3" t="str">
        <f t="shared" si="10"/>
        <v/>
      </c>
      <c r="AK23" s="3" t="str">
        <f t="shared" si="10"/>
        <v/>
      </c>
      <c r="AL23" s="3" t="str">
        <f t="shared" si="10"/>
        <v/>
      </c>
      <c r="AM23" s="3" t="str">
        <f t="shared" si="11"/>
        <v/>
      </c>
      <c r="AN23" s="3" t="str">
        <f t="shared" si="11"/>
        <v/>
      </c>
      <c r="AO23" s="3" t="str">
        <f t="shared" si="11"/>
        <v/>
      </c>
      <c r="AP23" s="3" t="str">
        <f t="shared" si="11"/>
        <v/>
      </c>
      <c r="AQ23" s="3" t="str">
        <f t="shared" si="11"/>
        <v/>
      </c>
      <c r="AR23" s="3" t="str">
        <f t="shared" si="11"/>
        <v/>
      </c>
      <c r="AS23" s="3" t="str">
        <f t="shared" si="11"/>
        <v/>
      </c>
      <c r="AT23" s="3" t="str">
        <f t="shared" si="11"/>
        <v/>
      </c>
      <c r="AU23" s="3" t="str">
        <f t="shared" si="11"/>
        <v/>
      </c>
      <c r="AV23" s="3" t="str">
        <f t="shared" si="11"/>
        <v/>
      </c>
      <c r="AW23" s="3" t="str">
        <f t="shared" si="12"/>
        <v/>
      </c>
      <c r="AX23" s="3" t="str">
        <f t="shared" si="12"/>
        <v/>
      </c>
      <c r="AY23" s="3" t="str">
        <f t="shared" si="12"/>
        <v/>
      </c>
      <c r="AZ23" s="3" t="str">
        <f t="shared" si="12"/>
        <v/>
      </c>
      <c r="BA23" s="3" t="str">
        <f t="shared" si="12"/>
        <v/>
      </c>
      <c r="BB23" s="3" t="str">
        <f t="shared" si="12"/>
        <v/>
      </c>
      <c r="BC23" s="3" t="str">
        <f t="shared" si="12"/>
        <v/>
      </c>
      <c r="BD23" s="3" t="str">
        <f t="shared" si="12"/>
        <v/>
      </c>
      <c r="BE23" s="3" t="str">
        <f t="shared" si="12"/>
        <v/>
      </c>
      <c r="BF23" s="3" t="str">
        <f t="shared" si="12"/>
        <v/>
      </c>
      <c r="BG23" s="3" t="str">
        <f t="shared" si="13"/>
        <v/>
      </c>
      <c r="BH23" s="3" t="str">
        <f t="shared" si="13"/>
        <v/>
      </c>
      <c r="BI23" s="3" t="str">
        <f t="shared" si="13"/>
        <v/>
      </c>
      <c r="BJ23" s="3" t="str">
        <f t="shared" si="13"/>
        <v/>
      </c>
      <c r="BK23" s="3" t="str">
        <f t="shared" si="13"/>
        <v/>
      </c>
      <c r="BL23" s="3" t="str">
        <f t="shared" si="13"/>
        <v/>
      </c>
      <c r="BM23" s="3" t="str">
        <f t="shared" si="13"/>
        <v/>
      </c>
      <c r="BN23" s="3" t="str">
        <f t="shared" si="13"/>
        <v/>
      </c>
      <c r="BO23" s="3" t="str">
        <f t="shared" si="13"/>
        <v/>
      </c>
      <c r="BP23" s="3" t="str">
        <f t="shared" si="13"/>
        <v/>
      </c>
      <c r="BQ23" s="3" t="str">
        <f t="shared" si="14"/>
        <v/>
      </c>
      <c r="BR23" s="3" t="str">
        <f t="shared" si="14"/>
        <v/>
      </c>
      <c r="BS23" s="3" t="str">
        <f t="shared" si="14"/>
        <v/>
      </c>
      <c r="BT23" s="3">
        <f t="shared" si="14"/>
        <v>1</v>
      </c>
      <c r="BU23" s="3">
        <f t="shared" si="14"/>
        <v>1</v>
      </c>
      <c r="BV23" s="3" t="str">
        <f t="shared" si="14"/>
        <v/>
      </c>
      <c r="BW23" s="3" t="str">
        <f t="shared" si="14"/>
        <v/>
      </c>
      <c r="BX23" s="3" t="str">
        <f t="shared" si="14"/>
        <v/>
      </c>
      <c r="BY23" s="3" t="str">
        <f t="shared" si="14"/>
        <v/>
      </c>
      <c r="BZ23" s="3" t="str">
        <f t="shared" si="14"/>
        <v/>
      </c>
      <c r="CB23" cm="1">
        <f t="array" ref="CB23">IF(Tasks!C23="","",SUMPRODUCT((Tasks!$E$4:$E$43&lt;Tasks!E23)*(Tasks!$C$4:$C$43&lt;&gt;""))+SUMPRODUCT((Tasks!$E$4:$E$43=Tasks!E23)*(Tasks!$A$4:$A$43&lt;Tasks!A23)*(Tasks!$C$4:$C$43&lt;&gt;""))+1)</f>
        <v>20</v>
      </c>
      <c r="CC23">
        <f t="shared" si="7"/>
        <v>20</v>
      </c>
    </row>
    <row r="24" spans="1:81" ht="16" customHeight="1" x14ac:dyDescent="0.2">
      <c r="A24" s="14" t="str" cm="1">
        <f t="array" ref="A24">IF($CC24="","",INDEX(Tasks!A$4:A$43,$CC24))</f>
        <v/>
      </c>
      <c r="B24" s="15" t="str" cm="1">
        <f t="array" ref="B24">IF($CC24="","",INDEX(Tasks!B$4:B$43,$CC24))</f>
        <v/>
      </c>
      <c r="C24" s="16" t="str" cm="1">
        <f t="array" ref="C24">IF($CC24="","",INDEX(Tasks!C$4:C$43,$CC24))</f>
        <v/>
      </c>
      <c r="D24" s="22" t="str" cm="1">
        <f t="array" ref="D24">IF($CC24="","",INDEX(Tasks!D$4:D$43,$CC24))</f>
        <v/>
      </c>
      <c r="E24" s="31" t="str" cm="1">
        <f t="array" ref="E24">IF($CC24="","",INDEX(Tasks!E$4:E$43,$CC24))</f>
        <v/>
      </c>
      <c r="F24" s="22" t="str" cm="1">
        <f t="array" ref="F24">IF($CC24="","",INDEX(Tasks!F$4:F$43,$CC24))</f>
        <v/>
      </c>
      <c r="G24" s="31" t="str" cm="1">
        <f t="array" ref="G24">IF($CC24="","",INDEX(Tasks!G$4:G$43,$CC24))</f>
        <v/>
      </c>
      <c r="H24" s="23" t="str" cm="1">
        <f t="array" ref="H24">IF($CC24="","",INDEX(Tasks!H$4:H$43,$CC24))</f>
        <v/>
      </c>
      <c r="I24" s="3" t="str">
        <f t="shared" ref="I24:R33" si="15">IF($CC24="","",IF(AND(I$3&gt;=$E24,I$3&lt;=$G24),1,""))</f>
        <v/>
      </c>
      <c r="J24" s="3" t="str">
        <f t="shared" si="15"/>
        <v/>
      </c>
      <c r="K24" s="3" t="str">
        <f t="shared" si="15"/>
        <v/>
      </c>
      <c r="L24" s="3" t="str">
        <f t="shared" si="15"/>
        <v/>
      </c>
      <c r="M24" s="3" t="str">
        <f t="shared" si="15"/>
        <v/>
      </c>
      <c r="N24" s="3" t="str">
        <f t="shared" si="15"/>
        <v/>
      </c>
      <c r="O24" s="3" t="str">
        <f t="shared" si="15"/>
        <v/>
      </c>
      <c r="P24" s="3" t="str">
        <f t="shared" si="15"/>
        <v/>
      </c>
      <c r="Q24" s="3" t="str">
        <f t="shared" si="15"/>
        <v/>
      </c>
      <c r="R24" s="3" t="str">
        <f t="shared" si="15"/>
        <v/>
      </c>
      <c r="S24" s="3" t="str">
        <f t="shared" ref="S24:AB33" si="16">IF($CC24="","",IF(AND(S$3&gt;=$E24,S$3&lt;=$G24),1,""))</f>
        <v/>
      </c>
      <c r="T24" s="3" t="str">
        <f t="shared" si="16"/>
        <v/>
      </c>
      <c r="U24" s="3" t="str">
        <f t="shared" si="16"/>
        <v/>
      </c>
      <c r="V24" s="3" t="str">
        <f t="shared" si="16"/>
        <v/>
      </c>
      <c r="W24" s="3" t="str">
        <f t="shared" si="16"/>
        <v/>
      </c>
      <c r="X24" s="3" t="str">
        <f t="shared" si="16"/>
        <v/>
      </c>
      <c r="Y24" s="3" t="str">
        <f t="shared" si="16"/>
        <v/>
      </c>
      <c r="Z24" s="3" t="str">
        <f t="shared" si="16"/>
        <v/>
      </c>
      <c r="AA24" s="3" t="str">
        <f t="shared" si="16"/>
        <v/>
      </c>
      <c r="AB24" s="3" t="str">
        <f t="shared" si="16"/>
        <v/>
      </c>
      <c r="AC24" s="3" t="str">
        <f t="shared" ref="AC24:AL33" si="17">IF($CC24="","",IF(AND(AC$3&gt;=$E24,AC$3&lt;=$G24),1,""))</f>
        <v/>
      </c>
      <c r="AD24" s="3" t="str">
        <f t="shared" si="17"/>
        <v/>
      </c>
      <c r="AE24" s="3" t="str">
        <f t="shared" si="17"/>
        <v/>
      </c>
      <c r="AF24" s="3" t="str">
        <f t="shared" si="17"/>
        <v/>
      </c>
      <c r="AG24" s="3" t="str">
        <f t="shared" si="17"/>
        <v/>
      </c>
      <c r="AH24" s="3" t="str">
        <f t="shared" si="17"/>
        <v/>
      </c>
      <c r="AI24" s="3" t="str">
        <f t="shared" si="17"/>
        <v/>
      </c>
      <c r="AJ24" s="3" t="str">
        <f t="shared" si="17"/>
        <v/>
      </c>
      <c r="AK24" s="3" t="str">
        <f t="shared" si="17"/>
        <v/>
      </c>
      <c r="AL24" s="3" t="str">
        <f t="shared" si="17"/>
        <v/>
      </c>
      <c r="AM24" s="3" t="str">
        <f t="shared" ref="AM24:AV33" si="18">IF($CC24="","",IF(AND(AM$3&gt;=$E24,AM$3&lt;=$G24),1,""))</f>
        <v/>
      </c>
      <c r="AN24" s="3" t="str">
        <f t="shared" si="18"/>
        <v/>
      </c>
      <c r="AO24" s="3" t="str">
        <f t="shared" si="18"/>
        <v/>
      </c>
      <c r="AP24" s="3" t="str">
        <f t="shared" si="18"/>
        <v/>
      </c>
      <c r="AQ24" s="3" t="str">
        <f t="shared" si="18"/>
        <v/>
      </c>
      <c r="AR24" s="3" t="str">
        <f t="shared" si="18"/>
        <v/>
      </c>
      <c r="AS24" s="3" t="str">
        <f t="shared" si="18"/>
        <v/>
      </c>
      <c r="AT24" s="3" t="str">
        <f t="shared" si="18"/>
        <v/>
      </c>
      <c r="AU24" s="3" t="str">
        <f t="shared" si="18"/>
        <v/>
      </c>
      <c r="AV24" s="3" t="str">
        <f t="shared" si="18"/>
        <v/>
      </c>
      <c r="AW24" s="3" t="str">
        <f t="shared" ref="AW24:BF33" si="19">IF($CC24="","",IF(AND(AW$3&gt;=$E24,AW$3&lt;=$G24),1,""))</f>
        <v/>
      </c>
      <c r="AX24" s="3" t="str">
        <f t="shared" si="19"/>
        <v/>
      </c>
      <c r="AY24" s="3" t="str">
        <f t="shared" si="19"/>
        <v/>
      </c>
      <c r="AZ24" s="3" t="str">
        <f t="shared" si="19"/>
        <v/>
      </c>
      <c r="BA24" s="3" t="str">
        <f t="shared" si="19"/>
        <v/>
      </c>
      <c r="BB24" s="3" t="str">
        <f t="shared" si="19"/>
        <v/>
      </c>
      <c r="BC24" s="3" t="str">
        <f t="shared" si="19"/>
        <v/>
      </c>
      <c r="BD24" s="3" t="str">
        <f t="shared" si="19"/>
        <v/>
      </c>
      <c r="BE24" s="3" t="str">
        <f t="shared" si="19"/>
        <v/>
      </c>
      <c r="BF24" s="3" t="str">
        <f t="shared" si="19"/>
        <v/>
      </c>
      <c r="BG24" s="3" t="str">
        <f t="shared" ref="BG24:BP33" si="20">IF($CC24="","",IF(AND(BG$3&gt;=$E24,BG$3&lt;=$G24),1,""))</f>
        <v/>
      </c>
      <c r="BH24" s="3" t="str">
        <f t="shared" si="20"/>
        <v/>
      </c>
      <c r="BI24" s="3" t="str">
        <f t="shared" si="20"/>
        <v/>
      </c>
      <c r="BJ24" s="3" t="str">
        <f t="shared" si="20"/>
        <v/>
      </c>
      <c r="BK24" s="3" t="str">
        <f t="shared" si="20"/>
        <v/>
      </c>
      <c r="BL24" s="3" t="str">
        <f t="shared" si="20"/>
        <v/>
      </c>
      <c r="BM24" s="3" t="str">
        <f t="shared" si="20"/>
        <v/>
      </c>
      <c r="BN24" s="3" t="str">
        <f t="shared" si="20"/>
        <v/>
      </c>
      <c r="BO24" s="3" t="str">
        <f t="shared" si="20"/>
        <v/>
      </c>
      <c r="BP24" s="3" t="str">
        <f t="shared" si="20"/>
        <v/>
      </c>
      <c r="BQ24" s="3" t="str">
        <f t="shared" ref="BQ24:BZ33" si="21">IF($CC24="","",IF(AND(BQ$3&gt;=$E24,BQ$3&lt;=$G24),1,""))</f>
        <v/>
      </c>
      <c r="BR24" s="3" t="str">
        <f t="shared" si="21"/>
        <v/>
      </c>
      <c r="BS24" s="3" t="str">
        <f t="shared" si="21"/>
        <v/>
      </c>
      <c r="BT24" s="3" t="str">
        <f t="shared" si="21"/>
        <v/>
      </c>
      <c r="BU24" s="3" t="str">
        <f t="shared" si="21"/>
        <v/>
      </c>
      <c r="BV24" s="3" t="str">
        <f t="shared" si="21"/>
        <v/>
      </c>
      <c r="BW24" s="3" t="str">
        <f t="shared" si="21"/>
        <v/>
      </c>
      <c r="BX24" s="3" t="str">
        <f t="shared" si="21"/>
        <v/>
      </c>
      <c r="BY24" s="3" t="str">
        <f t="shared" si="21"/>
        <v/>
      </c>
      <c r="BZ24" s="3" t="str">
        <f t="shared" si="21"/>
        <v/>
      </c>
      <c r="CB24" t="str" cm="1">
        <f t="array" ref="CB24">IF(Tasks!C24="","",SUMPRODUCT((Tasks!$E$4:$E$43&lt;Tasks!E24)*(Tasks!$C$4:$C$43&lt;&gt;""))+SUMPRODUCT((Tasks!$E$4:$E$43=Tasks!E24)*(Tasks!$A$4:$A$43&lt;Tasks!A24)*(Tasks!$C$4:$C$43&lt;&gt;""))+1)</f>
        <v/>
      </c>
      <c r="CC24" t="str">
        <f t="shared" si="7"/>
        <v/>
      </c>
    </row>
    <row r="25" spans="1:81" ht="16" customHeight="1" x14ac:dyDescent="0.2">
      <c r="A25" s="14" t="str" cm="1">
        <f t="array" ref="A25">IF($CC25="","",INDEX(Tasks!A$4:A$43,$CC25))</f>
        <v/>
      </c>
      <c r="B25" s="15" t="str" cm="1">
        <f t="array" ref="B25">IF($CC25="","",INDEX(Tasks!B$4:B$43,$CC25))</f>
        <v/>
      </c>
      <c r="C25" s="16" t="str" cm="1">
        <f t="array" ref="C25">IF($CC25="","",INDEX(Tasks!C$4:C$43,$CC25))</f>
        <v/>
      </c>
      <c r="D25" s="22" t="str" cm="1">
        <f t="array" ref="D25">IF($CC25="","",INDEX(Tasks!D$4:D$43,$CC25))</f>
        <v/>
      </c>
      <c r="E25" s="31" t="str" cm="1">
        <f t="array" ref="E25">IF($CC25="","",INDEX(Tasks!E$4:E$43,$CC25))</f>
        <v/>
      </c>
      <c r="F25" s="22" t="str" cm="1">
        <f t="array" ref="F25">IF($CC25="","",INDEX(Tasks!F$4:F$43,$CC25))</f>
        <v/>
      </c>
      <c r="G25" s="31" t="str" cm="1">
        <f t="array" ref="G25">IF($CC25="","",INDEX(Tasks!G$4:G$43,$CC25))</f>
        <v/>
      </c>
      <c r="H25" s="23" t="str" cm="1">
        <f t="array" ref="H25">IF($CC25="","",INDEX(Tasks!H$4:H$43,$CC25))</f>
        <v/>
      </c>
      <c r="I25" s="3" t="str">
        <f t="shared" si="15"/>
        <v/>
      </c>
      <c r="J25" s="3" t="str">
        <f t="shared" si="15"/>
        <v/>
      </c>
      <c r="K25" s="3" t="str">
        <f t="shared" si="15"/>
        <v/>
      </c>
      <c r="L25" s="3" t="str">
        <f t="shared" si="15"/>
        <v/>
      </c>
      <c r="M25" s="3" t="str">
        <f t="shared" si="15"/>
        <v/>
      </c>
      <c r="N25" s="3" t="str">
        <f t="shared" si="15"/>
        <v/>
      </c>
      <c r="O25" s="3" t="str">
        <f t="shared" si="15"/>
        <v/>
      </c>
      <c r="P25" s="3" t="str">
        <f t="shared" si="15"/>
        <v/>
      </c>
      <c r="Q25" s="3" t="str">
        <f t="shared" si="15"/>
        <v/>
      </c>
      <c r="R25" s="3" t="str">
        <f t="shared" si="15"/>
        <v/>
      </c>
      <c r="S25" s="3" t="str">
        <f t="shared" si="16"/>
        <v/>
      </c>
      <c r="T25" s="3" t="str">
        <f t="shared" si="16"/>
        <v/>
      </c>
      <c r="U25" s="3" t="str">
        <f t="shared" si="16"/>
        <v/>
      </c>
      <c r="V25" s="3" t="str">
        <f t="shared" si="16"/>
        <v/>
      </c>
      <c r="W25" s="3" t="str">
        <f t="shared" si="16"/>
        <v/>
      </c>
      <c r="X25" s="3" t="str">
        <f t="shared" si="16"/>
        <v/>
      </c>
      <c r="Y25" s="3" t="str">
        <f t="shared" si="16"/>
        <v/>
      </c>
      <c r="Z25" s="3" t="str">
        <f t="shared" si="16"/>
        <v/>
      </c>
      <c r="AA25" s="3" t="str">
        <f t="shared" si="16"/>
        <v/>
      </c>
      <c r="AB25" s="3" t="str">
        <f t="shared" si="16"/>
        <v/>
      </c>
      <c r="AC25" s="3" t="str">
        <f t="shared" si="17"/>
        <v/>
      </c>
      <c r="AD25" s="3" t="str">
        <f t="shared" si="17"/>
        <v/>
      </c>
      <c r="AE25" s="3" t="str">
        <f t="shared" si="17"/>
        <v/>
      </c>
      <c r="AF25" s="3" t="str">
        <f t="shared" si="17"/>
        <v/>
      </c>
      <c r="AG25" s="3" t="str">
        <f t="shared" si="17"/>
        <v/>
      </c>
      <c r="AH25" s="3" t="str">
        <f t="shared" si="17"/>
        <v/>
      </c>
      <c r="AI25" s="3" t="str">
        <f t="shared" si="17"/>
        <v/>
      </c>
      <c r="AJ25" s="3" t="str">
        <f t="shared" si="17"/>
        <v/>
      </c>
      <c r="AK25" s="3" t="str">
        <f t="shared" si="17"/>
        <v/>
      </c>
      <c r="AL25" s="3" t="str">
        <f t="shared" si="17"/>
        <v/>
      </c>
      <c r="AM25" s="3" t="str">
        <f t="shared" si="18"/>
        <v/>
      </c>
      <c r="AN25" s="3" t="str">
        <f t="shared" si="18"/>
        <v/>
      </c>
      <c r="AO25" s="3" t="str">
        <f t="shared" si="18"/>
        <v/>
      </c>
      <c r="AP25" s="3" t="str">
        <f t="shared" si="18"/>
        <v/>
      </c>
      <c r="AQ25" s="3" t="str">
        <f t="shared" si="18"/>
        <v/>
      </c>
      <c r="AR25" s="3" t="str">
        <f t="shared" si="18"/>
        <v/>
      </c>
      <c r="AS25" s="3" t="str">
        <f t="shared" si="18"/>
        <v/>
      </c>
      <c r="AT25" s="3" t="str">
        <f t="shared" si="18"/>
        <v/>
      </c>
      <c r="AU25" s="3" t="str">
        <f t="shared" si="18"/>
        <v/>
      </c>
      <c r="AV25" s="3" t="str">
        <f t="shared" si="18"/>
        <v/>
      </c>
      <c r="AW25" s="3" t="str">
        <f t="shared" si="19"/>
        <v/>
      </c>
      <c r="AX25" s="3" t="str">
        <f t="shared" si="19"/>
        <v/>
      </c>
      <c r="AY25" s="3" t="str">
        <f t="shared" si="19"/>
        <v/>
      </c>
      <c r="AZ25" s="3" t="str">
        <f t="shared" si="19"/>
        <v/>
      </c>
      <c r="BA25" s="3" t="str">
        <f t="shared" si="19"/>
        <v/>
      </c>
      <c r="BB25" s="3" t="str">
        <f t="shared" si="19"/>
        <v/>
      </c>
      <c r="BC25" s="3" t="str">
        <f t="shared" si="19"/>
        <v/>
      </c>
      <c r="BD25" s="3" t="str">
        <f t="shared" si="19"/>
        <v/>
      </c>
      <c r="BE25" s="3" t="str">
        <f t="shared" si="19"/>
        <v/>
      </c>
      <c r="BF25" s="3" t="str">
        <f t="shared" si="19"/>
        <v/>
      </c>
      <c r="BG25" s="3" t="str">
        <f t="shared" si="20"/>
        <v/>
      </c>
      <c r="BH25" s="3" t="str">
        <f t="shared" si="20"/>
        <v/>
      </c>
      <c r="BI25" s="3" t="str">
        <f t="shared" si="20"/>
        <v/>
      </c>
      <c r="BJ25" s="3" t="str">
        <f t="shared" si="20"/>
        <v/>
      </c>
      <c r="BK25" s="3" t="str">
        <f t="shared" si="20"/>
        <v/>
      </c>
      <c r="BL25" s="3" t="str">
        <f t="shared" si="20"/>
        <v/>
      </c>
      <c r="BM25" s="3" t="str">
        <f t="shared" si="20"/>
        <v/>
      </c>
      <c r="BN25" s="3" t="str">
        <f t="shared" si="20"/>
        <v/>
      </c>
      <c r="BO25" s="3" t="str">
        <f t="shared" si="20"/>
        <v/>
      </c>
      <c r="BP25" s="3" t="str">
        <f t="shared" si="20"/>
        <v/>
      </c>
      <c r="BQ25" s="3" t="str">
        <f t="shared" si="21"/>
        <v/>
      </c>
      <c r="BR25" s="3" t="str">
        <f t="shared" si="21"/>
        <v/>
      </c>
      <c r="BS25" s="3" t="str">
        <f t="shared" si="21"/>
        <v/>
      </c>
      <c r="BT25" s="3" t="str">
        <f t="shared" si="21"/>
        <v/>
      </c>
      <c r="BU25" s="3" t="str">
        <f t="shared" si="21"/>
        <v/>
      </c>
      <c r="BV25" s="3" t="str">
        <f t="shared" si="21"/>
        <v/>
      </c>
      <c r="BW25" s="3" t="str">
        <f t="shared" si="21"/>
        <v/>
      </c>
      <c r="BX25" s="3" t="str">
        <f t="shared" si="21"/>
        <v/>
      </c>
      <c r="BY25" s="3" t="str">
        <f t="shared" si="21"/>
        <v/>
      </c>
      <c r="BZ25" s="3" t="str">
        <f t="shared" si="21"/>
        <v/>
      </c>
      <c r="CB25" t="str" cm="1">
        <f t="array" ref="CB25">IF(Tasks!C25="","",SUMPRODUCT((Tasks!$E$4:$E$43&lt;Tasks!E25)*(Tasks!$C$4:$C$43&lt;&gt;""))+SUMPRODUCT((Tasks!$E$4:$E$43=Tasks!E25)*(Tasks!$A$4:$A$43&lt;Tasks!A25)*(Tasks!$C$4:$C$43&lt;&gt;""))+1)</f>
        <v/>
      </c>
      <c r="CC25" t="str">
        <f t="shared" si="7"/>
        <v/>
      </c>
    </row>
    <row r="26" spans="1:81" ht="16" customHeight="1" x14ac:dyDescent="0.2">
      <c r="A26" s="14" t="str" cm="1">
        <f t="array" ref="A26">IF($CC26="","",INDEX(Tasks!A$4:A$43,$CC26))</f>
        <v/>
      </c>
      <c r="B26" s="15" t="str" cm="1">
        <f t="array" ref="B26">IF($CC26="","",INDEX(Tasks!B$4:B$43,$CC26))</f>
        <v/>
      </c>
      <c r="C26" s="16" t="str" cm="1">
        <f t="array" ref="C26">IF($CC26="","",INDEX(Tasks!C$4:C$43,$CC26))</f>
        <v/>
      </c>
      <c r="D26" s="22" t="str" cm="1">
        <f t="array" ref="D26">IF($CC26="","",INDEX(Tasks!D$4:D$43,$CC26))</f>
        <v/>
      </c>
      <c r="E26" s="31" t="str" cm="1">
        <f t="array" ref="E26">IF($CC26="","",INDEX(Tasks!E$4:E$43,$CC26))</f>
        <v/>
      </c>
      <c r="F26" s="22" t="str" cm="1">
        <f t="array" ref="F26">IF($CC26="","",INDEX(Tasks!F$4:F$43,$CC26))</f>
        <v/>
      </c>
      <c r="G26" s="31" t="str" cm="1">
        <f t="array" ref="G26">IF($CC26="","",INDEX(Tasks!G$4:G$43,$CC26))</f>
        <v/>
      </c>
      <c r="H26" s="23" t="str" cm="1">
        <f t="array" ref="H26">IF($CC26="","",INDEX(Tasks!H$4:H$43,$CC26))</f>
        <v/>
      </c>
      <c r="I26" s="3" t="str">
        <f t="shared" si="15"/>
        <v/>
      </c>
      <c r="J26" s="3" t="str">
        <f t="shared" si="15"/>
        <v/>
      </c>
      <c r="K26" s="3" t="str">
        <f t="shared" si="15"/>
        <v/>
      </c>
      <c r="L26" s="3" t="str">
        <f t="shared" si="15"/>
        <v/>
      </c>
      <c r="M26" s="3" t="str">
        <f t="shared" si="15"/>
        <v/>
      </c>
      <c r="N26" s="3" t="str">
        <f t="shared" si="15"/>
        <v/>
      </c>
      <c r="O26" s="3" t="str">
        <f t="shared" si="15"/>
        <v/>
      </c>
      <c r="P26" s="3" t="str">
        <f t="shared" si="15"/>
        <v/>
      </c>
      <c r="Q26" s="3" t="str">
        <f t="shared" si="15"/>
        <v/>
      </c>
      <c r="R26" s="3" t="str">
        <f t="shared" si="15"/>
        <v/>
      </c>
      <c r="S26" s="3" t="str">
        <f t="shared" si="16"/>
        <v/>
      </c>
      <c r="T26" s="3" t="str">
        <f t="shared" si="16"/>
        <v/>
      </c>
      <c r="U26" s="3" t="str">
        <f t="shared" si="16"/>
        <v/>
      </c>
      <c r="V26" s="3" t="str">
        <f t="shared" si="16"/>
        <v/>
      </c>
      <c r="W26" s="3" t="str">
        <f t="shared" si="16"/>
        <v/>
      </c>
      <c r="X26" s="3" t="str">
        <f t="shared" si="16"/>
        <v/>
      </c>
      <c r="Y26" s="3" t="str">
        <f t="shared" si="16"/>
        <v/>
      </c>
      <c r="Z26" s="3" t="str">
        <f t="shared" si="16"/>
        <v/>
      </c>
      <c r="AA26" s="3" t="str">
        <f t="shared" si="16"/>
        <v/>
      </c>
      <c r="AB26" s="3" t="str">
        <f t="shared" si="16"/>
        <v/>
      </c>
      <c r="AC26" s="3" t="str">
        <f t="shared" si="17"/>
        <v/>
      </c>
      <c r="AD26" s="3" t="str">
        <f t="shared" si="17"/>
        <v/>
      </c>
      <c r="AE26" s="3" t="str">
        <f t="shared" si="17"/>
        <v/>
      </c>
      <c r="AF26" s="3" t="str">
        <f t="shared" si="17"/>
        <v/>
      </c>
      <c r="AG26" s="3" t="str">
        <f t="shared" si="17"/>
        <v/>
      </c>
      <c r="AH26" s="3" t="str">
        <f t="shared" si="17"/>
        <v/>
      </c>
      <c r="AI26" s="3" t="str">
        <f t="shared" si="17"/>
        <v/>
      </c>
      <c r="AJ26" s="3" t="str">
        <f t="shared" si="17"/>
        <v/>
      </c>
      <c r="AK26" s="3" t="str">
        <f t="shared" si="17"/>
        <v/>
      </c>
      <c r="AL26" s="3" t="str">
        <f t="shared" si="17"/>
        <v/>
      </c>
      <c r="AM26" s="3" t="str">
        <f t="shared" si="18"/>
        <v/>
      </c>
      <c r="AN26" s="3" t="str">
        <f t="shared" si="18"/>
        <v/>
      </c>
      <c r="AO26" s="3" t="str">
        <f t="shared" si="18"/>
        <v/>
      </c>
      <c r="AP26" s="3" t="str">
        <f t="shared" si="18"/>
        <v/>
      </c>
      <c r="AQ26" s="3" t="str">
        <f t="shared" si="18"/>
        <v/>
      </c>
      <c r="AR26" s="3" t="str">
        <f t="shared" si="18"/>
        <v/>
      </c>
      <c r="AS26" s="3" t="str">
        <f t="shared" si="18"/>
        <v/>
      </c>
      <c r="AT26" s="3" t="str">
        <f t="shared" si="18"/>
        <v/>
      </c>
      <c r="AU26" s="3" t="str">
        <f t="shared" si="18"/>
        <v/>
      </c>
      <c r="AV26" s="3" t="str">
        <f t="shared" si="18"/>
        <v/>
      </c>
      <c r="AW26" s="3" t="str">
        <f t="shared" si="19"/>
        <v/>
      </c>
      <c r="AX26" s="3" t="str">
        <f t="shared" si="19"/>
        <v/>
      </c>
      <c r="AY26" s="3" t="str">
        <f t="shared" si="19"/>
        <v/>
      </c>
      <c r="AZ26" s="3" t="str">
        <f t="shared" si="19"/>
        <v/>
      </c>
      <c r="BA26" s="3" t="str">
        <f t="shared" si="19"/>
        <v/>
      </c>
      <c r="BB26" s="3" t="str">
        <f t="shared" si="19"/>
        <v/>
      </c>
      <c r="BC26" s="3" t="str">
        <f t="shared" si="19"/>
        <v/>
      </c>
      <c r="BD26" s="3" t="str">
        <f t="shared" si="19"/>
        <v/>
      </c>
      <c r="BE26" s="3" t="str">
        <f t="shared" si="19"/>
        <v/>
      </c>
      <c r="BF26" s="3" t="str">
        <f t="shared" si="19"/>
        <v/>
      </c>
      <c r="BG26" s="3" t="str">
        <f t="shared" si="20"/>
        <v/>
      </c>
      <c r="BH26" s="3" t="str">
        <f t="shared" si="20"/>
        <v/>
      </c>
      <c r="BI26" s="3" t="str">
        <f t="shared" si="20"/>
        <v/>
      </c>
      <c r="BJ26" s="3" t="str">
        <f t="shared" si="20"/>
        <v/>
      </c>
      <c r="BK26" s="3" t="str">
        <f t="shared" si="20"/>
        <v/>
      </c>
      <c r="BL26" s="3" t="str">
        <f t="shared" si="20"/>
        <v/>
      </c>
      <c r="BM26" s="3" t="str">
        <f t="shared" si="20"/>
        <v/>
      </c>
      <c r="BN26" s="3" t="str">
        <f t="shared" si="20"/>
        <v/>
      </c>
      <c r="BO26" s="3" t="str">
        <f t="shared" si="20"/>
        <v/>
      </c>
      <c r="BP26" s="3" t="str">
        <f t="shared" si="20"/>
        <v/>
      </c>
      <c r="BQ26" s="3" t="str">
        <f t="shared" si="21"/>
        <v/>
      </c>
      <c r="BR26" s="3" t="str">
        <f t="shared" si="21"/>
        <v/>
      </c>
      <c r="BS26" s="3" t="str">
        <f t="shared" si="21"/>
        <v/>
      </c>
      <c r="BT26" s="3" t="str">
        <f t="shared" si="21"/>
        <v/>
      </c>
      <c r="BU26" s="3" t="str">
        <f t="shared" si="21"/>
        <v/>
      </c>
      <c r="BV26" s="3" t="str">
        <f t="shared" si="21"/>
        <v/>
      </c>
      <c r="BW26" s="3" t="str">
        <f t="shared" si="21"/>
        <v/>
      </c>
      <c r="BX26" s="3" t="str">
        <f t="shared" si="21"/>
        <v/>
      </c>
      <c r="BY26" s="3" t="str">
        <f t="shared" si="21"/>
        <v/>
      </c>
      <c r="BZ26" s="3" t="str">
        <f t="shared" si="21"/>
        <v/>
      </c>
      <c r="CB26" t="str" cm="1">
        <f t="array" ref="CB26">IF(Tasks!C26="","",SUMPRODUCT((Tasks!$E$4:$E$43&lt;Tasks!E26)*(Tasks!$C$4:$C$43&lt;&gt;""))+SUMPRODUCT((Tasks!$E$4:$E$43=Tasks!E26)*(Tasks!$A$4:$A$43&lt;Tasks!A26)*(Tasks!$C$4:$C$43&lt;&gt;""))+1)</f>
        <v/>
      </c>
      <c r="CC26" t="str">
        <f t="shared" si="7"/>
        <v/>
      </c>
    </row>
    <row r="27" spans="1:81" ht="16" customHeight="1" x14ac:dyDescent="0.2">
      <c r="A27" s="14" t="str" cm="1">
        <f t="array" ref="A27">IF($CC27="","",INDEX(Tasks!A$4:A$43,$CC27))</f>
        <v/>
      </c>
      <c r="B27" s="15" t="str" cm="1">
        <f t="array" ref="B27">IF($CC27="","",INDEX(Tasks!B$4:B$43,$CC27))</f>
        <v/>
      </c>
      <c r="C27" s="16" t="str" cm="1">
        <f t="array" ref="C27">IF($CC27="","",INDEX(Tasks!C$4:C$43,$CC27))</f>
        <v/>
      </c>
      <c r="D27" s="22" t="str" cm="1">
        <f t="array" ref="D27">IF($CC27="","",INDEX(Tasks!D$4:D$43,$CC27))</f>
        <v/>
      </c>
      <c r="E27" s="31" t="str" cm="1">
        <f t="array" ref="E27">IF($CC27="","",INDEX(Tasks!E$4:E$43,$CC27))</f>
        <v/>
      </c>
      <c r="F27" s="22" t="str" cm="1">
        <f t="array" ref="F27">IF($CC27="","",INDEX(Tasks!F$4:F$43,$CC27))</f>
        <v/>
      </c>
      <c r="G27" s="31" t="str" cm="1">
        <f t="array" ref="G27">IF($CC27="","",INDEX(Tasks!G$4:G$43,$CC27))</f>
        <v/>
      </c>
      <c r="H27" s="23" t="str" cm="1">
        <f t="array" ref="H27">IF($CC27="","",INDEX(Tasks!H$4:H$43,$CC27))</f>
        <v/>
      </c>
      <c r="I27" s="3" t="str">
        <f t="shared" si="15"/>
        <v/>
      </c>
      <c r="J27" s="3" t="str">
        <f t="shared" si="15"/>
        <v/>
      </c>
      <c r="K27" s="3" t="str">
        <f t="shared" si="15"/>
        <v/>
      </c>
      <c r="L27" s="3" t="str">
        <f t="shared" si="15"/>
        <v/>
      </c>
      <c r="M27" s="3" t="str">
        <f t="shared" si="15"/>
        <v/>
      </c>
      <c r="N27" s="3" t="str">
        <f t="shared" si="15"/>
        <v/>
      </c>
      <c r="O27" s="3" t="str">
        <f t="shared" si="15"/>
        <v/>
      </c>
      <c r="P27" s="3" t="str">
        <f t="shared" si="15"/>
        <v/>
      </c>
      <c r="Q27" s="3" t="str">
        <f t="shared" si="15"/>
        <v/>
      </c>
      <c r="R27" s="3" t="str">
        <f t="shared" si="15"/>
        <v/>
      </c>
      <c r="S27" s="3" t="str">
        <f t="shared" si="16"/>
        <v/>
      </c>
      <c r="T27" s="3" t="str">
        <f t="shared" si="16"/>
        <v/>
      </c>
      <c r="U27" s="3" t="str">
        <f t="shared" si="16"/>
        <v/>
      </c>
      <c r="V27" s="3" t="str">
        <f t="shared" si="16"/>
        <v/>
      </c>
      <c r="W27" s="3" t="str">
        <f t="shared" si="16"/>
        <v/>
      </c>
      <c r="X27" s="3" t="str">
        <f t="shared" si="16"/>
        <v/>
      </c>
      <c r="Y27" s="3" t="str">
        <f t="shared" si="16"/>
        <v/>
      </c>
      <c r="Z27" s="3" t="str">
        <f t="shared" si="16"/>
        <v/>
      </c>
      <c r="AA27" s="3" t="str">
        <f t="shared" si="16"/>
        <v/>
      </c>
      <c r="AB27" s="3" t="str">
        <f t="shared" si="16"/>
        <v/>
      </c>
      <c r="AC27" s="3" t="str">
        <f t="shared" si="17"/>
        <v/>
      </c>
      <c r="AD27" s="3" t="str">
        <f t="shared" si="17"/>
        <v/>
      </c>
      <c r="AE27" s="3" t="str">
        <f t="shared" si="17"/>
        <v/>
      </c>
      <c r="AF27" s="3" t="str">
        <f t="shared" si="17"/>
        <v/>
      </c>
      <c r="AG27" s="3" t="str">
        <f t="shared" si="17"/>
        <v/>
      </c>
      <c r="AH27" s="3" t="str">
        <f t="shared" si="17"/>
        <v/>
      </c>
      <c r="AI27" s="3" t="str">
        <f t="shared" si="17"/>
        <v/>
      </c>
      <c r="AJ27" s="3" t="str">
        <f t="shared" si="17"/>
        <v/>
      </c>
      <c r="AK27" s="3" t="str">
        <f t="shared" si="17"/>
        <v/>
      </c>
      <c r="AL27" s="3" t="str">
        <f t="shared" si="17"/>
        <v/>
      </c>
      <c r="AM27" s="3" t="str">
        <f t="shared" si="18"/>
        <v/>
      </c>
      <c r="AN27" s="3" t="str">
        <f t="shared" si="18"/>
        <v/>
      </c>
      <c r="AO27" s="3" t="str">
        <f t="shared" si="18"/>
        <v/>
      </c>
      <c r="AP27" s="3" t="str">
        <f t="shared" si="18"/>
        <v/>
      </c>
      <c r="AQ27" s="3" t="str">
        <f t="shared" si="18"/>
        <v/>
      </c>
      <c r="AR27" s="3" t="str">
        <f t="shared" si="18"/>
        <v/>
      </c>
      <c r="AS27" s="3" t="str">
        <f t="shared" si="18"/>
        <v/>
      </c>
      <c r="AT27" s="3" t="str">
        <f t="shared" si="18"/>
        <v/>
      </c>
      <c r="AU27" s="3" t="str">
        <f t="shared" si="18"/>
        <v/>
      </c>
      <c r="AV27" s="3" t="str">
        <f t="shared" si="18"/>
        <v/>
      </c>
      <c r="AW27" s="3" t="str">
        <f t="shared" si="19"/>
        <v/>
      </c>
      <c r="AX27" s="3" t="str">
        <f t="shared" si="19"/>
        <v/>
      </c>
      <c r="AY27" s="3" t="str">
        <f t="shared" si="19"/>
        <v/>
      </c>
      <c r="AZ27" s="3" t="str">
        <f t="shared" si="19"/>
        <v/>
      </c>
      <c r="BA27" s="3" t="str">
        <f t="shared" si="19"/>
        <v/>
      </c>
      <c r="BB27" s="3" t="str">
        <f t="shared" si="19"/>
        <v/>
      </c>
      <c r="BC27" s="3" t="str">
        <f t="shared" si="19"/>
        <v/>
      </c>
      <c r="BD27" s="3" t="str">
        <f t="shared" si="19"/>
        <v/>
      </c>
      <c r="BE27" s="3" t="str">
        <f t="shared" si="19"/>
        <v/>
      </c>
      <c r="BF27" s="3" t="str">
        <f t="shared" si="19"/>
        <v/>
      </c>
      <c r="BG27" s="3" t="str">
        <f t="shared" si="20"/>
        <v/>
      </c>
      <c r="BH27" s="3" t="str">
        <f t="shared" si="20"/>
        <v/>
      </c>
      <c r="BI27" s="3" t="str">
        <f t="shared" si="20"/>
        <v/>
      </c>
      <c r="BJ27" s="3" t="str">
        <f t="shared" si="20"/>
        <v/>
      </c>
      <c r="BK27" s="3" t="str">
        <f t="shared" si="20"/>
        <v/>
      </c>
      <c r="BL27" s="3" t="str">
        <f t="shared" si="20"/>
        <v/>
      </c>
      <c r="BM27" s="3" t="str">
        <f t="shared" si="20"/>
        <v/>
      </c>
      <c r="BN27" s="3" t="str">
        <f t="shared" si="20"/>
        <v/>
      </c>
      <c r="BO27" s="3" t="str">
        <f t="shared" si="20"/>
        <v/>
      </c>
      <c r="BP27" s="3" t="str">
        <f t="shared" si="20"/>
        <v/>
      </c>
      <c r="BQ27" s="3" t="str">
        <f t="shared" si="21"/>
        <v/>
      </c>
      <c r="BR27" s="3" t="str">
        <f t="shared" si="21"/>
        <v/>
      </c>
      <c r="BS27" s="3" t="str">
        <f t="shared" si="21"/>
        <v/>
      </c>
      <c r="BT27" s="3" t="str">
        <f t="shared" si="21"/>
        <v/>
      </c>
      <c r="BU27" s="3" t="str">
        <f t="shared" si="21"/>
        <v/>
      </c>
      <c r="BV27" s="3" t="str">
        <f t="shared" si="21"/>
        <v/>
      </c>
      <c r="BW27" s="3" t="str">
        <f t="shared" si="21"/>
        <v/>
      </c>
      <c r="BX27" s="3" t="str">
        <f t="shared" si="21"/>
        <v/>
      </c>
      <c r="BY27" s="3" t="str">
        <f t="shared" si="21"/>
        <v/>
      </c>
      <c r="BZ27" s="3" t="str">
        <f t="shared" si="21"/>
        <v/>
      </c>
      <c r="CB27" t="str" cm="1">
        <f t="array" ref="CB27">IF(Tasks!C27="","",SUMPRODUCT((Tasks!$E$4:$E$43&lt;Tasks!E27)*(Tasks!$C$4:$C$43&lt;&gt;""))+SUMPRODUCT((Tasks!$E$4:$E$43=Tasks!E27)*(Tasks!$A$4:$A$43&lt;Tasks!A27)*(Tasks!$C$4:$C$43&lt;&gt;""))+1)</f>
        <v/>
      </c>
      <c r="CC27" t="str">
        <f t="shared" si="7"/>
        <v/>
      </c>
    </row>
    <row r="28" spans="1:81" ht="16" customHeight="1" x14ac:dyDescent="0.2">
      <c r="A28" s="14" t="str" cm="1">
        <f t="array" ref="A28">IF($CC28="","",INDEX(Tasks!A$4:A$43,$CC28))</f>
        <v/>
      </c>
      <c r="B28" s="15" t="str" cm="1">
        <f t="array" ref="B28">IF($CC28="","",INDEX(Tasks!B$4:B$43,$CC28))</f>
        <v/>
      </c>
      <c r="C28" s="16" t="str" cm="1">
        <f t="array" ref="C28">IF($CC28="","",INDEX(Tasks!C$4:C$43,$CC28))</f>
        <v/>
      </c>
      <c r="D28" s="22" t="str" cm="1">
        <f t="array" ref="D28">IF($CC28="","",INDEX(Tasks!D$4:D$43,$CC28))</f>
        <v/>
      </c>
      <c r="E28" s="31" t="str" cm="1">
        <f t="array" ref="E28">IF($CC28="","",INDEX(Tasks!E$4:E$43,$CC28))</f>
        <v/>
      </c>
      <c r="F28" s="22" t="str" cm="1">
        <f t="array" ref="F28">IF($CC28="","",INDEX(Tasks!F$4:F$43,$CC28))</f>
        <v/>
      </c>
      <c r="G28" s="31" t="str" cm="1">
        <f t="array" ref="G28">IF($CC28="","",INDEX(Tasks!G$4:G$43,$CC28))</f>
        <v/>
      </c>
      <c r="H28" s="23" t="str" cm="1">
        <f t="array" ref="H28">IF($CC28="","",INDEX(Tasks!H$4:H$43,$CC28))</f>
        <v/>
      </c>
      <c r="I28" s="3" t="str">
        <f t="shared" si="15"/>
        <v/>
      </c>
      <c r="J28" s="3" t="str">
        <f t="shared" si="15"/>
        <v/>
      </c>
      <c r="K28" s="3" t="str">
        <f t="shared" si="15"/>
        <v/>
      </c>
      <c r="L28" s="3" t="str">
        <f t="shared" si="15"/>
        <v/>
      </c>
      <c r="M28" s="3" t="str">
        <f t="shared" si="15"/>
        <v/>
      </c>
      <c r="N28" s="3" t="str">
        <f t="shared" si="15"/>
        <v/>
      </c>
      <c r="O28" s="3" t="str">
        <f t="shared" si="15"/>
        <v/>
      </c>
      <c r="P28" s="3" t="str">
        <f t="shared" si="15"/>
        <v/>
      </c>
      <c r="Q28" s="3" t="str">
        <f t="shared" si="15"/>
        <v/>
      </c>
      <c r="R28" s="3" t="str">
        <f t="shared" si="15"/>
        <v/>
      </c>
      <c r="S28" s="3" t="str">
        <f t="shared" si="16"/>
        <v/>
      </c>
      <c r="T28" s="3" t="str">
        <f t="shared" si="16"/>
        <v/>
      </c>
      <c r="U28" s="3" t="str">
        <f t="shared" si="16"/>
        <v/>
      </c>
      <c r="V28" s="3" t="str">
        <f t="shared" si="16"/>
        <v/>
      </c>
      <c r="W28" s="3" t="str">
        <f t="shared" si="16"/>
        <v/>
      </c>
      <c r="X28" s="3" t="str">
        <f t="shared" si="16"/>
        <v/>
      </c>
      <c r="Y28" s="3" t="str">
        <f t="shared" si="16"/>
        <v/>
      </c>
      <c r="Z28" s="3" t="str">
        <f t="shared" si="16"/>
        <v/>
      </c>
      <c r="AA28" s="3" t="str">
        <f t="shared" si="16"/>
        <v/>
      </c>
      <c r="AB28" s="3" t="str">
        <f t="shared" si="16"/>
        <v/>
      </c>
      <c r="AC28" s="3" t="str">
        <f t="shared" si="17"/>
        <v/>
      </c>
      <c r="AD28" s="3" t="str">
        <f t="shared" si="17"/>
        <v/>
      </c>
      <c r="AE28" s="3" t="str">
        <f t="shared" si="17"/>
        <v/>
      </c>
      <c r="AF28" s="3" t="str">
        <f t="shared" si="17"/>
        <v/>
      </c>
      <c r="AG28" s="3" t="str">
        <f t="shared" si="17"/>
        <v/>
      </c>
      <c r="AH28" s="3" t="str">
        <f t="shared" si="17"/>
        <v/>
      </c>
      <c r="AI28" s="3" t="str">
        <f t="shared" si="17"/>
        <v/>
      </c>
      <c r="AJ28" s="3" t="str">
        <f t="shared" si="17"/>
        <v/>
      </c>
      <c r="AK28" s="3" t="str">
        <f t="shared" si="17"/>
        <v/>
      </c>
      <c r="AL28" s="3" t="str">
        <f t="shared" si="17"/>
        <v/>
      </c>
      <c r="AM28" s="3" t="str">
        <f t="shared" si="18"/>
        <v/>
      </c>
      <c r="AN28" s="3" t="str">
        <f t="shared" si="18"/>
        <v/>
      </c>
      <c r="AO28" s="3" t="str">
        <f t="shared" si="18"/>
        <v/>
      </c>
      <c r="AP28" s="3" t="str">
        <f t="shared" si="18"/>
        <v/>
      </c>
      <c r="AQ28" s="3" t="str">
        <f t="shared" si="18"/>
        <v/>
      </c>
      <c r="AR28" s="3" t="str">
        <f t="shared" si="18"/>
        <v/>
      </c>
      <c r="AS28" s="3" t="str">
        <f t="shared" si="18"/>
        <v/>
      </c>
      <c r="AT28" s="3" t="str">
        <f t="shared" si="18"/>
        <v/>
      </c>
      <c r="AU28" s="3" t="str">
        <f t="shared" si="18"/>
        <v/>
      </c>
      <c r="AV28" s="3" t="str">
        <f t="shared" si="18"/>
        <v/>
      </c>
      <c r="AW28" s="3" t="str">
        <f t="shared" si="19"/>
        <v/>
      </c>
      <c r="AX28" s="3" t="str">
        <f t="shared" si="19"/>
        <v/>
      </c>
      <c r="AY28" s="3" t="str">
        <f t="shared" si="19"/>
        <v/>
      </c>
      <c r="AZ28" s="3" t="str">
        <f t="shared" si="19"/>
        <v/>
      </c>
      <c r="BA28" s="3" t="str">
        <f t="shared" si="19"/>
        <v/>
      </c>
      <c r="BB28" s="3" t="str">
        <f t="shared" si="19"/>
        <v/>
      </c>
      <c r="BC28" s="3" t="str">
        <f t="shared" si="19"/>
        <v/>
      </c>
      <c r="BD28" s="3" t="str">
        <f t="shared" si="19"/>
        <v/>
      </c>
      <c r="BE28" s="3" t="str">
        <f t="shared" si="19"/>
        <v/>
      </c>
      <c r="BF28" s="3" t="str">
        <f t="shared" si="19"/>
        <v/>
      </c>
      <c r="BG28" s="3" t="str">
        <f t="shared" si="20"/>
        <v/>
      </c>
      <c r="BH28" s="3" t="str">
        <f t="shared" si="20"/>
        <v/>
      </c>
      <c r="BI28" s="3" t="str">
        <f t="shared" si="20"/>
        <v/>
      </c>
      <c r="BJ28" s="3" t="str">
        <f t="shared" si="20"/>
        <v/>
      </c>
      <c r="BK28" s="3" t="str">
        <f t="shared" si="20"/>
        <v/>
      </c>
      <c r="BL28" s="3" t="str">
        <f t="shared" si="20"/>
        <v/>
      </c>
      <c r="BM28" s="3" t="str">
        <f t="shared" si="20"/>
        <v/>
      </c>
      <c r="BN28" s="3" t="str">
        <f t="shared" si="20"/>
        <v/>
      </c>
      <c r="BO28" s="3" t="str">
        <f t="shared" si="20"/>
        <v/>
      </c>
      <c r="BP28" s="3" t="str">
        <f t="shared" si="20"/>
        <v/>
      </c>
      <c r="BQ28" s="3" t="str">
        <f t="shared" si="21"/>
        <v/>
      </c>
      <c r="BR28" s="3" t="str">
        <f t="shared" si="21"/>
        <v/>
      </c>
      <c r="BS28" s="3" t="str">
        <f t="shared" si="21"/>
        <v/>
      </c>
      <c r="BT28" s="3" t="str">
        <f t="shared" si="21"/>
        <v/>
      </c>
      <c r="BU28" s="3" t="str">
        <f t="shared" si="21"/>
        <v/>
      </c>
      <c r="BV28" s="3" t="str">
        <f t="shared" si="21"/>
        <v/>
      </c>
      <c r="BW28" s="3" t="str">
        <f t="shared" si="21"/>
        <v/>
      </c>
      <c r="BX28" s="3" t="str">
        <f t="shared" si="21"/>
        <v/>
      </c>
      <c r="BY28" s="3" t="str">
        <f t="shared" si="21"/>
        <v/>
      </c>
      <c r="BZ28" s="3" t="str">
        <f t="shared" si="21"/>
        <v/>
      </c>
      <c r="CB28" t="str" cm="1">
        <f t="array" ref="CB28">IF(Tasks!C28="","",SUMPRODUCT((Tasks!$E$4:$E$43&lt;Tasks!E28)*(Tasks!$C$4:$C$43&lt;&gt;""))+SUMPRODUCT((Tasks!$E$4:$E$43=Tasks!E28)*(Tasks!$A$4:$A$43&lt;Tasks!A28)*(Tasks!$C$4:$C$43&lt;&gt;""))+1)</f>
        <v/>
      </c>
      <c r="CC28" t="str">
        <f t="shared" si="7"/>
        <v/>
      </c>
    </row>
    <row r="29" spans="1:81" ht="16" customHeight="1" x14ac:dyDescent="0.2">
      <c r="A29" s="14" t="str" cm="1">
        <f t="array" ref="A29">IF($CC29="","",INDEX(Tasks!A$4:A$43,$CC29))</f>
        <v/>
      </c>
      <c r="B29" s="15" t="str" cm="1">
        <f t="array" ref="B29">IF($CC29="","",INDEX(Tasks!B$4:B$43,$CC29))</f>
        <v/>
      </c>
      <c r="C29" s="16" t="str" cm="1">
        <f t="array" ref="C29">IF($CC29="","",INDEX(Tasks!C$4:C$43,$CC29))</f>
        <v/>
      </c>
      <c r="D29" s="22" t="str" cm="1">
        <f t="array" ref="D29">IF($CC29="","",INDEX(Tasks!D$4:D$43,$CC29))</f>
        <v/>
      </c>
      <c r="E29" s="31" t="str" cm="1">
        <f t="array" ref="E29">IF($CC29="","",INDEX(Tasks!E$4:E$43,$CC29))</f>
        <v/>
      </c>
      <c r="F29" s="22" t="str" cm="1">
        <f t="array" ref="F29">IF($CC29="","",INDEX(Tasks!F$4:F$43,$CC29))</f>
        <v/>
      </c>
      <c r="G29" s="31" t="str" cm="1">
        <f t="array" ref="G29">IF($CC29="","",INDEX(Tasks!G$4:G$43,$CC29))</f>
        <v/>
      </c>
      <c r="H29" s="23" t="str" cm="1">
        <f t="array" ref="H29">IF($CC29="","",INDEX(Tasks!H$4:H$43,$CC29))</f>
        <v/>
      </c>
      <c r="I29" s="3" t="str">
        <f t="shared" si="15"/>
        <v/>
      </c>
      <c r="J29" s="3" t="str">
        <f t="shared" si="15"/>
        <v/>
      </c>
      <c r="K29" s="3" t="str">
        <f t="shared" si="15"/>
        <v/>
      </c>
      <c r="L29" s="3" t="str">
        <f t="shared" si="15"/>
        <v/>
      </c>
      <c r="M29" s="3" t="str">
        <f t="shared" si="15"/>
        <v/>
      </c>
      <c r="N29" s="3" t="str">
        <f t="shared" si="15"/>
        <v/>
      </c>
      <c r="O29" s="3" t="str">
        <f t="shared" si="15"/>
        <v/>
      </c>
      <c r="P29" s="3" t="str">
        <f t="shared" si="15"/>
        <v/>
      </c>
      <c r="Q29" s="3" t="str">
        <f t="shared" si="15"/>
        <v/>
      </c>
      <c r="R29" s="3" t="str">
        <f t="shared" si="15"/>
        <v/>
      </c>
      <c r="S29" s="3" t="str">
        <f t="shared" si="16"/>
        <v/>
      </c>
      <c r="T29" s="3" t="str">
        <f t="shared" si="16"/>
        <v/>
      </c>
      <c r="U29" s="3" t="str">
        <f t="shared" si="16"/>
        <v/>
      </c>
      <c r="V29" s="3" t="str">
        <f t="shared" si="16"/>
        <v/>
      </c>
      <c r="W29" s="3" t="str">
        <f t="shared" si="16"/>
        <v/>
      </c>
      <c r="X29" s="3" t="str">
        <f t="shared" si="16"/>
        <v/>
      </c>
      <c r="Y29" s="3" t="str">
        <f t="shared" si="16"/>
        <v/>
      </c>
      <c r="Z29" s="3" t="str">
        <f t="shared" si="16"/>
        <v/>
      </c>
      <c r="AA29" s="3" t="str">
        <f t="shared" si="16"/>
        <v/>
      </c>
      <c r="AB29" s="3" t="str">
        <f t="shared" si="16"/>
        <v/>
      </c>
      <c r="AC29" s="3" t="str">
        <f t="shared" si="17"/>
        <v/>
      </c>
      <c r="AD29" s="3" t="str">
        <f t="shared" si="17"/>
        <v/>
      </c>
      <c r="AE29" s="3" t="str">
        <f t="shared" si="17"/>
        <v/>
      </c>
      <c r="AF29" s="3" t="str">
        <f t="shared" si="17"/>
        <v/>
      </c>
      <c r="AG29" s="3" t="str">
        <f t="shared" si="17"/>
        <v/>
      </c>
      <c r="AH29" s="3" t="str">
        <f t="shared" si="17"/>
        <v/>
      </c>
      <c r="AI29" s="3" t="str">
        <f t="shared" si="17"/>
        <v/>
      </c>
      <c r="AJ29" s="3" t="str">
        <f t="shared" si="17"/>
        <v/>
      </c>
      <c r="AK29" s="3" t="str">
        <f t="shared" si="17"/>
        <v/>
      </c>
      <c r="AL29" s="3" t="str">
        <f t="shared" si="17"/>
        <v/>
      </c>
      <c r="AM29" s="3" t="str">
        <f t="shared" si="18"/>
        <v/>
      </c>
      <c r="AN29" s="3" t="str">
        <f t="shared" si="18"/>
        <v/>
      </c>
      <c r="AO29" s="3" t="str">
        <f t="shared" si="18"/>
        <v/>
      </c>
      <c r="AP29" s="3" t="str">
        <f t="shared" si="18"/>
        <v/>
      </c>
      <c r="AQ29" s="3" t="str">
        <f t="shared" si="18"/>
        <v/>
      </c>
      <c r="AR29" s="3" t="str">
        <f t="shared" si="18"/>
        <v/>
      </c>
      <c r="AS29" s="3" t="str">
        <f t="shared" si="18"/>
        <v/>
      </c>
      <c r="AT29" s="3" t="str">
        <f t="shared" si="18"/>
        <v/>
      </c>
      <c r="AU29" s="3" t="str">
        <f t="shared" si="18"/>
        <v/>
      </c>
      <c r="AV29" s="3" t="str">
        <f t="shared" si="18"/>
        <v/>
      </c>
      <c r="AW29" s="3" t="str">
        <f t="shared" si="19"/>
        <v/>
      </c>
      <c r="AX29" s="3" t="str">
        <f t="shared" si="19"/>
        <v/>
      </c>
      <c r="AY29" s="3" t="str">
        <f t="shared" si="19"/>
        <v/>
      </c>
      <c r="AZ29" s="3" t="str">
        <f t="shared" si="19"/>
        <v/>
      </c>
      <c r="BA29" s="3" t="str">
        <f t="shared" si="19"/>
        <v/>
      </c>
      <c r="BB29" s="3" t="str">
        <f t="shared" si="19"/>
        <v/>
      </c>
      <c r="BC29" s="3" t="str">
        <f t="shared" si="19"/>
        <v/>
      </c>
      <c r="BD29" s="3" t="str">
        <f t="shared" si="19"/>
        <v/>
      </c>
      <c r="BE29" s="3" t="str">
        <f t="shared" si="19"/>
        <v/>
      </c>
      <c r="BF29" s="3" t="str">
        <f t="shared" si="19"/>
        <v/>
      </c>
      <c r="BG29" s="3" t="str">
        <f t="shared" si="20"/>
        <v/>
      </c>
      <c r="BH29" s="3" t="str">
        <f t="shared" si="20"/>
        <v/>
      </c>
      <c r="BI29" s="3" t="str">
        <f t="shared" si="20"/>
        <v/>
      </c>
      <c r="BJ29" s="3" t="str">
        <f t="shared" si="20"/>
        <v/>
      </c>
      <c r="BK29" s="3" t="str">
        <f t="shared" si="20"/>
        <v/>
      </c>
      <c r="BL29" s="3" t="str">
        <f t="shared" si="20"/>
        <v/>
      </c>
      <c r="BM29" s="3" t="str">
        <f t="shared" si="20"/>
        <v/>
      </c>
      <c r="BN29" s="3" t="str">
        <f t="shared" si="20"/>
        <v/>
      </c>
      <c r="BO29" s="3" t="str">
        <f t="shared" si="20"/>
        <v/>
      </c>
      <c r="BP29" s="3" t="str">
        <f t="shared" si="20"/>
        <v/>
      </c>
      <c r="BQ29" s="3" t="str">
        <f t="shared" si="21"/>
        <v/>
      </c>
      <c r="BR29" s="3" t="str">
        <f t="shared" si="21"/>
        <v/>
      </c>
      <c r="BS29" s="3" t="str">
        <f t="shared" si="21"/>
        <v/>
      </c>
      <c r="BT29" s="3" t="str">
        <f t="shared" si="21"/>
        <v/>
      </c>
      <c r="BU29" s="3" t="str">
        <f t="shared" si="21"/>
        <v/>
      </c>
      <c r="BV29" s="3" t="str">
        <f t="shared" si="21"/>
        <v/>
      </c>
      <c r="BW29" s="3" t="str">
        <f t="shared" si="21"/>
        <v/>
      </c>
      <c r="BX29" s="3" t="str">
        <f t="shared" si="21"/>
        <v/>
      </c>
      <c r="BY29" s="3" t="str">
        <f t="shared" si="21"/>
        <v/>
      </c>
      <c r="BZ29" s="3" t="str">
        <f t="shared" si="21"/>
        <v/>
      </c>
      <c r="CB29" t="str" cm="1">
        <f t="array" ref="CB29">IF(Tasks!C29="","",SUMPRODUCT((Tasks!$E$4:$E$43&lt;Tasks!E29)*(Tasks!$C$4:$C$43&lt;&gt;""))+SUMPRODUCT((Tasks!$E$4:$E$43=Tasks!E29)*(Tasks!$A$4:$A$43&lt;Tasks!A29)*(Tasks!$C$4:$C$43&lt;&gt;""))+1)</f>
        <v/>
      </c>
      <c r="CC29" t="str">
        <f t="shared" si="7"/>
        <v/>
      </c>
    </row>
    <row r="30" spans="1:81" ht="16" customHeight="1" x14ac:dyDescent="0.2">
      <c r="A30" s="14" t="str" cm="1">
        <f t="array" ref="A30">IF($CC30="","",INDEX(Tasks!A$4:A$43,$CC30))</f>
        <v/>
      </c>
      <c r="B30" s="15" t="str" cm="1">
        <f t="array" ref="B30">IF($CC30="","",INDEX(Tasks!B$4:B$43,$CC30))</f>
        <v/>
      </c>
      <c r="C30" s="16" t="str" cm="1">
        <f t="array" ref="C30">IF($CC30="","",INDEX(Tasks!C$4:C$43,$CC30))</f>
        <v/>
      </c>
      <c r="D30" s="22" t="str" cm="1">
        <f t="array" ref="D30">IF($CC30="","",INDEX(Tasks!D$4:D$43,$CC30))</f>
        <v/>
      </c>
      <c r="E30" s="31" t="str" cm="1">
        <f t="array" ref="E30">IF($CC30="","",INDEX(Tasks!E$4:E$43,$CC30))</f>
        <v/>
      </c>
      <c r="F30" s="22" t="str" cm="1">
        <f t="array" ref="F30">IF($CC30="","",INDEX(Tasks!F$4:F$43,$CC30))</f>
        <v/>
      </c>
      <c r="G30" s="31" t="str" cm="1">
        <f t="array" ref="G30">IF($CC30="","",INDEX(Tasks!G$4:G$43,$CC30))</f>
        <v/>
      </c>
      <c r="H30" s="23" t="str" cm="1">
        <f t="array" ref="H30">IF($CC30="","",INDEX(Tasks!H$4:H$43,$CC30))</f>
        <v/>
      </c>
      <c r="I30" s="3" t="str">
        <f t="shared" si="15"/>
        <v/>
      </c>
      <c r="J30" s="3" t="str">
        <f t="shared" si="15"/>
        <v/>
      </c>
      <c r="K30" s="3" t="str">
        <f t="shared" si="15"/>
        <v/>
      </c>
      <c r="L30" s="3" t="str">
        <f t="shared" si="15"/>
        <v/>
      </c>
      <c r="M30" s="3" t="str">
        <f t="shared" si="15"/>
        <v/>
      </c>
      <c r="N30" s="3" t="str">
        <f t="shared" si="15"/>
        <v/>
      </c>
      <c r="O30" s="3" t="str">
        <f t="shared" si="15"/>
        <v/>
      </c>
      <c r="P30" s="3" t="str">
        <f t="shared" si="15"/>
        <v/>
      </c>
      <c r="Q30" s="3" t="str">
        <f t="shared" si="15"/>
        <v/>
      </c>
      <c r="R30" s="3" t="str">
        <f t="shared" si="15"/>
        <v/>
      </c>
      <c r="S30" s="3" t="str">
        <f t="shared" si="16"/>
        <v/>
      </c>
      <c r="T30" s="3" t="str">
        <f t="shared" si="16"/>
        <v/>
      </c>
      <c r="U30" s="3" t="str">
        <f t="shared" si="16"/>
        <v/>
      </c>
      <c r="V30" s="3" t="str">
        <f t="shared" si="16"/>
        <v/>
      </c>
      <c r="W30" s="3" t="str">
        <f t="shared" si="16"/>
        <v/>
      </c>
      <c r="X30" s="3" t="str">
        <f t="shared" si="16"/>
        <v/>
      </c>
      <c r="Y30" s="3" t="str">
        <f t="shared" si="16"/>
        <v/>
      </c>
      <c r="Z30" s="3" t="str">
        <f t="shared" si="16"/>
        <v/>
      </c>
      <c r="AA30" s="3" t="str">
        <f t="shared" si="16"/>
        <v/>
      </c>
      <c r="AB30" s="3" t="str">
        <f t="shared" si="16"/>
        <v/>
      </c>
      <c r="AC30" s="3" t="str">
        <f t="shared" si="17"/>
        <v/>
      </c>
      <c r="AD30" s="3" t="str">
        <f t="shared" si="17"/>
        <v/>
      </c>
      <c r="AE30" s="3" t="str">
        <f t="shared" si="17"/>
        <v/>
      </c>
      <c r="AF30" s="3" t="str">
        <f t="shared" si="17"/>
        <v/>
      </c>
      <c r="AG30" s="3" t="str">
        <f t="shared" si="17"/>
        <v/>
      </c>
      <c r="AH30" s="3" t="str">
        <f t="shared" si="17"/>
        <v/>
      </c>
      <c r="AI30" s="3" t="str">
        <f t="shared" si="17"/>
        <v/>
      </c>
      <c r="AJ30" s="3" t="str">
        <f t="shared" si="17"/>
        <v/>
      </c>
      <c r="AK30" s="3" t="str">
        <f t="shared" si="17"/>
        <v/>
      </c>
      <c r="AL30" s="3" t="str">
        <f t="shared" si="17"/>
        <v/>
      </c>
      <c r="AM30" s="3" t="str">
        <f t="shared" si="18"/>
        <v/>
      </c>
      <c r="AN30" s="3" t="str">
        <f t="shared" si="18"/>
        <v/>
      </c>
      <c r="AO30" s="3" t="str">
        <f t="shared" si="18"/>
        <v/>
      </c>
      <c r="AP30" s="3" t="str">
        <f t="shared" si="18"/>
        <v/>
      </c>
      <c r="AQ30" s="3" t="str">
        <f t="shared" si="18"/>
        <v/>
      </c>
      <c r="AR30" s="3" t="str">
        <f t="shared" si="18"/>
        <v/>
      </c>
      <c r="AS30" s="3" t="str">
        <f t="shared" si="18"/>
        <v/>
      </c>
      <c r="AT30" s="3" t="str">
        <f t="shared" si="18"/>
        <v/>
      </c>
      <c r="AU30" s="3" t="str">
        <f t="shared" si="18"/>
        <v/>
      </c>
      <c r="AV30" s="3" t="str">
        <f t="shared" si="18"/>
        <v/>
      </c>
      <c r="AW30" s="3" t="str">
        <f t="shared" si="19"/>
        <v/>
      </c>
      <c r="AX30" s="3" t="str">
        <f t="shared" si="19"/>
        <v/>
      </c>
      <c r="AY30" s="3" t="str">
        <f t="shared" si="19"/>
        <v/>
      </c>
      <c r="AZ30" s="3" t="str">
        <f t="shared" si="19"/>
        <v/>
      </c>
      <c r="BA30" s="3" t="str">
        <f t="shared" si="19"/>
        <v/>
      </c>
      <c r="BB30" s="3" t="str">
        <f t="shared" si="19"/>
        <v/>
      </c>
      <c r="BC30" s="3" t="str">
        <f t="shared" si="19"/>
        <v/>
      </c>
      <c r="BD30" s="3" t="str">
        <f t="shared" si="19"/>
        <v/>
      </c>
      <c r="BE30" s="3" t="str">
        <f t="shared" si="19"/>
        <v/>
      </c>
      <c r="BF30" s="3" t="str">
        <f t="shared" si="19"/>
        <v/>
      </c>
      <c r="BG30" s="3" t="str">
        <f t="shared" si="20"/>
        <v/>
      </c>
      <c r="BH30" s="3" t="str">
        <f t="shared" si="20"/>
        <v/>
      </c>
      <c r="BI30" s="3" t="str">
        <f t="shared" si="20"/>
        <v/>
      </c>
      <c r="BJ30" s="3" t="str">
        <f t="shared" si="20"/>
        <v/>
      </c>
      <c r="BK30" s="3" t="str">
        <f t="shared" si="20"/>
        <v/>
      </c>
      <c r="BL30" s="3" t="str">
        <f t="shared" si="20"/>
        <v/>
      </c>
      <c r="BM30" s="3" t="str">
        <f t="shared" si="20"/>
        <v/>
      </c>
      <c r="BN30" s="3" t="str">
        <f t="shared" si="20"/>
        <v/>
      </c>
      <c r="BO30" s="3" t="str">
        <f t="shared" si="20"/>
        <v/>
      </c>
      <c r="BP30" s="3" t="str">
        <f t="shared" si="20"/>
        <v/>
      </c>
      <c r="BQ30" s="3" t="str">
        <f t="shared" si="21"/>
        <v/>
      </c>
      <c r="BR30" s="3" t="str">
        <f t="shared" si="21"/>
        <v/>
      </c>
      <c r="BS30" s="3" t="str">
        <f t="shared" si="21"/>
        <v/>
      </c>
      <c r="BT30" s="3" t="str">
        <f t="shared" si="21"/>
        <v/>
      </c>
      <c r="BU30" s="3" t="str">
        <f t="shared" si="21"/>
        <v/>
      </c>
      <c r="BV30" s="3" t="str">
        <f t="shared" si="21"/>
        <v/>
      </c>
      <c r="BW30" s="3" t="str">
        <f t="shared" si="21"/>
        <v/>
      </c>
      <c r="BX30" s="3" t="str">
        <f t="shared" si="21"/>
        <v/>
      </c>
      <c r="BY30" s="3" t="str">
        <f t="shared" si="21"/>
        <v/>
      </c>
      <c r="BZ30" s="3" t="str">
        <f t="shared" si="21"/>
        <v/>
      </c>
      <c r="CB30" t="str" cm="1">
        <f t="array" ref="CB30">IF(Tasks!C30="","",SUMPRODUCT((Tasks!$E$4:$E$43&lt;Tasks!E30)*(Tasks!$C$4:$C$43&lt;&gt;""))+SUMPRODUCT((Tasks!$E$4:$E$43=Tasks!E30)*(Tasks!$A$4:$A$43&lt;Tasks!A30)*(Tasks!$C$4:$C$43&lt;&gt;""))+1)</f>
        <v/>
      </c>
      <c r="CC30" t="str">
        <f t="shared" si="7"/>
        <v/>
      </c>
    </row>
    <row r="31" spans="1:81" ht="16" customHeight="1" x14ac:dyDescent="0.2">
      <c r="A31" s="14" t="str" cm="1">
        <f t="array" ref="A31">IF($CC31="","",INDEX(Tasks!A$4:A$43,$CC31))</f>
        <v/>
      </c>
      <c r="B31" s="15" t="str" cm="1">
        <f t="array" ref="B31">IF($CC31="","",INDEX(Tasks!B$4:B$43,$CC31))</f>
        <v/>
      </c>
      <c r="C31" s="16" t="str" cm="1">
        <f t="array" ref="C31">IF($CC31="","",INDEX(Tasks!C$4:C$43,$CC31))</f>
        <v/>
      </c>
      <c r="D31" s="22" t="str" cm="1">
        <f t="array" ref="D31">IF($CC31="","",INDEX(Tasks!D$4:D$43,$CC31))</f>
        <v/>
      </c>
      <c r="E31" s="31" t="str" cm="1">
        <f t="array" ref="E31">IF($CC31="","",INDEX(Tasks!E$4:E$43,$CC31))</f>
        <v/>
      </c>
      <c r="F31" s="22" t="str" cm="1">
        <f t="array" ref="F31">IF($CC31="","",INDEX(Tasks!F$4:F$43,$CC31))</f>
        <v/>
      </c>
      <c r="G31" s="31" t="str" cm="1">
        <f t="array" ref="G31">IF($CC31="","",INDEX(Tasks!G$4:G$43,$CC31))</f>
        <v/>
      </c>
      <c r="H31" s="23" t="str" cm="1">
        <f t="array" ref="H31">IF($CC31="","",INDEX(Tasks!H$4:H$43,$CC31))</f>
        <v/>
      </c>
      <c r="I31" s="3" t="str">
        <f t="shared" si="15"/>
        <v/>
      </c>
      <c r="J31" s="3" t="str">
        <f t="shared" si="15"/>
        <v/>
      </c>
      <c r="K31" s="3" t="str">
        <f t="shared" si="15"/>
        <v/>
      </c>
      <c r="L31" s="3" t="str">
        <f t="shared" si="15"/>
        <v/>
      </c>
      <c r="M31" s="3" t="str">
        <f t="shared" si="15"/>
        <v/>
      </c>
      <c r="N31" s="3" t="str">
        <f t="shared" si="15"/>
        <v/>
      </c>
      <c r="O31" s="3" t="str">
        <f t="shared" si="15"/>
        <v/>
      </c>
      <c r="P31" s="3" t="str">
        <f t="shared" si="15"/>
        <v/>
      </c>
      <c r="Q31" s="3" t="str">
        <f t="shared" si="15"/>
        <v/>
      </c>
      <c r="R31" s="3" t="str">
        <f t="shared" si="15"/>
        <v/>
      </c>
      <c r="S31" s="3" t="str">
        <f t="shared" si="16"/>
        <v/>
      </c>
      <c r="T31" s="3" t="str">
        <f t="shared" si="16"/>
        <v/>
      </c>
      <c r="U31" s="3" t="str">
        <f t="shared" si="16"/>
        <v/>
      </c>
      <c r="V31" s="3" t="str">
        <f t="shared" si="16"/>
        <v/>
      </c>
      <c r="W31" s="3" t="str">
        <f t="shared" si="16"/>
        <v/>
      </c>
      <c r="X31" s="3" t="str">
        <f t="shared" si="16"/>
        <v/>
      </c>
      <c r="Y31" s="3" t="str">
        <f t="shared" si="16"/>
        <v/>
      </c>
      <c r="Z31" s="3" t="str">
        <f t="shared" si="16"/>
        <v/>
      </c>
      <c r="AA31" s="3" t="str">
        <f t="shared" si="16"/>
        <v/>
      </c>
      <c r="AB31" s="3" t="str">
        <f t="shared" si="16"/>
        <v/>
      </c>
      <c r="AC31" s="3" t="str">
        <f t="shared" si="17"/>
        <v/>
      </c>
      <c r="AD31" s="3" t="str">
        <f t="shared" si="17"/>
        <v/>
      </c>
      <c r="AE31" s="3" t="str">
        <f t="shared" si="17"/>
        <v/>
      </c>
      <c r="AF31" s="3" t="str">
        <f t="shared" si="17"/>
        <v/>
      </c>
      <c r="AG31" s="3" t="str">
        <f t="shared" si="17"/>
        <v/>
      </c>
      <c r="AH31" s="3" t="str">
        <f t="shared" si="17"/>
        <v/>
      </c>
      <c r="AI31" s="3" t="str">
        <f t="shared" si="17"/>
        <v/>
      </c>
      <c r="AJ31" s="3" t="str">
        <f t="shared" si="17"/>
        <v/>
      </c>
      <c r="AK31" s="3" t="str">
        <f t="shared" si="17"/>
        <v/>
      </c>
      <c r="AL31" s="3" t="str">
        <f t="shared" si="17"/>
        <v/>
      </c>
      <c r="AM31" s="3" t="str">
        <f t="shared" si="18"/>
        <v/>
      </c>
      <c r="AN31" s="3" t="str">
        <f t="shared" si="18"/>
        <v/>
      </c>
      <c r="AO31" s="3" t="str">
        <f t="shared" si="18"/>
        <v/>
      </c>
      <c r="AP31" s="3" t="str">
        <f t="shared" si="18"/>
        <v/>
      </c>
      <c r="AQ31" s="3" t="str">
        <f t="shared" si="18"/>
        <v/>
      </c>
      <c r="AR31" s="3" t="str">
        <f t="shared" si="18"/>
        <v/>
      </c>
      <c r="AS31" s="3" t="str">
        <f t="shared" si="18"/>
        <v/>
      </c>
      <c r="AT31" s="3" t="str">
        <f t="shared" si="18"/>
        <v/>
      </c>
      <c r="AU31" s="3" t="str">
        <f t="shared" si="18"/>
        <v/>
      </c>
      <c r="AV31" s="3" t="str">
        <f t="shared" si="18"/>
        <v/>
      </c>
      <c r="AW31" s="3" t="str">
        <f t="shared" si="19"/>
        <v/>
      </c>
      <c r="AX31" s="3" t="str">
        <f t="shared" si="19"/>
        <v/>
      </c>
      <c r="AY31" s="3" t="str">
        <f t="shared" si="19"/>
        <v/>
      </c>
      <c r="AZ31" s="3" t="str">
        <f t="shared" si="19"/>
        <v/>
      </c>
      <c r="BA31" s="3" t="str">
        <f t="shared" si="19"/>
        <v/>
      </c>
      <c r="BB31" s="3" t="str">
        <f t="shared" si="19"/>
        <v/>
      </c>
      <c r="BC31" s="3" t="str">
        <f t="shared" si="19"/>
        <v/>
      </c>
      <c r="BD31" s="3" t="str">
        <f t="shared" si="19"/>
        <v/>
      </c>
      <c r="BE31" s="3" t="str">
        <f t="shared" si="19"/>
        <v/>
      </c>
      <c r="BF31" s="3" t="str">
        <f t="shared" si="19"/>
        <v/>
      </c>
      <c r="BG31" s="3" t="str">
        <f t="shared" si="20"/>
        <v/>
      </c>
      <c r="BH31" s="3" t="str">
        <f t="shared" si="20"/>
        <v/>
      </c>
      <c r="BI31" s="3" t="str">
        <f t="shared" si="20"/>
        <v/>
      </c>
      <c r="BJ31" s="3" t="str">
        <f t="shared" si="20"/>
        <v/>
      </c>
      <c r="BK31" s="3" t="str">
        <f t="shared" si="20"/>
        <v/>
      </c>
      <c r="BL31" s="3" t="str">
        <f t="shared" si="20"/>
        <v/>
      </c>
      <c r="BM31" s="3" t="str">
        <f t="shared" si="20"/>
        <v/>
      </c>
      <c r="BN31" s="3" t="str">
        <f t="shared" si="20"/>
        <v/>
      </c>
      <c r="BO31" s="3" t="str">
        <f t="shared" si="20"/>
        <v/>
      </c>
      <c r="BP31" s="3" t="str">
        <f t="shared" si="20"/>
        <v/>
      </c>
      <c r="BQ31" s="3" t="str">
        <f t="shared" si="21"/>
        <v/>
      </c>
      <c r="BR31" s="3" t="str">
        <f t="shared" si="21"/>
        <v/>
      </c>
      <c r="BS31" s="3" t="str">
        <f t="shared" si="21"/>
        <v/>
      </c>
      <c r="BT31" s="3" t="str">
        <f t="shared" si="21"/>
        <v/>
      </c>
      <c r="BU31" s="3" t="str">
        <f t="shared" si="21"/>
        <v/>
      </c>
      <c r="BV31" s="3" t="str">
        <f t="shared" si="21"/>
        <v/>
      </c>
      <c r="BW31" s="3" t="str">
        <f t="shared" si="21"/>
        <v/>
      </c>
      <c r="BX31" s="3" t="str">
        <f t="shared" si="21"/>
        <v/>
      </c>
      <c r="BY31" s="3" t="str">
        <f t="shared" si="21"/>
        <v/>
      </c>
      <c r="BZ31" s="3" t="str">
        <f t="shared" si="21"/>
        <v/>
      </c>
      <c r="CB31" t="str" cm="1">
        <f t="array" ref="CB31">IF(Tasks!C31="","",SUMPRODUCT((Tasks!$E$4:$E$43&lt;Tasks!E31)*(Tasks!$C$4:$C$43&lt;&gt;""))+SUMPRODUCT((Tasks!$E$4:$E$43=Tasks!E31)*(Tasks!$A$4:$A$43&lt;Tasks!A31)*(Tasks!$C$4:$C$43&lt;&gt;""))+1)</f>
        <v/>
      </c>
      <c r="CC31" t="str">
        <f t="shared" si="7"/>
        <v/>
      </c>
    </row>
    <row r="32" spans="1:81" ht="16" customHeight="1" x14ac:dyDescent="0.2">
      <c r="A32" s="14" t="str" cm="1">
        <f t="array" ref="A32">IF($CC32="","",INDEX(Tasks!A$4:A$43,$CC32))</f>
        <v/>
      </c>
      <c r="B32" s="15" t="str" cm="1">
        <f t="array" ref="B32">IF($CC32="","",INDEX(Tasks!B$4:B$43,$CC32))</f>
        <v/>
      </c>
      <c r="C32" s="16" t="str" cm="1">
        <f t="array" ref="C32">IF($CC32="","",INDEX(Tasks!C$4:C$43,$CC32))</f>
        <v/>
      </c>
      <c r="D32" s="22" t="str" cm="1">
        <f t="array" ref="D32">IF($CC32="","",INDEX(Tasks!D$4:D$43,$CC32))</f>
        <v/>
      </c>
      <c r="E32" s="31" t="str" cm="1">
        <f t="array" ref="E32">IF($CC32="","",INDEX(Tasks!E$4:E$43,$CC32))</f>
        <v/>
      </c>
      <c r="F32" s="22" t="str" cm="1">
        <f t="array" ref="F32">IF($CC32="","",INDEX(Tasks!F$4:F$43,$CC32))</f>
        <v/>
      </c>
      <c r="G32" s="31" t="str" cm="1">
        <f t="array" ref="G32">IF($CC32="","",INDEX(Tasks!G$4:G$43,$CC32))</f>
        <v/>
      </c>
      <c r="H32" s="23" t="str" cm="1">
        <f t="array" ref="H32">IF($CC32="","",INDEX(Tasks!H$4:H$43,$CC32))</f>
        <v/>
      </c>
      <c r="I32" s="3" t="str">
        <f t="shared" si="15"/>
        <v/>
      </c>
      <c r="J32" s="3" t="str">
        <f t="shared" si="15"/>
        <v/>
      </c>
      <c r="K32" s="3" t="str">
        <f t="shared" si="15"/>
        <v/>
      </c>
      <c r="L32" s="3" t="str">
        <f t="shared" si="15"/>
        <v/>
      </c>
      <c r="M32" s="3" t="str">
        <f t="shared" si="15"/>
        <v/>
      </c>
      <c r="N32" s="3" t="str">
        <f t="shared" si="15"/>
        <v/>
      </c>
      <c r="O32" s="3" t="str">
        <f t="shared" si="15"/>
        <v/>
      </c>
      <c r="P32" s="3" t="str">
        <f t="shared" si="15"/>
        <v/>
      </c>
      <c r="Q32" s="3" t="str">
        <f t="shared" si="15"/>
        <v/>
      </c>
      <c r="R32" s="3" t="str">
        <f t="shared" si="15"/>
        <v/>
      </c>
      <c r="S32" s="3" t="str">
        <f t="shared" si="16"/>
        <v/>
      </c>
      <c r="T32" s="3" t="str">
        <f t="shared" si="16"/>
        <v/>
      </c>
      <c r="U32" s="3" t="str">
        <f t="shared" si="16"/>
        <v/>
      </c>
      <c r="V32" s="3" t="str">
        <f t="shared" si="16"/>
        <v/>
      </c>
      <c r="W32" s="3" t="str">
        <f t="shared" si="16"/>
        <v/>
      </c>
      <c r="X32" s="3" t="str">
        <f t="shared" si="16"/>
        <v/>
      </c>
      <c r="Y32" s="3" t="str">
        <f t="shared" si="16"/>
        <v/>
      </c>
      <c r="Z32" s="3" t="str">
        <f t="shared" si="16"/>
        <v/>
      </c>
      <c r="AA32" s="3" t="str">
        <f t="shared" si="16"/>
        <v/>
      </c>
      <c r="AB32" s="3" t="str">
        <f t="shared" si="16"/>
        <v/>
      </c>
      <c r="AC32" s="3" t="str">
        <f t="shared" si="17"/>
        <v/>
      </c>
      <c r="AD32" s="3" t="str">
        <f t="shared" si="17"/>
        <v/>
      </c>
      <c r="AE32" s="3" t="str">
        <f t="shared" si="17"/>
        <v/>
      </c>
      <c r="AF32" s="3" t="str">
        <f t="shared" si="17"/>
        <v/>
      </c>
      <c r="AG32" s="3" t="str">
        <f t="shared" si="17"/>
        <v/>
      </c>
      <c r="AH32" s="3" t="str">
        <f t="shared" si="17"/>
        <v/>
      </c>
      <c r="AI32" s="3" t="str">
        <f t="shared" si="17"/>
        <v/>
      </c>
      <c r="AJ32" s="3" t="str">
        <f t="shared" si="17"/>
        <v/>
      </c>
      <c r="AK32" s="3" t="str">
        <f t="shared" si="17"/>
        <v/>
      </c>
      <c r="AL32" s="3" t="str">
        <f t="shared" si="17"/>
        <v/>
      </c>
      <c r="AM32" s="3" t="str">
        <f t="shared" si="18"/>
        <v/>
      </c>
      <c r="AN32" s="3" t="str">
        <f t="shared" si="18"/>
        <v/>
      </c>
      <c r="AO32" s="3" t="str">
        <f t="shared" si="18"/>
        <v/>
      </c>
      <c r="AP32" s="3" t="str">
        <f t="shared" si="18"/>
        <v/>
      </c>
      <c r="AQ32" s="3" t="str">
        <f t="shared" si="18"/>
        <v/>
      </c>
      <c r="AR32" s="3" t="str">
        <f t="shared" si="18"/>
        <v/>
      </c>
      <c r="AS32" s="3" t="str">
        <f t="shared" si="18"/>
        <v/>
      </c>
      <c r="AT32" s="3" t="str">
        <f t="shared" si="18"/>
        <v/>
      </c>
      <c r="AU32" s="3" t="str">
        <f t="shared" si="18"/>
        <v/>
      </c>
      <c r="AV32" s="3" t="str">
        <f t="shared" si="18"/>
        <v/>
      </c>
      <c r="AW32" s="3" t="str">
        <f t="shared" si="19"/>
        <v/>
      </c>
      <c r="AX32" s="3" t="str">
        <f t="shared" si="19"/>
        <v/>
      </c>
      <c r="AY32" s="3" t="str">
        <f t="shared" si="19"/>
        <v/>
      </c>
      <c r="AZ32" s="3" t="str">
        <f t="shared" si="19"/>
        <v/>
      </c>
      <c r="BA32" s="3" t="str">
        <f t="shared" si="19"/>
        <v/>
      </c>
      <c r="BB32" s="3" t="str">
        <f t="shared" si="19"/>
        <v/>
      </c>
      <c r="BC32" s="3" t="str">
        <f t="shared" si="19"/>
        <v/>
      </c>
      <c r="BD32" s="3" t="str">
        <f t="shared" si="19"/>
        <v/>
      </c>
      <c r="BE32" s="3" t="str">
        <f t="shared" si="19"/>
        <v/>
      </c>
      <c r="BF32" s="3" t="str">
        <f t="shared" si="19"/>
        <v/>
      </c>
      <c r="BG32" s="3" t="str">
        <f t="shared" si="20"/>
        <v/>
      </c>
      <c r="BH32" s="3" t="str">
        <f t="shared" si="20"/>
        <v/>
      </c>
      <c r="BI32" s="3" t="str">
        <f t="shared" si="20"/>
        <v/>
      </c>
      <c r="BJ32" s="3" t="str">
        <f t="shared" si="20"/>
        <v/>
      </c>
      <c r="BK32" s="3" t="str">
        <f t="shared" si="20"/>
        <v/>
      </c>
      <c r="BL32" s="3" t="str">
        <f t="shared" si="20"/>
        <v/>
      </c>
      <c r="BM32" s="3" t="str">
        <f t="shared" si="20"/>
        <v/>
      </c>
      <c r="BN32" s="3" t="str">
        <f t="shared" si="20"/>
        <v/>
      </c>
      <c r="BO32" s="3" t="str">
        <f t="shared" si="20"/>
        <v/>
      </c>
      <c r="BP32" s="3" t="str">
        <f t="shared" si="20"/>
        <v/>
      </c>
      <c r="BQ32" s="3" t="str">
        <f t="shared" si="21"/>
        <v/>
      </c>
      <c r="BR32" s="3" t="str">
        <f t="shared" si="21"/>
        <v/>
      </c>
      <c r="BS32" s="3" t="str">
        <f t="shared" si="21"/>
        <v/>
      </c>
      <c r="BT32" s="3" t="str">
        <f t="shared" si="21"/>
        <v/>
      </c>
      <c r="BU32" s="3" t="str">
        <f t="shared" si="21"/>
        <v/>
      </c>
      <c r="BV32" s="3" t="str">
        <f t="shared" si="21"/>
        <v/>
      </c>
      <c r="BW32" s="3" t="str">
        <f t="shared" si="21"/>
        <v/>
      </c>
      <c r="BX32" s="3" t="str">
        <f t="shared" si="21"/>
        <v/>
      </c>
      <c r="BY32" s="3" t="str">
        <f t="shared" si="21"/>
        <v/>
      </c>
      <c r="BZ32" s="3" t="str">
        <f t="shared" si="21"/>
        <v/>
      </c>
      <c r="CB32" t="str" cm="1">
        <f t="array" ref="CB32">IF(Tasks!C32="","",SUMPRODUCT((Tasks!$E$4:$E$43&lt;Tasks!E32)*(Tasks!$C$4:$C$43&lt;&gt;""))+SUMPRODUCT((Tasks!$E$4:$E$43=Tasks!E32)*(Tasks!$A$4:$A$43&lt;Tasks!A32)*(Tasks!$C$4:$C$43&lt;&gt;""))+1)</f>
        <v/>
      </c>
      <c r="CC32" t="str">
        <f t="shared" si="7"/>
        <v/>
      </c>
    </row>
    <row r="33" spans="1:81" ht="16" customHeight="1" x14ac:dyDescent="0.2">
      <c r="A33" s="14" t="str" cm="1">
        <f t="array" ref="A33">IF($CC33="","",INDEX(Tasks!A$4:A$43,$CC33))</f>
        <v/>
      </c>
      <c r="B33" s="15" t="str" cm="1">
        <f t="array" ref="B33">IF($CC33="","",INDEX(Tasks!B$4:B$43,$CC33))</f>
        <v/>
      </c>
      <c r="C33" s="16" t="str" cm="1">
        <f t="array" ref="C33">IF($CC33="","",INDEX(Tasks!C$4:C$43,$CC33))</f>
        <v/>
      </c>
      <c r="D33" s="22" t="str" cm="1">
        <f t="array" ref="D33">IF($CC33="","",INDEX(Tasks!D$4:D$43,$CC33))</f>
        <v/>
      </c>
      <c r="E33" s="31" t="str" cm="1">
        <f t="array" ref="E33">IF($CC33="","",INDEX(Tasks!E$4:E$43,$CC33))</f>
        <v/>
      </c>
      <c r="F33" s="22" t="str" cm="1">
        <f t="array" ref="F33">IF($CC33="","",INDEX(Tasks!F$4:F$43,$CC33))</f>
        <v/>
      </c>
      <c r="G33" s="31" t="str" cm="1">
        <f t="array" ref="G33">IF($CC33="","",INDEX(Tasks!G$4:G$43,$CC33))</f>
        <v/>
      </c>
      <c r="H33" s="23" t="str" cm="1">
        <f t="array" ref="H33">IF($CC33="","",INDEX(Tasks!H$4:H$43,$CC33))</f>
        <v/>
      </c>
      <c r="I33" s="3" t="str">
        <f t="shared" si="15"/>
        <v/>
      </c>
      <c r="J33" s="3" t="str">
        <f t="shared" si="15"/>
        <v/>
      </c>
      <c r="K33" s="3" t="str">
        <f t="shared" si="15"/>
        <v/>
      </c>
      <c r="L33" s="3" t="str">
        <f t="shared" si="15"/>
        <v/>
      </c>
      <c r="M33" s="3" t="str">
        <f t="shared" si="15"/>
        <v/>
      </c>
      <c r="N33" s="3" t="str">
        <f t="shared" si="15"/>
        <v/>
      </c>
      <c r="O33" s="3" t="str">
        <f t="shared" si="15"/>
        <v/>
      </c>
      <c r="P33" s="3" t="str">
        <f t="shared" si="15"/>
        <v/>
      </c>
      <c r="Q33" s="3" t="str">
        <f t="shared" si="15"/>
        <v/>
      </c>
      <c r="R33" s="3" t="str">
        <f t="shared" si="15"/>
        <v/>
      </c>
      <c r="S33" s="3" t="str">
        <f t="shared" si="16"/>
        <v/>
      </c>
      <c r="T33" s="3" t="str">
        <f t="shared" si="16"/>
        <v/>
      </c>
      <c r="U33" s="3" t="str">
        <f t="shared" si="16"/>
        <v/>
      </c>
      <c r="V33" s="3" t="str">
        <f t="shared" si="16"/>
        <v/>
      </c>
      <c r="W33" s="3" t="str">
        <f t="shared" si="16"/>
        <v/>
      </c>
      <c r="X33" s="3" t="str">
        <f t="shared" si="16"/>
        <v/>
      </c>
      <c r="Y33" s="3" t="str">
        <f t="shared" si="16"/>
        <v/>
      </c>
      <c r="Z33" s="3" t="str">
        <f t="shared" si="16"/>
        <v/>
      </c>
      <c r="AA33" s="3" t="str">
        <f t="shared" si="16"/>
        <v/>
      </c>
      <c r="AB33" s="3" t="str">
        <f t="shared" si="16"/>
        <v/>
      </c>
      <c r="AC33" s="3" t="str">
        <f t="shared" si="17"/>
        <v/>
      </c>
      <c r="AD33" s="3" t="str">
        <f t="shared" si="17"/>
        <v/>
      </c>
      <c r="AE33" s="3" t="str">
        <f t="shared" si="17"/>
        <v/>
      </c>
      <c r="AF33" s="3" t="str">
        <f t="shared" si="17"/>
        <v/>
      </c>
      <c r="AG33" s="3" t="str">
        <f t="shared" si="17"/>
        <v/>
      </c>
      <c r="AH33" s="3" t="str">
        <f t="shared" si="17"/>
        <v/>
      </c>
      <c r="AI33" s="3" t="str">
        <f t="shared" si="17"/>
        <v/>
      </c>
      <c r="AJ33" s="3" t="str">
        <f t="shared" si="17"/>
        <v/>
      </c>
      <c r="AK33" s="3" t="str">
        <f t="shared" si="17"/>
        <v/>
      </c>
      <c r="AL33" s="3" t="str">
        <f t="shared" si="17"/>
        <v/>
      </c>
      <c r="AM33" s="3" t="str">
        <f t="shared" si="18"/>
        <v/>
      </c>
      <c r="AN33" s="3" t="str">
        <f t="shared" si="18"/>
        <v/>
      </c>
      <c r="AO33" s="3" t="str">
        <f t="shared" si="18"/>
        <v/>
      </c>
      <c r="AP33" s="3" t="str">
        <f t="shared" si="18"/>
        <v/>
      </c>
      <c r="AQ33" s="3" t="str">
        <f t="shared" si="18"/>
        <v/>
      </c>
      <c r="AR33" s="3" t="str">
        <f t="shared" si="18"/>
        <v/>
      </c>
      <c r="AS33" s="3" t="str">
        <f t="shared" si="18"/>
        <v/>
      </c>
      <c r="AT33" s="3" t="str">
        <f t="shared" si="18"/>
        <v/>
      </c>
      <c r="AU33" s="3" t="str">
        <f t="shared" si="18"/>
        <v/>
      </c>
      <c r="AV33" s="3" t="str">
        <f t="shared" si="18"/>
        <v/>
      </c>
      <c r="AW33" s="3" t="str">
        <f t="shared" si="19"/>
        <v/>
      </c>
      <c r="AX33" s="3" t="str">
        <f t="shared" si="19"/>
        <v/>
      </c>
      <c r="AY33" s="3" t="str">
        <f t="shared" si="19"/>
        <v/>
      </c>
      <c r="AZ33" s="3" t="str">
        <f t="shared" si="19"/>
        <v/>
      </c>
      <c r="BA33" s="3" t="str">
        <f t="shared" si="19"/>
        <v/>
      </c>
      <c r="BB33" s="3" t="str">
        <f t="shared" si="19"/>
        <v/>
      </c>
      <c r="BC33" s="3" t="str">
        <f t="shared" si="19"/>
        <v/>
      </c>
      <c r="BD33" s="3" t="str">
        <f t="shared" si="19"/>
        <v/>
      </c>
      <c r="BE33" s="3" t="str">
        <f t="shared" si="19"/>
        <v/>
      </c>
      <c r="BF33" s="3" t="str">
        <f t="shared" si="19"/>
        <v/>
      </c>
      <c r="BG33" s="3" t="str">
        <f t="shared" si="20"/>
        <v/>
      </c>
      <c r="BH33" s="3" t="str">
        <f t="shared" si="20"/>
        <v/>
      </c>
      <c r="BI33" s="3" t="str">
        <f t="shared" si="20"/>
        <v/>
      </c>
      <c r="BJ33" s="3" t="str">
        <f t="shared" si="20"/>
        <v/>
      </c>
      <c r="BK33" s="3" t="str">
        <f t="shared" si="20"/>
        <v/>
      </c>
      <c r="BL33" s="3" t="str">
        <f t="shared" si="20"/>
        <v/>
      </c>
      <c r="BM33" s="3" t="str">
        <f t="shared" si="20"/>
        <v/>
      </c>
      <c r="BN33" s="3" t="str">
        <f t="shared" si="20"/>
        <v/>
      </c>
      <c r="BO33" s="3" t="str">
        <f t="shared" si="20"/>
        <v/>
      </c>
      <c r="BP33" s="3" t="str">
        <f t="shared" si="20"/>
        <v/>
      </c>
      <c r="BQ33" s="3" t="str">
        <f t="shared" si="21"/>
        <v/>
      </c>
      <c r="BR33" s="3" t="str">
        <f t="shared" si="21"/>
        <v/>
      </c>
      <c r="BS33" s="3" t="str">
        <f t="shared" si="21"/>
        <v/>
      </c>
      <c r="BT33" s="3" t="str">
        <f t="shared" si="21"/>
        <v/>
      </c>
      <c r="BU33" s="3" t="str">
        <f t="shared" si="21"/>
        <v/>
      </c>
      <c r="BV33" s="3" t="str">
        <f t="shared" si="21"/>
        <v/>
      </c>
      <c r="BW33" s="3" t="str">
        <f t="shared" si="21"/>
        <v/>
      </c>
      <c r="BX33" s="3" t="str">
        <f t="shared" si="21"/>
        <v/>
      </c>
      <c r="BY33" s="3" t="str">
        <f t="shared" si="21"/>
        <v/>
      </c>
      <c r="BZ33" s="3" t="str">
        <f t="shared" si="21"/>
        <v/>
      </c>
      <c r="CB33" t="str" cm="1">
        <f t="array" ref="CB33">IF(Tasks!C33="","",SUMPRODUCT((Tasks!$E$4:$E$43&lt;Tasks!E33)*(Tasks!$C$4:$C$43&lt;&gt;""))+SUMPRODUCT((Tasks!$E$4:$E$43=Tasks!E33)*(Tasks!$A$4:$A$43&lt;Tasks!A33)*(Tasks!$C$4:$C$43&lt;&gt;""))+1)</f>
        <v/>
      </c>
      <c r="CC33" t="str">
        <f t="shared" si="7"/>
        <v/>
      </c>
    </row>
    <row r="34" spans="1:81" ht="16" customHeight="1" x14ac:dyDescent="0.2">
      <c r="A34" s="14" t="str" cm="1">
        <f t="array" ref="A34">IF($CC34="","",INDEX(Tasks!A$4:A$43,$CC34))</f>
        <v/>
      </c>
      <c r="B34" s="15" t="str" cm="1">
        <f t="array" ref="B34">IF($CC34="","",INDEX(Tasks!B$4:B$43,$CC34))</f>
        <v/>
      </c>
      <c r="C34" s="16" t="str" cm="1">
        <f t="array" ref="C34">IF($CC34="","",INDEX(Tasks!C$4:C$43,$CC34))</f>
        <v/>
      </c>
      <c r="D34" s="22" t="str" cm="1">
        <f t="array" ref="D34">IF($CC34="","",INDEX(Tasks!D$4:D$43,$CC34))</f>
        <v/>
      </c>
      <c r="E34" s="31" t="str" cm="1">
        <f t="array" ref="E34">IF($CC34="","",INDEX(Tasks!E$4:E$43,$CC34))</f>
        <v/>
      </c>
      <c r="F34" s="22" t="str" cm="1">
        <f t="array" ref="F34">IF($CC34="","",INDEX(Tasks!F$4:F$43,$CC34))</f>
        <v/>
      </c>
      <c r="G34" s="31" t="str" cm="1">
        <f t="array" ref="G34">IF($CC34="","",INDEX(Tasks!G$4:G$43,$CC34))</f>
        <v/>
      </c>
      <c r="H34" s="23" t="str" cm="1">
        <f t="array" ref="H34">IF($CC34="","",INDEX(Tasks!H$4:H$43,$CC34))</f>
        <v/>
      </c>
    </row>
    <row r="35" spans="1:81" ht="16" customHeight="1" x14ac:dyDescent="0.2">
      <c r="A35" s="42" t="str" cm="1">
        <f t="array" ref="A35">IF($CC35="","",INDEX(Tasks!A$4:A$43,$CC35))</f>
        <v/>
      </c>
      <c r="B35" s="43" t="str" cm="1">
        <f t="array" ref="B35">IF($CC35="","",INDEX(Tasks!B$4:B$43,$CC35))</f>
        <v/>
      </c>
      <c r="C35" s="44" t="str" cm="1">
        <f t="array" ref="C35">IF($CC35="","",INDEX(Tasks!C$4:C$43,$CC35))</f>
        <v/>
      </c>
      <c r="D35" s="45" t="str" cm="1">
        <f t="array" ref="D35">IF($CC35="","",INDEX(Tasks!D$4:D$43,$CC35))</f>
        <v/>
      </c>
      <c r="E35" s="46" t="str" cm="1">
        <f t="array" ref="E35">IF($CC35="","",INDEX(Tasks!E$4:E$43,$CC35))</f>
        <v/>
      </c>
      <c r="F35" s="45" t="str" cm="1">
        <f t="array" ref="F35">IF($CC35="","",INDEX(Tasks!F$4:F$43,$CC35))</f>
        <v/>
      </c>
      <c r="G35" s="46" t="str" cm="1">
        <f t="array" ref="G35">IF($CC35="","",INDEX(Tasks!G$4:G$43,$CC35))</f>
        <v/>
      </c>
      <c r="H35" s="47" t="str" cm="1">
        <f t="array" ref="H35">IF($CC35="","",INDEX(Tasks!H$4:H$43,$CC35))</f>
        <v/>
      </c>
      <c r="I35" s="48"/>
      <c r="J35" s="48"/>
      <c r="K35" s="48"/>
      <c r="L35" s="48"/>
      <c r="M35" s="48"/>
      <c r="N35" s="48"/>
      <c r="P35" s="48"/>
      <c r="Q35" s="48"/>
      <c r="R35" s="48"/>
      <c r="S35" s="48"/>
      <c r="T35" s="48"/>
      <c r="U35" s="48"/>
      <c r="W35" s="48"/>
      <c r="X35" s="48"/>
      <c r="Y35" s="48"/>
      <c r="Z35" s="48"/>
      <c r="AA35" s="48"/>
      <c r="AB35" s="48"/>
      <c r="AD35" s="48"/>
      <c r="AE35" s="48"/>
      <c r="AF35" s="48"/>
      <c r="AG35" s="48"/>
      <c r="AH35" s="48"/>
      <c r="AI35" s="48"/>
      <c r="AK35" s="48"/>
      <c r="AL35" s="48"/>
      <c r="AM35" s="48"/>
      <c r="AN35" s="48"/>
      <c r="AO35" s="48"/>
      <c r="AP35" s="48"/>
    </row>
    <row r="36" spans="1:81" ht="15" x14ac:dyDescent="0.2">
      <c r="A36" s="14" t="str" cm="1">
        <f t="array" ref="A36">IF($CC36="","",INDEX(Tasks!A$4:A$43,$CC36))</f>
        <v/>
      </c>
      <c r="B36" s="15" t="str" cm="1">
        <f t="array" ref="B36">IF($CC36="","",INDEX(Tasks!B$4:B$43,$CC36))</f>
        <v/>
      </c>
      <c r="C36" s="16" t="str" cm="1">
        <f t="array" ref="C36">IF($CC36="","",INDEX(Tasks!C$4:C$43,$CC36))</f>
        <v/>
      </c>
      <c r="D36" s="22" t="str" cm="1">
        <f t="array" ref="D36">IF($CC36="","",INDEX(Tasks!D$4:D$43,$CC36))</f>
        <v/>
      </c>
      <c r="E36" s="31" t="str" cm="1">
        <f t="array" ref="E36">IF($CC36="","",INDEX(Tasks!E$4:E$43,$CC36))</f>
        <v/>
      </c>
      <c r="F36" s="22" t="str" cm="1">
        <f t="array" ref="F36">IF($CC36="","",INDEX(Tasks!F$4:F$43,$CC36))</f>
        <v/>
      </c>
      <c r="G36" s="31" t="str" cm="1">
        <f t="array" ref="G36">IF($CC36="","",INDEX(Tasks!G$4:G$43,$CC36))</f>
        <v/>
      </c>
      <c r="H36" s="23" t="str" cm="1">
        <f t="array" ref="H36">IF($CC36="","",INDEX(Tasks!H$4:H$43,$CC36))</f>
        <v/>
      </c>
    </row>
    <row r="37" spans="1:81" ht="15" x14ac:dyDescent="0.2">
      <c r="A37" s="14" t="str" cm="1">
        <f t="array" ref="A37">IF($CC37="","",INDEX(Tasks!A$4:A$43,$CC37))</f>
        <v/>
      </c>
      <c r="B37" s="15" t="str" cm="1">
        <f t="array" ref="B37">IF($CC37="","",INDEX(Tasks!B$4:B$43,$CC37))</f>
        <v/>
      </c>
      <c r="C37" s="16" t="str" cm="1">
        <f t="array" ref="C37">IF($CC37="","",INDEX(Tasks!C$4:C$43,$CC37))</f>
        <v/>
      </c>
      <c r="D37" s="22" t="str" cm="1">
        <f t="array" ref="D37">IF($CC37="","",INDEX(Tasks!D$4:D$43,$CC37))</f>
        <v/>
      </c>
      <c r="E37" s="31" t="str" cm="1">
        <f t="array" ref="E37">IF($CC37="","",INDEX(Tasks!E$4:E$43,$CC37))</f>
        <v/>
      </c>
      <c r="F37" s="22" t="str" cm="1">
        <f t="array" ref="F37">IF($CC37="","",INDEX(Tasks!F$4:F$43,$CC37))</f>
        <v/>
      </c>
      <c r="G37" s="31" t="str" cm="1">
        <f t="array" ref="G37">IF($CC37="","",INDEX(Tasks!G$4:G$43,$CC37))</f>
        <v/>
      </c>
      <c r="H37" s="23" t="str" cm="1">
        <f t="array" ref="H37">IF($CC37="","",INDEX(Tasks!H$4:H$43,$CC37))</f>
        <v/>
      </c>
    </row>
    <row r="38" spans="1:81" ht="15" x14ac:dyDescent="0.2">
      <c r="A38" s="14" t="str" cm="1">
        <f t="array" ref="A38">IF($CC38="","",INDEX(Tasks!A$4:A$43,$CC38))</f>
        <v/>
      </c>
      <c r="B38" s="15" t="str" cm="1">
        <f t="array" ref="B38">IF($CC38="","",INDEX(Tasks!B$4:B$43,$CC38))</f>
        <v/>
      </c>
      <c r="C38" s="16" t="str" cm="1">
        <f t="array" ref="C38">IF($CC38="","",INDEX(Tasks!C$4:C$43,$CC38))</f>
        <v/>
      </c>
      <c r="D38" s="22" t="str" cm="1">
        <f t="array" ref="D38">IF($CC38="","",INDEX(Tasks!D$4:D$43,$CC38))</f>
        <v/>
      </c>
      <c r="E38" s="31" t="str" cm="1">
        <f t="array" ref="E38">IF($CC38="","",INDEX(Tasks!E$4:E$43,$CC38))</f>
        <v/>
      </c>
      <c r="F38" s="22" t="str" cm="1">
        <f t="array" ref="F38">IF($CC38="","",INDEX(Tasks!F$4:F$43,$CC38))</f>
        <v/>
      </c>
      <c r="G38" s="31" t="str" cm="1">
        <f t="array" ref="G38">IF($CC38="","",INDEX(Tasks!G$4:G$43,$CC38))</f>
        <v/>
      </c>
      <c r="H38" s="23" t="str" cm="1">
        <f t="array" ref="H38">IF($CC38="","",INDEX(Tasks!H$4:H$43,$CC38))</f>
        <v/>
      </c>
    </row>
    <row r="39" spans="1:81" ht="15" x14ac:dyDescent="0.2">
      <c r="A39" s="14" t="str" cm="1">
        <f t="array" ref="A39">IF($CC39="","",INDEX(Tasks!A$4:A$43,$CC39))</f>
        <v/>
      </c>
      <c r="B39" s="15" t="str" cm="1">
        <f t="array" ref="B39">IF($CC39="","",INDEX(Tasks!B$4:B$43,$CC39))</f>
        <v/>
      </c>
      <c r="C39" s="16" t="str" cm="1">
        <f t="array" ref="C39">IF($CC39="","",INDEX(Tasks!C$4:C$43,$CC39))</f>
        <v/>
      </c>
      <c r="D39" s="22" t="str" cm="1">
        <f t="array" ref="D39">IF($CC39="","",INDEX(Tasks!D$4:D$43,$CC39))</f>
        <v/>
      </c>
      <c r="E39" s="31" t="str" cm="1">
        <f t="array" ref="E39">IF($CC39="","",INDEX(Tasks!E$4:E$43,$CC39))</f>
        <v/>
      </c>
      <c r="F39" s="22" t="str" cm="1">
        <f t="array" ref="F39">IF($CC39="","",INDEX(Tasks!F$4:F$43,$CC39))</f>
        <v/>
      </c>
      <c r="G39" s="31" t="str" cm="1">
        <f t="array" ref="G39">IF($CC39="","",INDEX(Tasks!G$4:G$43,$CC39))</f>
        <v/>
      </c>
      <c r="H39" s="23" t="str" cm="1">
        <f t="array" ref="H39">IF($CC39="","",INDEX(Tasks!H$4:H$43,$CC39))</f>
        <v/>
      </c>
    </row>
    <row r="40" spans="1:81" ht="15" x14ac:dyDescent="0.2">
      <c r="A40" s="14" t="str" cm="1">
        <f t="array" ref="A40">IF($CC40="","",INDEX(Tasks!A$4:A$43,$CC40))</f>
        <v/>
      </c>
      <c r="B40" s="15" t="str" cm="1">
        <f t="array" ref="B40">IF($CC40="","",INDEX(Tasks!B$4:B$43,$CC40))</f>
        <v/>
      </c>
      <c r="C40" s="16" t="str" cm="1">
        <f t="array" ref="C40">IF($CC40="","",INDEX(Tasks!C$4:C$43,$CC40))</f>
        <v/>
      </c>
      <c r="D40" s="22" t="str" cm="1">
        <f t="array" ref="D40">IF($CC40="","",INDEX(Tasks!D$4:D$43,$CC40))</f>
        <v/>
      </c>
      <c r="E40" s="31" t="str" cm="1">
        <f t="array" ref="E40">IF($CC40="","",INDEX(Tasks!E$4:E$43,$CC40))</f>
        <v/>
      </c>
      <c r="F40" s="22" t="str" cm="1">
        <f t="array" ref="F40">IF($CC40="","",INDEX(Tasks!F$4:F$43,$CC40))</f>
        <v/>
      </c>
      <c r="G40" s="31" t="str" cm="1">
        <f t="array" ref="G40">IF($CC40="","",INDEX(Tasks!G$4:G$43,$CC40))</f>
        <v/>
      </c>
      <c r="H40" s="23" t="str" cm="1">
        <f t="array" ref="H40">IF($CC40="","",INDEX(Tasks!H$4:H$43,$CC40))</f>
        <v/>
      </c>
    </row>
  </sheetData>
  <mergeCells count="15">
    <mergeCell ref="A1:BZ1"/>
    <mergeCell ref="I2:AK2"/>
    <mergeCell ref="AL2:BP2"/>
    <mergeCell ref="BQ2:BZ2"/>
    <mergeCell ref="A35:H35"/>
    <mergeCell ref="I35:J35"/>
    <mergeCell ref="K35:N35"/>
    <mergeCell ref="P35:Q35"/>
    <mergeCell ref="R35:U35"/>
    <mergeCell ref="W35:X35"/>
    <mergeCell ref="Y35:AB35"/>
    <mergeCell ref="AD35:AE35"/>
    <mergeCell ref="AF35:AI35"/>
    <mergeCell ref="AK35:AL35"/>
    <mergeCell ref="AM35:AP35"/>
  </mergeCells>
  <conditionalFormatting sqref="B4:B33">
    <cfRule type="expression" dxfId="18" priority="8">
      <formula>$B4="Planning"</formula>
    </cfRule>
    <cfRule type="expression" dxfId="17" priority="9">
      <formula>$B4="Design"</formula>
    </cfRule>
    <cfRule type="expression" dxfId="16" priority="10">
      <formula>$B4="Dev"</formula>
    </cfRule>
    <cfRule type="expression" dxfId="15" priority="11">
      <formula>$B4="Testing"</formula>
    </cfRule>
    <cfRule type="expression" dxfId="14" priority="12">
      <formula>$B4="Launch"</formula>
    </cfRule>
    <cfRule type="expression" dxfId="13" priority="13">
      <formula>AND($B4&lt;&gt;"",$B4&lt;&gt;"Planning",$B4&lt;&gt;"Design",$B4&lt;&gt;"Development",$B4&lt;&gt;"Testing",$B4&lt;&gt;"Launch")</formula>
    </cfRule>
  </conditionalFormatting>
  <conditionalFormatting sqref="H4:H23">
    <cfRule type="dataBar" priority="1">
      <dataBar>
        <cfvo type="min"/>
        <cfvo type="max"/>
        <color theme="6"/>
      </dataBar>
      <extLst>
        <ext xmlns:x14="http://schemas.microsoft.com/office/spreadsheetml/2009/9/main" uri="{B025F937-C7B1-47D3-B67F-A62EFF666E3E}">
          <x14:id>{00000001-0000-0000-0000-000000000000}</x14:id>
        </ext>
      </extLst>
    </cfRule>
  </conditionalFormatting>
  <conditionalFormatting sqref="I4:BZ33">
    <cfRule type="expression" dxfId="12" priority="2">
      <formula>AND(I4=1,$B4="Planning")</formula>
    </cfRule>
    <cfRule type="expression" dxfId="11" priority="3">
      <formula>AND(I4=1,$B4="Design")</formula>
    </cfRule>
    <cfRule type="expression" dxfId="10" priority="4">
      <formula>AND(I4=1,$B4="Development")</formula>
    </cfRule>
    <cfRule type="expression" dxfId="9" priority="5">
      <formula>AND(I4=1,$B4="Testing")</formula>
    </cfRule>
    <cfRule type="expression" dxfId="8" priority="6">
      <formula>AND(I4=1,$B4="Launch")</formula>
    </cfRule>
    <cfRule type="expression" dxfId="7" priority="7">
      <formula>AND(I4=1,$B4&lt;&gt;"Planning",$B4&lt;&gt;"Design",$B4&lt;&gt;"Development",$B4&lt;&gt;"Testing",$B4&lt;&gt;"Launch")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0000-0000-000000000000}">
            <x14:dataBar minLength="0" maxLength="100" gradient="0">
              <x14:cfvo type="autoMin"/>
              <x14:cfvo type="autoMax"/>
              <x14:negativeFillColor rgb="FFE05C53"/>
              <x14:axisColor rgb="FF000000"/>
            </x14:dataBar>
          </x14:cfRule>
          <xm:sqref>H4:H23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showGridLines="0" workbookViewId="0">
      <pane ySplit="3" topLeftCell="A4" activePane="bottomLeft" state="frozen"/>
      <selection pane="bottomLeft" activeCell="K12" sqref="K12"/>
    </sheetView>
  </sheetViews>
  <sheetFormatPr baseColWidth="10" defaultRowHeight="16" x14ac:dyDescent="0.2"/>
  <cols>
    <col min="1" max="1" width="2.83203125" customWidth="1"/>
    <col min="2" max="2" width="8.83203125" customWidth="1"/>
    <col min="3" max="3" width="22.1640625" customWidth="1"/>
    <col min="4" max="8" width="8.83203125" customWidth="1"/>
    <col min="9" max="9" width="37.83203125" customWidth="1"/>
  </cols>
  <sheetData>
    <row r="1" spans="1:9" ht="25.5" customHeight="1" x14ac:dyDescent="0.2">
      <c r="A1" s="49" t="s">
        <v>55</v>
      </c>
      <c r="B1" s="50"/>
      <c r="C1" s="50"/>
      <c r="D1" s="50"/>
      <c r="E1" s="50"/>
      <c r="F1" s="50"/>
      <c r="G1" s="50"/>
      <c r="H1" s="50"/>
      <c r="I1" s="50"/>
    </row>
    <row r="2" spans="1:9" ht="10.25" customHeight="1" x14ac:dyDescent="0.2">
      <c r="A2" s="51" t="s">
        <v>56</v>
      </c>
      <c r="B2" s="52"/>
      <c r="C2" s="52"/>
      <c r="D2" s="52"/>
      <c r="E2" s="52"/>
      <c r="F2" s="52"/>
      <c r="G2" s="52"/>
      <c r="H2" s="52"/>
      <c r="I2" s="52"/>
    </row>
    <row r="3" spans="1:9" ht="16" customHeight="1" x14ac:dyDescent="0.2">
      <c r="A3" s="29" t="s">
        <v>20</v>
      </c>
      <c r="B3" s="29" t="s">
        <v>21</v>
      </c>
      <c r="C3" s="30" t="s">
        <v>29</v>
      </c>
      <c r="D3" s="29" t="s">
        <v>23</v>
      </c>
      <c r="E3" s="29" t="s">
        <v>30</v>
      </c>
      <c r="F3" s="29" t="s">
        <v>24</v>
      </c>
      <c r="G3" s="29" t="s">
        <v>31</v>
      </c>
      <c r="H3" s="29" t="s">
        <v>19</v>
      </c>
      <c r="I3" s="30" t="s">
        <v>32</v>
      </c>
    </row>
    <row r="4" spans="1:9" ht="16" customHeight="1" x14ac:dyDescent="0.2">
      <c r="A4" s="20">
        <v>1</v>
      </c>
      <c r="B4" s="20" t="s">
        <v>13</v>
      </c>
      <c r="C4" s="24" t="s">
        <v>33</v>
      </c>
      <c r="D4" s="20" t="s">
        <v>57</v>
      </c>
      <c r="E4" s="25">
        <v>45810</v>
      </c>
      <c r="F4" s="26">
        <v>4</v>
      </c>
      <c r="G4" s="25">
        <f t="shared" ref="G4:G43" si="0">IF(E4="","",E4+F4-1)</f>
        <v>45813</v>
      </c>
      <c r="H4" s="21">
        <v>1</v>
      </c>
      <c r="I4" s="24"/>
    </row>
    <row r="5" spans="1:9" ht="16" customHeight="1" x14ac:dyDescent="0.2">
      <c r="A5" s="20">
        <v>2</v>
      </c>
      <c r="B5" s="20" t="s">
        <v>13</v>
      </c>
      <c r="C5" s="24" t="s">
        <v>34</v>
      </c>
      <c r="D5" s="20" t="s">
        <v>57</v>
      </c>
      <c r="E5" s="25">
        <v>45811</v>
      </c>
      <c r="F5" s="26">
        <v>3</v>
      </c>
      <c r="G5" s="25">
        <f t="shared" si="0"/>
        <v>45813</v>
      </c>
      <c r="H5" s="21">
        <v>1</v>
      </c>
      <c r="I5" s="24"/>
    </row>
    <row r="6" spans="1:9" ht="16" customHeight="1" x14ac:dyDescent="0.2">
      <c r="A6" s="20">
        <v>3</v>
      </c>
      <c r="B6" s="20" t="s">
        <v>13</v>
      </c>
      <c r="C6" s="24" t="s">
        <v>35</v>
      </c>
      <c r="D6" s="20" t="s">
        <v>57</v>
      </c>
      <c r="E6" s="25">
        <v>45814</v>
      </c>
      <c r="F6" s="26">
        <v>5</v>
      </c>
      <c r="G6" s="25">
        <f t="shared" si="0"/>
        <v>45818</v>
      </c>
      <c r="H6" s="21">
        <v>1</v>
      </c>
      <c r="I6" s="24"/>
    </row>
    <row r="7" spans="1:9" ht="16" customHeight="1" x14ac:dyDescent="0.2">
      <c r="A7" s="20">
        <v>4</v>
      </c>
      <c r="B7" s="20" t="s">
        <v>13</v>
      </c>
      <c r="C7" s="24" t="s">
        <v>36</v>
      </c>
      <c r="D7" s="20" t="s">
        <v>58</v>
      </c>
      <c r="E7" s="25">
        <v>45817</v>
      </c>
      <c r="F7" s="26">
        <v>3</v>
      </c>
      <c r="G7" s="25">
        <f t="shared" si="0"/>
        <v>45819</v>
      </c>
      <c r="H7" s="21">
        <v>0.8</v>
      </c>
      <c r="I7" s="24"/>
    </row>
    <row r="8" spans="1:9" ht="16" customHeight="1" x14ac:dyDescent="0.2">
      <c r="A8" s="20">
        <v>5</v>
      </c>
      <c r="B8" s="20" t="s">
        <v>14</v>
      </c>
      <c r="C8" s="24" t="s">
        <v>37</v>
      </c>
      <c r="D8" s="20" t="s">
        <v>58</v>
      </c>
      <c r="E8" s="25">
        <v>45820</v>
      </c>
      <c r="F8" s="26">
        <v>6</v>
      </c>
      <c r="G8" s="25">
        <f t="shared" si="0"/>
        <v>45825</v>
      </c>
      <c r="H8" s="21">
        <v>0.6</v>
      </c>
      <c r="I8" s="24"/>
    </row>
    <row r="9" spans="1:9" ht="16" customHeight="1" x14ac:dyDescent="0.2">
      <c r="A9" s="20">
        <v>6</v>
      </c>
      <c r="B9" s="20" t="s">
        <v>14</v>
      </c>
      <c r="C9" s="24" t="s">
        <v>38</v>
      </c>
      <c r="D9" s="20" t="s">
        <v>58</v>
      </c>
      <c r="E9" s="25">
        <v>45824</v>
      </c>
      <c r="F9" s="26">
        <v>5</v>
      </c>
      <c r="G9" s="25">
        <f t="shared" si="0"/>
        <v>45828</v>
      </c>
      <c r="H9" s="21">
        <v>0.2</v>
      </c>
      <c r="I9" s="24"/>
    </row>
    <row r="10" spans="1:9" ht="16" customHeight="1" x14ac:dyDescent="0.2">
      <c r="A10" s="20">
        <v>7</v>
      </c>
      <c r="B10" s="20" t="s">
        <v>14</v>
      </c>
      <c r="C10" s="24" t="s">
        <v>39</v>
      </c>
      <c r="D10" s="20" t="s">
        <v>57</v>
      </c>
      <c r="E10" s="25">
        <v>45826</v>
      </c>
      <c r="F10" s="26">
        <v>3</v>
      </c>
      <c r="G10" s="25">
        <f t="shared" si="0"/>
        <v>45828</v>
      </c>
      <c r="H10" s="21">
        <v>0</v>
      </c>
      <c r="I10" s="24"/>
    </row>
    <row r="11" spans="1:9" ht="16" customHeight="1" x14ac:dyDescent="0.2">
      <c r="A11" s="20">
        <v>8</v>
      </c>
      <c r="B11" s="20" t="s">
        <v>53</v>
      </c>
      <c r="C11" s="24" t="s">
        <v>40</v>
      </c>
      <c r="D11" s="20" t="s">
        <v>58</v>
      </c>
      <c r="E11" s="25">
        <v>45829</v>
      </c>
      <c r="F11" s="26">
        <v>14</v>
      </c>
      <c r="G11" s="25">
        <f t="shared" si="0"/>
        <v>45842</v>
      </c>
      <c r="H11" s="21">
        <v>0</v>
      </c>
      <c r="I11" s="24"/>
    </row>
    <row r="12" spans="1:9" ht="16" customHeight="1" x14ac:dyDescent="0.2">
      <c r="A12" s="20">
        <v>9</v>
      </c>
      <c r="B12" s="20" t="s">
        <v>53</v>
      </c>
      <c r="C12" s="24" t="s">
        <v>41</v>
      </c>
      <c r="D12" s="20" t="s">
        <v>58</v>
      </c>
      <c r="E12" s="25">
        <v>45832</v>
      </c>
      <c r="F12" s="26">
        <v>10</v>
      </c>
      <c r="G12" s="25">
        <f t="shared" si="0"/>
        <v>45841</v>
      </c>
      <c r="H12" s="21">
        <v>0</v>
      </c>
      <c r="I12" s="24"/>
    </row>
    <row r="13" spans="1:9" ht="16" customHeight="1" x14ac:dyDescent="0.2">
      <c r="A13" s="20">
        <v>10</v>
      </c>
      <c r="B13" s="20" t="s">
        <v>53</v>
      </c>
      <c r="C13" s="24" t="s">
        <v>42</v>
      </c>
      <c r="D13" s="20" t="s">
        <v>57</v>
      </c>
      <c r="E13" s="25">
        <v>45829</v>
      </c>
      <c r="F13" s="26">
        <v>12</v>
      </c>
      <c r="G13" s="25">
        <f t="shared" si="0"/>
        <v>45840</v>
      </c>
      <c r="H13" s="21">
        <v>0</v>
      </c>
      <c r="I13" s="24"/>
    </row>
    <row r="14" spans="1:9" ht="16" customHeight="1" x14ac:dyDescent="0.2">
      <c r="A14" s="20">
        <v>11</v>
      </c>
      <c r="B14" s="20" t="s">
        <v>53</v>
      </c>
      <c r="C14" s="24" t="s">
        <v>43</v>
      </c>
      <c r="D14" s="20" t="s">
        <v>57</v>
      </c>
      <c r="E14" s="25">
        <v>45840</v>
      </c>
      <c r="F14" s="26">
        <v>8</v>
      </c>
      <c r="G14" s="25">
        <f t="shared" si="0"/>
        <v>45847</v>
      </c>
      <c r="H14" s="21">
        <v>0</v>
      </c>
      <c r="I14" s="24"/>
    </row>
    <row r="15" spans="1:9" ht="16" customHeight="1" x14ac:dyDescent="0.2">
      <c r="A15" s="20">
        <v>12</v>
      </c>
      <c r="B15" s="20" t="s">
        <v>53</v>
      </c>
      <c r="C15" s="24" t="s">
        <v>44</v>
      </c>
      <c r="D15" s="20" t="s">
        <v>58</v>
      </c>
      <c r="E15" s="25">
        <v>45841</v>
      </c>
      <c r="F15" s="26">
        <v>10</v>
      </c>
      <c r="G15" s="25">
        <f t="shared" si="0"/>
        <v>45850</v>
      </c>
      <c r="H15" s="21">
        <v>0</v>
      </c>
      <c r="I15" s="24"/>
    </row>
    <row r="16" spans="1:9" ht="16" customHeight="1" x14ac:dyDescent="0.2">
      <c r="A16" s="20">
        <v>13</v>
      </c>
      <c r="B16" s="20" t="s">
        <v>15</v>
      </c>
      <c r="C16" s="24" t="s">
        <v>45</v>
      </c>
      <c r="D16" s="20" t="s">
        <v>57</v>
      </c>
      <c r="E16" s="25">
        <v>45850</v>
      </c>
      <c r="F16" s="26">
        <v>6</v>
      </c>
      <c r="G16" s="25">
        <f t="shared" si="0"/>
        <v>45855</v>
      </c>
      <c r="H16" s="21">
        <v>0</v>
      </c>
      <c r="I16" s="24"/>
    </row>
    <row r="17" spans="1:9" ht="16" customHeight="1" x14ac:dyDescent="0.2">
      <c r="A17" s="20">
        <v>14</v>
      </c>
      <c r="B17" s="20" t="s">
        <v>15</v>
      </c>
      <c r="C17" s="24" t="s">
        <v>46</v>
      </c>
      <c r="D17" s="20" t="s">
        <v>58</v>
      </c>
      <c r="E17" s="25">
        <v>45854</v>
      </c>
      <c r="F17" s="26">
        <v>5</v>
      </c>
      <c r="G17" s="25">
        <f t="shared" si="0"/>
        <v>45858</v>
      </c>
      <c r="H17" s="21">
        <v>0</v>
      </c>
      <c r="I17" s="24"/>
    </row>
    <row r="18" spans="1:9" ht="16" customHeight="1" x14ac:dyDescent="0.2">
      <c r="A18" s="20">
        <v>15</v>
      </c>
      <c r="B18" s="20" t="s">
        <v>15</v>
      </c>
      <c r="C18" s="24" t="s">
        <v>47</v>
      </c>
      <c r="D18" s="20" t="s">
        <v>58</v>
      </c>
      <c r="E18" s="25">
        <v>45856</v>
      </c>
      <c r="F18" s="26">
        <v>5</v>
      </c>
      <c r="G18" s="25">
        <f t="shared" si="0"/>
        <v>45860</v>
      </c>
      <c r="H18" s="21">
        <v>0</v>
      </c>
      <c r="I18" s="24"/>
    </row>
    <row r="19" spans="1:9" ht="16" customHeight="1" x14ac:dyDescent="0.2">
      <c r="A19" s="20">
        <v>16</v>
      </c>
      <c r="B19" s="20" t="s">
        <v>15</v>
      </c>
      <c r="C19" s="24" t="s">
        <v>48</v>
      </c>
      <c r="D19" s="20" t="s">
        <v>57</v>
      </c>
      <c r="E19" s="25">
        <v>45858</v>
      </c>
      <c r="F19" s="26">
        <v>5</v>
      </c>
      <c r="G19" s="25">
        <f t="shared" si="0"/>
        <v>45862</v>
      </c>
      <c r="H19" s="21">
        <v>0</v>
      </c>
      <c r="I19" s="24"/>
    </row>
    <row r="20" spans="1:9" ht="16" customHeight="1" x14ac:dyDescent="0.2">
      <c r="A20" s="20">
        <v>17</v>
      </c>
      <c r="B20" s="20" t="s">
        <v>16</v>
      </c>
      <c r="C20" s="24" t="s">
        <v>49</v>
      </c>
      <c r="D20" s="20" t="s">
        <v>57</v>
      </c>
      <c r="E20" s="25">
        <v>45864</v>
      </c>
      <c r="F20" s="26">
        <v>4</v>
      </c>
      <c r="G20" s="25">
        <f t="shared" si="0"/>
        <v>45867</v>
      </c>
      <c r="H20" s="21">
        <v>0</v>
      </c>
      <c r="I20" s="24"/>
    </row>
    <row r="21" spans="1:9" ht="16" customHeight="1" x14ac:dyDescent="0.2">
      <c r="A21" s="20">
        <v>18</v>
      </c>
      <c r="B21" s="20" t="s">
        <v>16</v>
      </c>
      <c r="C21" s="24" t="s">
        <v>50</v>
      </c>
      <c r="D21" s="20" t="s">
        <v>58</v>
      </c>
      <c r="E21" s="25">
        <v>45867</v>
      </c>
      <c r="F21" s="26">
        <v>3</v>
      </c>
      <c r="G21" s="25">
        <f t="shared" si="0"/>
        <v>45869</v>
      </c>
      <c r="H21" s="21">
        <v>0</v>
      </c>
      <c r="I21" s="24"/>
    </row>
    <row r="22" spans="1:9" ht="16" customHeight="1" x14ac:dyDescent="0.2">
      <c r="A22" s="20">
        <v>19</v>
      </c>
      <c r="B22" s="20" t="s">
        <v>16</v>
      </c>
      <c r="C22" s="24" t="s">
        <v>51</v>
      </c>
      <c r="D22" s="20" t="s">
        <v>58</v>
      </c>
      <c r="E22" s="25">
        <v>45868</v>
      </c>
      <c r="F22" s="26">
        <v>5</v>
      </c>
      <c r="G22" s="25">
        <f t="shared" si="0"/>
        <v>45872</v>
      </c>
      <c r="H22" s="21">
        <v>0</v>
      </c>
      <c r="I22" s="24"/>
    </row>
    <row r="23" spans="1:9" ht="16" customHeight="1" x14ac:dyDescent="0.2">
      <c r="A23" s="20">
        <v>20</v>
      </c>
      <c r="B23" s="20" t="s">
        <v>16</v>
      </c>
      <c r="C23" s="24" t="s">
        <v>52</v>
      </c>
      <c r="D23" s="20" t="s">
        <v>57</v>
      </c>
      <c r="E23" s="25">
        <v>45873</v>
      </c>
      <c r="F23" s="26">
        <v>2</v>
      </c>
      <c r="G23" s="25">
        <f t="shared" si="0"/>
        <v>45874</v>
      </c>
      <c r="H23" s="21">
        <v>0</v>
      </c>
      <c r="I23" s="24"/>
    </row>
    <row r="24" spans="1:9" ht="16" customHeight="1" x14ac:dyDescent="0.2">
      <c r="A24" s="20">
        <v>21</v>
      </c>
      <c r="B24" s="20"/>
      <c r="C24" s="24"/>
      <c r="D24" s="20"/>
      <c r="E24" s="25"/>
      <c r="F24" s="20"/>
      <c r="G24" s="25" t="str">
        <f t="shared" si="0"/>
        <v/>
      </c>
      <c r="H24" s="20"/>
      <c r="I24" s="24"/>
    </row>
    <row r="25" spans="1:9" ht="16" customHeight="1" x14ac:dyDescent="0.2">
      <c r="A25" s="20">
        <v>22</v>
      </c>
      <c r="B25" s="20"/>
      <c r="C25" s="24"/>
      <c r="D25" s="20"/>
      <c r="E25" s="25"/>
      <c r="F25" s="20"/>
      <c r="G25" s="25" t="str">
        <f t="shared" si="0"/>
        <v/>
      </c>
      <c r="H25" s="20"/>
      <c r="I25" s="24"/>
    </row>
    <row r="26" spans="1:9" ht="16" customHeight="1" x14ac:dyDescent="0.2">
      <c r="A26" s="20">
        <v>23</v>
      </c>
      <c r="B26" s="20"/>
      <c r="C26" s="24"/>
      <c r="D26" s="20"/>
      <c r="E26" s="25"/>
      <c r="F26" s="20"/>
      <c r="G26" s="25" t="str">
        <f t="shared" si="0"/>
        <v/>
      </c>
      <c r="H26" s="20"/>
      <c r="I26" s="24"/>
    </row>
    <row r="27" spans="1:9" ht="16" customHeight="1" x14ac:dyDescent="0.2">
      <c r="A27" s="20">
        <v>24</v>
      </c>
      <c r="B27" s="20"/>
      <c r="C27" s="24"/>
      <c r="D27" s="20"/>
      <c r="E27" s="25"/>
      <c r="F27" s="20"/>
      <c r="G27" s="25" t="str">
        <f t="shared" si="0"/>
        <v/>
      </c>
      <c r="H27" s="20"/>
      <c r="I27" s="24"/>
    </row>
    <row r="28" spans="1:9" ht="16" customHeight="1" x14ac:dyDescent="0.2">
      <c r="A28" s="20">
        <v>25</v>
      </c>
      <c r="B28" s="20"/>
      <c r="C28" s="24"/>
      <c r="D28" s="20"/>
      <c r="E28" s="25"/>
      <c r="F28" s="20"/>
      <c r="G28" s="25" t="str">
        <f t="shared" si="0"/>
        <v/>
      </c>
      <c r="H28" s="20"/>
      <c r="I28" s="24"/>
    </row>
    <row r="29" spans="1:9" ht="16" customHeight="1" x14ac:dyDescent="0.2">
      <c r="A29" s="20">
        <v>26</v>
      </c>
      <c r="B29" s="20"/>
      <c r="C29" s="24"/>
      <c r="D29" s="20"/>
      <c r="E29" s="25"/>
      <c r="F29" s="20"/>
      <c r="G29" s="25" t="str">
        <f t="shared" si="0"/>
        <v/>
      </c>
      <c r="H29" s="20"/>
      <c r="I29" s="24"/>
    </row>
    <row r="30" spans="1:9" ht="16" customHeight="1" x14ac:dyDescent="0.2">
      <c r="A30" s="20">
        <v>27</v>
      </c>
      <c r="B30" s="20"/>
      <c r="C30" s="24"/>
      <c r="D30" s="20"/>
      <c r="E30" s="25"/>
      <c r="F30" s="20"/>
      <c r="G30" s="25" t="str">
        <f t="shared" si="0"/>
        <v/>
      </c>
      <c r="H30" s="20"/>
      <c r="I30" s="24"/>
    </row>
    <row r="31" spans="1:9" ht="16" customHeight="1" x14ac:dyDescent="0.2">
      <c r="A31" s="20">
        <v>28</v>
      </c>
      <c r="B31" s="20"/>
      <c r="C31" s="24"/>
      <c r="D31" s="20"/>
      <c r="E31" s="25"/>
      <c r="F31" s="20"/>
      <c r="G31" s="25" t="str">
        <f t="shared" si="0"/>
        <v/>
      </c>
      <c r="H31" s="20"/>
      <c r="I31" s="24"/>
    </row>
    <row r="32" spans="1:9" ht="16" customHeight="1" x14ac:dyDescent="0.2">
      <c r="A32" s="20">
        <v>29</v>
      </c>
      <c r="B32" s="20"/>
      <c r="C32" s="24"/>
      <c r="D32" s="20"/>
      <c r="E32" s="25"/>
      <c r="F32" s="20"/>
      <c r="G32" s="25" t="str">
        <f t="shared" si="0"/>
        <v/>
      </c>
      <c r="H32" s="20"/>
      <c r="I32" s="24"/>
    </row>
    <row r="33" spans="1:9" ht="16" customHeight="1" x14ac:dyDescent="0.2">
      <c r="A33" s="20">
        <v>30</v>
      </c>
      <c r="B33" s="20"/>
      <c r="C33" s="24"/>
      <c r="D33" s="20"/>
      <c r="E33" s="25"/>
      <c r="F33" s="20"/>
      <c r="G33" s="25" t="str">
        <f t="shared" si="0"/>
        <v/>
      </c>
      <c r="H33" s="20"/>
      <c r="I33" s="24"/>
    </row>
    <row r="34" spans="1:9" ht="16" customHeight="1" x14ac:dyDescent="0.2">
      <c r="A34" s="20">
        <v>31</v>
      </c>
      <c r="B34" s="20"/>
      <c r="C34" s="24"/>
      <c r="D34" s="20"/>
      <c r="E34" s="25"/>
      <c r="F34" s="20"/>
      <c r="G34" s="25" t="str">
        <f t="shared" si="0"/>
        <v/>
      </c>
      <c r="H34" s="20"/>
      <c r="I34" s="24"/>
    </row>
    <row r="35" spans="1:9" ht="16" customHeight="1" x14ac:dyDescent="0.2">
      <c r="A35" s="20">
        <v>32</v>
      </c>
      <c r="B35" s="20"/>
      <c r="C35" s="24"/>
      <c r="D35" s="20"/>
      <c r="E35" s="25"/>
      <c r="F35" s="20"/>
      <c r="G35" s="25" t="str">
        <f t="shared" si="0"/>
        <v/>
      </c>
      <c r="H35" s="20"/>
      <c r="I35" s="24"/>
    </row>
    <row r="36" spans="1:9" ht="16" customHeight="1" x14ac:dyDescent="0.2">
      <c r="A36" s="20">
        <v>33</v>
      </c>
      <c r="B36" s="20"/>
      <c r="C36" s="24"/>
      <c r="D36" s="20"/>
      <c r="E36" s="25"/>
      <c r="F36" s="20"/>
      <c r="G36" s="25" t="str">
        <f t="shared" si="0"/>
        <v/>
      </c>
      <c r="H36" s="20"/>
      <c r="I36" s="24"/>
    </row>
    <row r="37" spans="1:9" ht="16" customHeight="1" x14ac:dyDescent="0.2">
      <c r="A37" s="20">
        <v>34</v>
      </c>
      <c r="B37" s="20"/>
      <c r="C37" s="24"/>
      <c r="D37" s="20"/>
      <c r="E37" s="25"/>
      <c r="F37" s="20"/>
      <c r="G37" s="25" t="str">
        <f t="shared" si="0"/>
        <v/>
      </c>
      <c r="H37" s="20"/>
      <c r="I37" s="24"/>
    </row>
    <row r="38" spans="1:9" ht="16" customHeight="1" x14ac:dyDescent="0.2">
      <c r="A38" s="20">
        <v>35</v>
      </c>
      <c r="B38" s="20"/>
      <c r="C38" s="24"/>
      <c r="D38" s="20"/>
      <c r="E38" s="25"/>
      <c r="F38" s="20"/>
      <c r="G38" s="25" t="str">
        <f t="shared" si="0"/>
        <v/>
      </c>
      <c r="H38" s="20"/>
      <c r="I38" s="24"/>
    </row>
    <row r="39" spans="1:9" ht="16" customHeight="1" x14ac:dyDescent="0.2">
      <c r="A39" s="20">
        <v>36</v>
      </c>
      <c r="B39" s="20"/>
      <c r="C39" s="24"/>
      <c r="D39" s="20"/>
      <c r="E39" s="25"/>
      <c r="F39" s="20"/>
      <c r="G39" s="25" t="str">
        <f t="shared" si="0"/>
        <v/>
      </c>
      <c r="H39" s="20"/>
      <c r="I39" s="24"/>
    </row>
    <row r="40" spans="1:9" ht="16" customHeight="1" x14ac:dyDescent="0.2">
      <c r="A40" s="20">
        <v>37</v>
      </c>
      <c r="B40" s="20"/>
      <c r="C40" s="24"/>
      <c r="D40" s="20"/>
      <c r="E40" s="25"/>
      <c r="F40" s="20"/>
      <c r="G40" s="25" t="str">
        <f t="shared" si="0"/>
        <v/>
      </c>
      <c r="H40" s="20"/>
      <c r="I40" s="24"/>
    </row>
    <row r="41" spans="1:9" ht="16" customHeight="1" x14ac:dyDescent="0.2">
      <c r="A41" s="20">
        <v>38</v>
      </c>
      <c r="B41" s="20"/>
      <c r="C41" s="24"/>
      <c r="D41" s="20"/>
      <c r="E41" s="25"/>
      <c r="F41" s="20"/>
      <c r="G41" s="25" t="str">
        <f t="shared" si="0"/>
        <v/>
      </c>
      <c r="H41" s="20"/>
      <c r="I41" s="24"/>
    </row>
    <row r="42" spans="1:9" ht="16" customHeight="1" x14ac:dyDescent="0.2">
      <c r="A42" s="20">
        <v>39</v>
      </c>
      <c r="B42" s="20"/>
      <c r="C42" s="24"/>
      <c r="D42" s="20"/>
      <c r="E42" s="25"/>
      <c r="F42" s="20"/>
      <c r="G42" s="25" t="str">
        <f t="shared" si="0"/>
        <v/>
      </c>
      <c r="H42" s="20"/>
      <c r="I42" s="24"/>
    </row>
    <row r="43" spans="1:9" ht="16" customHeight="1" x14ac:dyDescent="0.2">
      <c r="A43" s="20">
        <v>40</v>
      </c>
      <c r="B43" s="20"/>
      <c r="C43" s="24"/>
      <c r="D43" s="20"/>
      <c r="E43" s="25"/>
      <c r="F43" s="20"/>
      <c r="G43" s="25" t="str">
        <f t="shared" si="0"/>
        <v/>
      </c>
      <c r="H43" s="20"/>
      <c r="I43" s="24"/>
    </row>
  </sheetData>
  <mergeCells count="2">
    <mergeCell ref="A1:I1"/>
    <mergeCell ref="A2:I2"/>
  </mergeCells>
  <conditionalFormatting sqref="B4:B43">
    <cfRule type="expression" dxfId="6" priority="42">
      <formula>B4="Planning"</formula>
    </cfRule>
    <cfRule type="expression" dxfId="5" priority="43">
      <formula>B4="Design"</formula>
    </cfRule>
    <cfRule type="expression" dxfId="4" priority="44">
      <formula>B4="Dev"</formula>
    </cfRule>
    <cfRule type="expression" dxfId="3" priority="45">
      <formula>B4="Testing"</formula>
    </cfRule>
    <cfRule type="expression" dxfId="2" priority="46">
      <formula>B4="Launch"</formula>
    </cfRule>
    <cfRule type="expression" dxfId="1" priority="47">
      <formula>B4="Other"</formula>
    </cfRule>
  </conditionalFormatting>
  <conditionalFormatting sqref="C4:C43">
    <cfRule type="expression" dxfId="0" priority="2">
      <formula>AND(G4&lt;TODAY(),H4&lt;1,F4&gt;0)</formula>
    </cfRule>
  </conditionalFormatting>
  <conditionalFormatting sqref="H4:H23">
    <cfRule type="dataBar" priority="1">
      <dataBar>
        <cfvo type="min"/>
        <cfvo type="max"/>
        <color rgb="FFF2994A"/>
      </dataBar>
      <extLst>
        <ext xmlns:x14="http://schemas.microsoft.com/office/spreadsheetml/2009/9/main" uri="{B025F937-C7B1-47D3-B67F-A62EFF666E3E}">
          <x14:id>{00000001-0000-0000-0000-000000000000}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0000-0000-000000000000}">
            <x14:dataBar minLength="0" maxLength="100" gradient="0">
              <x14:cfvo type="autoMin"/>
              <x14:cfvo type="autoMax"/>
              <x14:negativeFillColor rgb="FFE05C53"/>
              <x14:axisColor rgb="FF000000"/>
            </x14:dataBar>
          </x14:cfRule>
          <xm:sqref>H4:H23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showGridLines="0" workbookViewId="0">
      <selection activeCell="E11" sqref="E11"/>
    </sheetView>
  </sheetViews>
  <sheetFormatPr baseColWidth="10" defaultColWidth="3" defaultRowHeight="16" x14ac:dyDescent="0.2"/>
  <cols>
    <col min="1" max="1" width="20" customWidth="1"/>
    <col min="2" max="2" width="13.33203125" customWidth="1"/>
    <col min="3" max="3" width="33.33203125" customWidth="1"/>
  </cols>
  <sheetData>
    <row r="1" spans="1:4" ht="25.5" customHeight="1" x14ac:dyDescent="0.2">
      <c r="A1" s="53" t="s">
        <v>54</v>
      </c>
      <c r="B1" s="54"/>
      <c r="C1" s="54"/>
      <c r="D1" s="48"/>
    </row>
    <row r="2" spans="1:4" ht="16" customHeight="1" x14ac:dyDescent="0.2">
      <c r="A2" s="5" t="s">
        <v>0</v>
      </c>
      <c r="B2" s="6" t="s">
        <v>1</v>
      </c>
      <c r="C2" s="9" t="s">
        <v>2</v>
      </c>
    </row>
    <row r="3" spans="1:4" ht="16" customHeight="1" x14ac:dyDescent="0.2">
      <c r="A3" s="5" t="s">
        <v>3</v>
      </c>
      <c r="B3" s="7">
        <f ca="1">B5</f>
        <v>46198</v>
      </c>
      <c r="C3" s="9" t="s">
        <v>4</v>
      </c>
    </row>
    <row r="4" spans="1:4" ht="16" customHeight="1" x14ac:dyDescent="0.2">
      <c r="A4" s="5" t="s">
        <v>5</v>
      </c>
      <c r="B4" s="8">
        <v>70</v>
      </c>
      <c r="C4" s="9" t="s">
        <v>6</v>
      </c>
    </row>
    <row r="5" spans="1:4" ht="16" customHeight="1" x14ac:dyDescent="0.2">
      <c r="A5" s="5" t="s">
        <v>7</v>
      </c>
      <c r="B5" s="10">
        <f ca="1">TODAY()</f>
        <v>46198</v>
      </c>
      <c r="C5" s="9" t="s">
        <v>59</v>
      </c>
    </row>
    <row r="6" spans="1:4" ht="16" customHeight="1" x14ac:dyDescent="0.2">
      <c r="A6" s="5" t="s">
        <v>8</v>
      </c>
      <c r="B6" s="6" t="s">
        <v>57</v>
      </c>
      <c r="C6" s="9"/>
    </row>
    <row r="7" spans="1:4" ht="16" customHeight="1" x14ac:dyDescent="0.2">
      <c r="A7" s="5" t="s">
        <v>9</v>
      </c>
      <c r="B7" s="6" t="s">
        <v>58</v>
      </c>
      <c r="C7" s="9"/>
    </row>
    <row r="8" spans="1:4" ht="16" customHeight="1" x14ac:dyDescent="0.2">
      <c r="A8" s="5" t="s">
        <v>10</v>
      </c>
      <c r="B8" s="6"/>
      <c r="C8" s="9"/>
    </row>
    <row r="9" spans="1:4" ht="16" customHeight="1" x14ac:dyDescent="0.2">
      <c r="A9" s="5" t="s">
        <v>11</v>
      </c>
      <c r="B9" s="6"/>
      <c r="C9" s="9"/>
    </row>
    <row r="10" spans="1:4" ht="16" customHeight="1" x14ac:dyDescent="0.2">
      <c r="A10" s="4"/>
      <c r="B10" s="4"/>
      <c r="C10" s="4"/>
    </row>
    <row r="11" spans="1:4" ht="16" customHeight="1" x14ac:dyDescent="0.2">
      <c r="A11" s="38" t="s">
        <v>12</v>
      </c>
      <c r="B11" s="55"/>
      <c r="C11" s="55"/>
      <c r="D11" s="48"/>
    </row>
    <row r="13" spans="1:4" ht="16" customHeight="1" x14ac:dyDescent="0.2">
      <c r="A13" s="32" t="s">
        <v>13</v>
      </c>
      <c r="B13" s="4"/>
      <c r="C13" s="4"/>
    </row>
    <row r="14" spans="1:4" ht="16" customHeight="1" x14ac:dyDescent="0.2">
      <c r="A14" s="33" t="s">
        <v>14</v>
      </c>
      <c r="B14" s="4"/>
      <c r="C14" s="4"/>
    </row>
    <row r="15" spans="1:4" ht="16" customHeight="1" x14ac:dyDescent="0.2">
      <c r="A15" s="34" t="s">
        <v>53</v>
      </c>
      <c r="B15" s="4"/>
      <c r="C15" s="4"/>
    </row>
    <row r="16" spans="1:4" ht="16" customHeight="1" x14ac:dyDescent="0.2">
      <c r="A16" s="36" t="s">
        <v>15</v>
      </c>
      <c r="B16" s="4"/>
      <c r="C16" s="4"/>
    </row>
    <row r="17" spans="1:3" ht="16" customHeight="1" x14ac:dyDescent="0.2">
      <c r="A17" s="35" t="s">
        <v>16</v>
      </c>
      <c r="B17" s="4"/>
      <c r="C17" s="4"/>
    </row>
    <row r="18" spans="1:3" ht="16" customHeight="1" x14ac:dyDescent="0.2">
      <c r="A18" s="37" t="s">
        <v>17</v>
      </c>
      <c r="B18" s="4"/>
      <c r="C18" s="4"/>
    </row>
  </sheetData>
  <mergeCells count="2">
    <mergeCell ref="A1:D1"/>
    <mergeCell ref="B11: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Tasks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Daniel González-Albo Campillo</cp:lastModifiedBy>
  <cp:revision/>
  <dcterms:created xsi:type="dcterms:W3CDTF">2026-06-01T14:12:24Z</dcterms:created>
  <dcterms:modified xsi:type="dcterms:W3CDTF">2026-06-25T13:22:05Z</dcterms:modified>
  <cp:category/>
  <cp:contentStatus/>
</cp:coreProperties>
</file>