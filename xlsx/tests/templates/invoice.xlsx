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showInkAnnotation="0" autoCompressPictures="0"/>
  <xr:revisionPtr revIDLastSave="0" documentId="8_{8B956069-3C6C-4E5A-B39E-937043020472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Invoice" sheetId="2" r:id="rId1"/>
    <sheet name="Settings" sheetId="1" r:id="rId2"/>
    <sheet name="METADATA" sheetId="3" state="hidden" r:id="rId3"/>
  </sheets>
  <definedNames>
    <definedName name="account_holder">Settings!$B$12</definedName>
    <definedName name="address_1">Settings!$B$5</definedName>
    <definedName name="address_2">Settings!$B$6</definedName>
    <definedName name="bank_name">Settings!$B$15</definedName>
    <definedName name="bic_swift">Settings!$B$14</definedName>
    <definedName name="company_name">Settings!$B$4</definedName>
    <definedName name="email">Settings!$B$7</definedName>
    <definedName name="iban">Settings!$B$13</definedName>
    <definedName name="payment_terms">Settings!$B$18</definedName>
    <definedName name="vat_id">Settings!$B$9</definedName>
    <definedName name="vat_rate">Settings!$B$19</definedName>
    <definedName name="website">Settings!$B$8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9" i="2"/>
  <c r="D36" i="2" a="1"/>
  <c r="D36" i="2"/>
  <c r="D35" i="2" a="1"/>
  <c r="D35" i="2"/>
  <c r="D34" i="2" a="1"/>
  <c r="D34" i="2"/>
  <c r="D33" i="2" a="1"/>
  <c r="D33" i="2"/>
  <c r="B28" i="2"/>
  <c r="H25" i="2"/>
  <c r="H24" i="2"/>
  <c r="H23" i="2"/>
  <c r="H22" i="2"/>
  <c r="H21" i="2"/>
  <c r="H20" i="2"/>
  <c r="H19" i="2"/>
  <c r="H18" i="2"/>
  <c r="H17" i="2"/>
  <c r="H16" i="2"/>
  <c r="H27" i="2" s="1"/>
  <c r="B16" i="2" a="1"/>
  <c r="B16" i="2"/>
  <c r="B6" i="2"/>
  <c r="H5" i="2"/>
  <c r="B5" i="2" a="1"/>
  <c r="B5" i="2"/>
  <c r="B4" i="2" a="1"/>
  <c r="B4" i="2"/>
  <c r="B3" i="2" a="1"/>
  <c r="B3" i="2"/>
  <c r="B2" i="2"/>
  <c r="D37" i="2" l="1"/>
  <c r="H6" i="2"/>
  <c r="H7" i="2" s="1"/>
  <c r="H28" i="2"/>
  <c r="H2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<sst xmlns="http://schemas.openxmlformats.org/spreadsheetml/2006/main" count="61" uniqueCount="55">
  <si>
    <t>INVOICE</t>
  </si>
  <si>
    <t>Invoice No.</t>
  </si>
  <si>
    <t>INV-2026-001</t>
  </si>
  <si>
    <t>Issue Date</t>
  </si>
  <si>
    <t>Due Date</t>
  </si>
  <si>
    <t>Status</t>
  </si>
  <si>
    <t>BILL TO</t>
  </si>
  <si>
    <t>REFERENCE</t>
  </si>
  <si>
    <t>Client company name</t>
  </si>
  <si>
    <t>PO / Reference No.</t>
  </si>
  <si>
    <t>Address line 1</t>
  </si>
  <si>
    <t>Project</t>
  </si>
  <si>
    <t>City / Country</t>
  </si>
  <si>
    <t>VAT ID</t>
  </si>
  <si>
    <t>#</t>
  </si>
  <si>
    <t>Description</t>
  </si>
  <si>
    <t>Qty</t>
  </si>
  <si>
    <t>Unit Price</t>
  </si>
  <si>
    <t>Amount</t>
  </si>
  <si>
    <t>Spreadsheet engine development</t>
  </si>
  <si>
    <t>IronCalc WASM integration &amp; testing</t>
  </si>
  <si>
    <t>Technical consulting</t>
  </si>
  <si>
    <t>Subtotal</t>
  </si>
  <si>
    <t>TOTAL DUE</t>
  </si>
  <si>
    <t>BANK DETAILS</t>
  </si>
  <si>
    <t>Account holder</t>
  </si>
  <si>
    <t>IBAN</t>
  </si>
  <si>
    <t>BIC / SWIFT</t>
  </si>
  <si>
    <t>Bank</t>
  </si>
  <si>
    <t>Payment ref.</t>
  </si>
  <si>
    <t>Invoice Settings</t>
  </si>
  <si>
    <t>Your Company</t>
  </si>
  <si>
    <t>Company name</t>
  </si>
  <si>
    <t>IronCalc GmbH</t>
  </si>
  <si>
    <t>Alexanderpl. 1</t>
  </si>
  <si>
    <t>Address line 2</t>
  </si>
  <si>
    <t>10178 Berlin, Germany</t>
  </si>
  <si>
    <t>Email</t>
  </si>
  <si>
    <t>hello@ironcalc.com</t>
  </si>
  <si>
    <t>Website</t>
  </si>
  <si>
    <t>www.ironcalc.com</t>
  </si>
  <si>
    <t>DE 123456789</t>
  </si>
  <si>
    <t>Bank Details</t>
  </si>
  <si>
    <t>DE00 0000 0000 0000 0000 00</t>
  </si>
  <si>
    <t>DEUTXXXX</t>
  </si>
  <si>
    <t>Bank name</t>
  </si>
  <si>
    <t>Lotus Bank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</si>
  <si>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</si>
  <si>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</si>
  <si>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</si>
  <si>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</si>
  <si>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</si>
  <si>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</si>
  <si>
    <t>Payment due within agreed terms. Late payments subject to interest per §288 BGB.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</si>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</sst>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0.0%"/>
    <numFmt numFmtId="166" formatCode="&quot;€&quot;#,##0.00"/>
  </numFmts>
  <fonts count="28">
    <font>
      <sz val="11"/>
      <color rgb="FF000000"/>
      <name val="Inter"/>
      <family val="2"/>
      <scheme val="minor"/>
    </font>
    <font>
      <i/>
      <sz val="9"/>
      <color rgb="FF000000"/>
      <name val="Inter"/>
      <family val="2"/>
      <scheme val="minor"/>
    </font>
    <font>
      <sz val="11"/>
      <color rgb="FF000000"/>
      <name val="Inter"/>
      <family val="2"/>
      <scheme val="minor"/>
    </font>
    <font>
      <b/>
      <sz val="20"/>
      <color rgb="FF000000"/>
      <name val="Inter"/>
      <family val="2"/>
      <scheme val="minor"/>
    </font>
    <font>
      <sz val="20"/>
      <color rgb="FF000000"/>
      <name val="Inter"/>
      <family val="2"/>
      <scheme val="minor"/>
    </font>
    <font>
      <b/>
      <sz val="16"/>
      <color rgb="FF000000"/>
      <name val="Inter"/>
      <family val="2"/>
      <scheme val="minor"/>
    </font>
    <font>
      <sz val="12"/>
      <color rgb="FF000000"/>
      <name val="Inter"/>
      <family val="2"/>
      <scheme val="minor"/>
    </font>
    <font>
      <b/>
      <sz val="12"/>
      <color rgb="FF000000"/>
      <name val="Inter"/>
      <family val="2"/>
      <scheme val="minor"/>
    </font>
    <font>
      <i/>
      <sz val="12"/>
      <color rgb="FF000000"/>
      <name val="Inter"/>
      <family val="2"/>
      <scheme val="minor"/>
    </font>
    <font>
      <i/>
      <sz val="12"/>
      <color rgb="FF7F7F7F"/>
      <name val="Inter"/>
      <family val="2"/>
      <scheme val="minor"/>
    </font>
    <font>
      <sz val="13"/>
      <name val="Inter"/>
      <family val="2"/>
      <scheme val="minor"/>
    </font>
    <font>
      <sz val="12"/>
      <name val="Inter"/>
      <family val="2"/>
      <scheme val="minor"/>
    </font>
    <font>
      <sz val="14"/>
      <color rgb="FF000000"/>
      <name val="Inter"/>
      <family val="2"/>
      <scheme val="minor"/>
    </font>
    <font>
      <sz val="16"/>
      <color rgb="FF000000"/>
      <name val="Inter"/>
      <family val="2"/>
      <scheme val="minor"/>
    </font>
    <font>
      <sz val="12"/>
      <color rgb="FF616161"/>
      <name val="Inter"/>
      <family val="2"/>
      <scheme val="minor"/>
    </font>
    <font>
      <b/>
      <sz val="12"/>
      <color rgb="FF616161"/>
      <name val="Inter"/>
      <family val="2"/>
      <scheme val="minor"/>
    </font>
    <font>
      <i/>
      <sz val="12"/>
      <color rgb="FF616161"/>
      <name val="Inter"/>
      <family val="2"/>
      <scheme val="minor"/>
    </font>
    <font>
      <b/>
      <sz val="12"/>
      <color rgb="FF9E9E9E"/>
      <name val="Inter"/>
      <family val="2"/>
      <scheme val="minor"/>
    </font>
    <font>
      <b/>
      <sz val="10"/>
      <color rgb="FF9E9E9E"/>
      <name val="Inter"/>
      <family val="2"/>
      <scheme val="minor"/>
    </font>
    <font>
      <sz val="12"/>
      <color rgb="FF9E9E9E"/>
      <name val="Inter"/>
      <family val="2"/>
      <scheme val="minor"/>
    </font>
    <font>
      <b/>
      <sz val="11"/>
      <color rgb="FF9E9E9E"/>
      <name val="Inter"/>
      <family val="2"/>
      <scheme val="minor"/>
    </font>
    <font>
      <sz val="11"/>
      <name val="Inter"/>
      <family val="2"/>
      <scheme val="minor"/>
    </font>
    <font>
      <b/>
      <sz val="11"/>
      <color rgb="FF000000"/>
      <name val="Inter"/>
      <family val="2"/>
      <scheme val="minor"/>
    </font>
    <font>
      <sz val="11"/>
      <color rgb="FF9E9E9E"/>
      <name val="Inter"/>
      <family val="2"/>
      <scheme val="minor"/>
    </font>
    <font>
      <i/>
      <sz val="11"/>
      <color rgb="FF000000"/>
      <name val="Inter"/>
      <family val="2"/>
      <scheme val="minor"/>
    </font>
    <font>
      <i/>
      <sz val="11"/>
      <color rgb="FF9E9E9E"/>
      <name val="Inter"/>
      <family val="2"/>
      <scheme val="minor"/>
    </font>
    <font>
      <b/>
      <sz val="20"/>
      <color theme="6" tint="0.39997558519241921"/>
      <name val="Inter"/>
      <family val="2"/>
      <scheme val="minor"/>
    </font>
    <font>
      <b/>
      <sz val="24"/>
      <color theme="6"/>
      <name val="Inter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/>
      <bottom style="thin">
        <color rgb="FFF2F2F2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/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164" fontId="15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6" fillId="0" borderId="2" xfId="0" applyFont="1" applyBorder="1"/>
    <xf numFmtId="166" fontId="7" fillId="0" borderId="2" xfId="0" applyNumberFormat="1" applyFont="1" applyBorder="1" applyAlignment="1">
      <alignment horizontal="right" vertical="center"/>
    </xf>
    <xf numFmtId="0" fontId="6" fillId="0" borderId="0" xfId="0" applyFont="1" applyFill="1"/>
    <xf numFmtId="0" fontId="18" fillId="0" borderId="2" xfId="0" applyFont="1" applyFill="1" applyBorder="1" applyAlignment="1">
      <alignment horizontal="center" vertical="center"/>
    </xf>
    <xf numFmtId="166" fontId="7" fillId="0" borderId="2" xfId="0" applyNumberFormat="1" applyFont="1" applyFill="1" applyBorder="1" applyAlignment="1">
      <alignment horizontal="right" vertical="center"/>
    </xf>
    <xf numFmtId="166" fontId="6" fillId="0" borderId="0" xfId="0" applyNumberFormat="1" applyFont="1" applyFill="1"/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right" vertical="center"/>
    </xf>
    <xf numFmtId="166" fontId="7" fillId="0" borderId="0" xfId="0" applyNumberFormat="1" applyFont="1" applyFill="1" applyAlignment="1">
      <alignment horizontal="right" vertical="center"/>
    </xf>
    <xf numFmtId="0" fontId="19" fillId="0" borderId="0" xfId="0" applyFont="1" applyFill="1" applyAlignment="1">
      <alignment horizontal="left" vertical="center"/>
    </xf>
    <xf numFmtId="0" fontId="19" fillId="0" borderId="0" xfId="0" applyFont="1" applyFill="1" applyAlignment="1">
      <alignment horizontal="right" vertical="center"/>
    </xf>
    <xf numFmtId="166" fontId="19" fillId="0" borderId="0" xfId="0" applyNumberFormat="1" applyFont="1" applyFill="1" applyAlignment="1">
      <alignment horizontal="right" vertical="center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right" vertical="center"/>
    </xf>
    <xf numFmtId="166" fontId="5" fillId="0" borderId="0" xfId="0" applyNumberFormat="1" applyFont="1" applyFill="1" applyAlignment="1">
      <alignment horizontal="right" vertical="center"/>
    </xf>
    <xf numFmtId="0" fontId="20" fillId="0" borderId="0" xfId="0" applyFont="1" applyFill="1" applyAlignment="1">
      <alignment horizontal="left" vertical="center"/>
    </xf>
    <xf numFmtId="0" fontId="21" fillId="0" borderId="0" xfId="0" applyFont="1" applyFill="1"/>
    <xf numFmtId="0" fontId="22" fillId="0" borderId="0" xfId="0" applyFont="1" applyFill="1" applyAlignment="1">
      <alignment horizontal="left" vertical="center"/>
    </xf>
    <xf numFmtId="0" fontId="23" fillId="0" borderId="0" xfId="0" applyFont="1" applyFill="1"/>
    <xf numFmtId="0" fontId="0" fillId="0" borderId="0" xfId="0" applyFill="1"/>
    <xf numFmtId="0" fontId="25" fillId="0" borderId="0" xfId="0" applyFont="1" applyFill="1" applyAlignment="1">
      <alignment vertical="center"/>
    </xf>
    <xf numFmtId="0" fontId="24" fillId="0" borderId="0" xfId="0" applyFont="1" applyFill="1" applyAlignment="1">
      <alignment horizontal="left" vertical="top" wrapText="1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vertical="center"/>
    </xf>
    <xf numFmtId="0" fontId="14" fillId="0" borderId="0" xfId="0" applyFont="1"/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right" vertical="center"/>
    </xf>
    <xf numFmtId="4" fontId="6" fillId="0" borderId="2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left" vertical="center"/>
    </xf>
    <xf numFmtId="0" fontId="6" fillId="0" borderId="2" xfId="0" applyFont="1" applyFill="1" applyBorder="1" applyAlignment="1">
      <alignment horizontal="center" vertical="center"/>
    </xf>
    <xf numFmtId="4" fontId="6" fillId="0" borderId="2" xfId="0" applyNumberFormat="1" applyFont="1" applyFill="1" applyBorder="1" applyAlignment="1">
      <alignment horizontal="right" vertical="center"/>
    </xf>
    <xf numFmtId="0" fontId="23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3" fontId="6" fillId="2" borderId="1" xfId="0" applyNumberFormat="1" applyFont="1" applyFill="1" applyBorder="1" applyAlignment="1">
      <alignment horizontal="left" vertical="center"/>
    </xf>
    <xf numFmtId="165" fontId="6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000000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showGridLines="0" workbookViewId="0"/>
  </sheetViews>
  <sheetFormatPr defaultRowHeight="15"/>
  <cols>
    <col min="1" max="2" width="2.25" customWidth="1"/>
    <col min="3" max="8" width="11.125" customWidth="1"/>
    <col min="9" max="10" width="2.25" customWidth="1"/>
  </cols>
  <sheetData>
    <row r="1" spans="1:10" ht="15.95" customHeight="1">
      <c r="A1" s="11"/>
      <c r="B1" s="11"/>
      <c r="C1" s="6"/>
      <c r="D1" s="6"/>
      <c r="E1" s="6"/>
      <c r="F1" s="6"/>
      <c r="G1" s="6"/>
      <c r="H1" s="6"/>
      <c r="I1" s="6"/>
      <c r="J1" s="6"/>
    </row>
    <row r="2" spans="1:10" ht="25.7" customHeight="1">
      <c r="A2" s="6"/>
      <c r="B2" s="48" t="str">
        <f>Settings!B4</f>
        <v>IronCalc GmbH</v>
      </c>
      <c r="C2" s="10"/>
      <c r="D2" s="3"/>
      <c r="E2" s="3"/>
      <c r="F2" s="3"/>
      <c r="G2" s="4"/>
      <c r="H2" s="47" t="s">
        <v>0</v>
      </c>
      <c r="I2" s="6"/>
      <c r="J2" s="6"/>
    </row>
    <row r="3" spans="1:10" ht="12.75" customHeight="1">
      <c r="A3" s="6"/>
      <c r="B3" s="14" t="str" cm="1">
        <f t="array" ref="B3">company_name</f>
        <v>IronCalc GmbH</v>
      </c>
      <c r="C3" s="10"/>
      <c r="D3" s="15"/>
      <c r="E3" s="15"/>
      <c r="F3" s="15"/>
      <c r="G3" s="16"/>
      <c r="H3" s="16"/>
      <c r="I3" s="6"/>
      <c r="J3" s="6"/>
    </row>
    <row r="4" spans="1:10" ht="12.75" customHeight="1">
      <c r="A4" s="6"/>
      <c r="B4" s="14" t="str" cm="1">
        <f t="array" ref="B4">address_2</f>
        <v>10178 Berlin, Germany</v>
      </c>
      <c r="C4" s="10"/>
      <c r="D4" s="14"/>
      <c r="E4" s="14"/>
      <c r="F4" s="14"/>
      <c r="G4" s="17" t="s">
        <v>1</v>
      </c>
      <c r="H4" s="16" t="s">
        <v>2</v>
      </c>
      <c r="I4" s="6"/>
      <c r="J4" s="6"/>
    </row>
    <row r="5" spans="1:10" ht="12.75" customHeight="1">
      <c r="A5" s="6"/>
      <c r="B5" s="14" t="str" cm="1">
        <f t="array" ref="B5">email</f>
        <v>hello@ironcalc.com</v>
      </c>
      <c r="C5" s="10"/>
      <c r="D5" s="14"/>
      <c r="E5" s="14"/>
      <c r="F5" s="14"/>
      <c r="G5" s="17" t="s">
        <v>3</v>
      </c>
      <c r="H5" s="18">
        <f ca="1">TODAY()</f>
        <v>46206</v>
      </c>
      <c r="I5" s="6"/>
      <c r="J5" s="6"/>
    </row>
    <row r="6" spans="1:10" ht="12.75" customHeight="1">
      <c r="A6" s="6"/>
      <c r="B6" s="19" t="str">
        <f>CONCATENATE("VAT ID: ",vat_id)</f>
        <v>VAT ID: DE 123456789</v>
      </c>
      <c r="C6" s="10"/>
      <c r="D6" s="14"/>
      <c r="E6" s="14"/>
      <c r="F6" s="14"/>
      <c r="G6" s="17" t="s">
        <v>4</v>
      </c>
      <c r="H6" s="18">
        <f ca="1">WORKDAY(H5,Settings!B18)</f>
        <v>46248</v>
      </c>
      <c r="I6" s="6"/>
      <c r="J6" s="6"/>
    </row>
    <row r="7" spans="1:10" ht="12.75" customHeight="1">
      <c r="A7" s="6"/>
      <c r="B7" s="49"/>
      <c r="C7" s="10"/>
      <c r="D7" s="19"/>
      <c r="E7" s="19"/>
      <c r="F7" s="19"/>
      <c r="G7" s="17" t="s">
        <v>5</v>
      </c>
      <c r="H7" s="16" t="str">
        <f ca="1">IF(TODAY()&gt;H6,"OVERDUE",IF(H6-TODAY()&lt;=5,"DUE SOON","CURRENT"))</f>
        <v>CURRENT</v>
      </c>
      <c r="I7" s="6"/>
      <c r="J7" s="6"/>
    </row>
    <row r="8" spans="1:10" ht="12.75" customHeight="1">
      <c r="A8" s="6"/>
      <c r="B8" s="49"/>
      <c r="C8" s="10"/>
      <c r="D8" s="49"/>
      <c r="E8" s="49"/>
      <c r="F8" s="49"/>
      <c r="G8" s="49"/>
      <c r="H8" s="49"/>
      <c r="I8" s="6"/>
      <c r="J8" s="6"/>
    </row>
    <row r="9" spans="1:10" ht="12.75" customHeight="1">
      <c r="A9" s="6"/>
      <c r="B9" s="20" t="s">
        <v>6</v>
      </c>
      <c r="C9" s="10"/>
      <c r="D9" s="49"/>
      <c r="E9" s="20" t="s">
        <v>7</v>
      </c>
      <c r="F9" s="49"/>
      <c r="G9" s="10"/>
      <c r="H9" s="49"/>
      <c r="I9" s="6"/>
      <c r="J9" s="6"/>
    </row>
    <row r="10" spans="1:10" ht="12.75" customHeight="1">
      <c r="A10" s="6"/>
      <c r="B10" s="19" t="s">
        <v>8</v>
      </c>
      <c r="C10" s="10"/>
      <c r="D10" s="19"/>
      <c r="E10" s="19" t="s">
        <v>9</v>
      </c>
      <c r="F10" s="19"/>
      <c r="G10" s="10"/>
      <c r="H10" s="19"/>
      <c r="I10" s="6"/>
      <c r="J10" s="6"/>
    </row>
    <row r="11" spans="1:10" ht="12.75" customHeight="1">
      <c r="A11" s="6"/>
      <c r="B11" s="19" t="s">
        <v>10</v>
      </c>
      <c r="C11" s="10"/>
      <c r="D11" s="19"/>
      <c r="E11" s="19" t="s">
        <v>11</v>
      </c>
      <c r="F11" s="19"/>
      <c r="G11" s="10"/>
      <c r="H11" s="19"/>
      <c r="I11" s="6"/>
      <c r="J11" s="6"/>
    </row>
    <row r="12" spans="1:10" ht="12.75" customHeight="1">
      <c r="A12" s="6"/>
      <c r="B12" s="19" t="s">
        <v>12</v>
      </c>
      <c r="C12" s="10"/>
      <c r="D12" s="19"/>
      <c r="E12" s="19"/>
      <c r="F12" s="19"/>
      <c r="G12" s="49"/>
      <c r="H12" s="49"/>
      <c r="I12" s="6"/>
      <c r="J12" s="6"/>
    </row>
    <row r="13" spans="1:10" ht="12.75" customHeight="1">
      <c r="A13" s="6"/>
      <c r="B13" s="19" t="s">
        <v>13</v>
      </c>
      <c r="C13" s="10"/>
      <c r="D13" s="19"/>
      <c r="E13" s="19"/>
      <c r="F13" s="19"/>
      <c r="G13" s="49"/>
      <c r="H13" s="49"/>
      <c r="I13" s="6"/>
      <c r="J13" s="6"/>
    </row>
    <row r="14" spans="1:10" ht="15.95" customHeight="1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pans="1:10" ht="15.95" customHeight="1">
      <c r="A15" s="6"/>
      <c r="B15" s="21" t="s">
        <v>14</v>
      </c>
      <c r="C15" s="22" t="s">
        <v>15</v>
      </c>
      <c r="D15" s="22"/>
      <c r="E15" s="22"/>
      <c r="F15" s="21" t="s">
        <v>16</v>
      </c>
      <c r="G15" s="23" t="s">
        <v>17</v>
      </c>
      <c r="H15" s="23" t="s">
        <v>18</v>
      </c>
      <c r="I15" s="22"/>
      <c r="J15" s="6"/>
    </row>
    <row r="16" spans="1:10" ht="15.95" customHeight="1">
      <c r="A16" s="6"/>
      <c r="B16" s="24" cm="1">
        <f t="array" ref="B16:B18">_xlfn.SEQUENCE(COUNTA(C16:C25))</f>
        <v>1</v>
      </c>
      <c r="C16" s="50" t="s">
        <v>19</v>
      </c>
      <c r="D16" s="50"/>
      <c r="E16" s="50"/>
      <c r="F16" s="51">
        <v>160</v>
      </c>
      <c r="G16" s="52">
        <v>100</v>
      </c>
      <c r="H16" s="26">
        <f>IF(AND(ISNUMBER(F16),ISNUMBER(G16),F16&gt;0),F16*G16,"")</f>
        <v>16000</v>
      </c>
      <c r="I16" s="25"/>
      <c r="J16" s="6"/>
    </row>
    <row r="17" spans="1:10" ht="15.95" customHeight="1">
      <c r="A17" s="6"/>
      <c r="B17" s="24">
        <v>2</v>
      </c>
      <c r="C17" s="50" t="s">
        <v>20</v>
      </c>
      <c r="D17" s="50"/>
      <c r="E17" s="50"/>
      <c r="F17" s="51">
        <v>40</v>
      </c>
      <c r="G17" s="52">
        <v>100</v>
      </c>
      <c r="H17" s="26">
        <f>IF(AND(ISNUMBER(F17),ISNUMBER(G17),F17&gt;0),F17*G17,"")</f>
        <v>4000</v>
      </c>
      <c r="I17" s="25"/>
      <c r="J17" s="6"/>
    </row>
    <row r="18" spans="1:10" ht="15.95" customHeight="1">
      <c r="A18" s="6"/>
      <c r="B18" s="24">
        <v>3</v>
      </c>
      <c r="C18" s="50" t="s">
        <v>21</v>
      </c>
      <c r="D18" s="50"/>
      <c r="E18" s="50"/>
      <c r="F18" s="51">
        <v>22</v>
      </c>
      <c r="G18" s="52">
        <v>120</v>
      </c>
      <c r="H18" s="26">
        <f>IF(AND(ISNUMBER(F18),ISNUMBER(G18),F18&gt;0),F18*G18,"")</f>
        <v>2640</v>
      </c>
      <c r="I18" s="25"/>
      <c r="J18" s="6"/>
    </row>
    <row r="19" spans="1:10" ht="15.95" customHeight="1">
      <c r="A19" s="6"/>
      <c r="B19" s="24"/>
      <c r="C19" s="50"/>
      <c r="D19" s="50"/>
      <c r="E19" s="50"/>
      <c r="F19" s="51"/>
      <c r="G19" s="53"/>
      <c r="H19" s="26" t="str">
        <f>IF(AND(ISNUMBER(F19),ISNUMBER(G19),F19&gt;0),F19*G19,"")</f>
        <v/>
      </c>
      <c r="I19" s="25"/>
      <c r="J19" s="6"/>
    </row>
    <row r="20" spans="1:10" ht="15.95" customHeight="1">
      <c r="A20" s="27"/>
      <c r="B20" s="28"/>
      <c r="C20" s="54"/>
      <c r="D20" s="54"/>
      <c r="E20" s="54"/>
      <c r="F20" s="55"/>
      <c r="G20" s="56"/>
      <c r="H20" s="29" t="str">
        <f>IF(AND(ISNUMBER(F20),ISNUMBER(G20),F20&gt;0),F20*G20,"")</f>
        <v/>
      </c>
      <c r="I20" s="25"/>
      <c r="J20" s="6"/>
    </row>
    <row r="21" spans="1:10" ht="15.95" customHeight="1">
      <c r="A21" s="27"/>
      <c r="B21" s="28"/>
      <c r="C21" s="54"/>
      <c r="D21" s="54"/>
      <c r="E21" s="54"/>
      <c r="F21" s="55"/>
      <c r="G21" s="56"/>
      <c r="H21" s="29" t="str">
        <f>IF(AND(ISNUMBER(F21),ISNUMBER(G21),F21&gt;0),F21*G21,"")</f>
        <v/>
      </c>
      <c r="I21" s="25"/>
      <c r="J21" s="6"/>
    </row>
    <row r="22" spans="1:10" ht="15.95" customHeight="1">
      <c r="A22" s="27"/>
      <c r="B22" s="28"/>
      <c r="C22" s="54"/>
      <c r="D22" s="54"/>
      <c r="E22" s="54"/>
      <c r="F22" s="55"/>
      <c r="G22" s="56"/>
      <c r="H22" s="29" t="str">
        <f>IF(AND(ISNUMBER(F22),ISNUMBER(G22),F22&gt;0),F22*G22,"")</f>
        <v/>
      </c>
      <c r="I22" s="25"/>
      <c r="J22" s="6"/>
    </row>
    <row r="23" spans="1:10" ht="15.95" customHeight="1">
      <c r="A23" s="27"/>
      <c r="B23" s="28"/>
      <c r="C23" s="54"/>
      <c r="D23" s="54"/>
      <c r="E23" s="54"/>
      <c r="F23" s="55"/>
      <c r="G23" s="56"/>
      <c r="H23" s="29" t="str">
        <f>IF(AND(ISNUMBER(F23),ISNUMBER(G23),F23&gt;0),F23*G23,"")</f>
        <v/>
      </c>
      <c r="I23" s="25"/>
      <c r="J23" s="6"/>
    </row>
    <row r="24" spans="1:10" ht="15.95" customHeight="1">
      <c r="A24" s="27"/>
      <c r="B24" s="28"/>
      <c r="C24" s="54"/>
      <c r="D24" s="54"/>
      <c r="E24" s="54"/>
      <c r="F24" s="55"/>
      <c r="G24" s="56"/>
      <c r="H24" s="29" t="str">
        <f>IF(AND(ISNUMBER(F24),ISNUMBER(G24),F24&gt;0),F24*G24,"")</f>
        <v/>
      </c>
      <c r="I24" s="25"/>
      <c r="J24" s="6"/>
    </row>
    <row r="25" spans="1:10" ht="15.95" customHeight="1">
      <c r="A25" s="27"/>
      <c r="B25" s="28"/>
      <c r="C25" s="54"/>
      <c r="D25" s="54"/>
      <c r="E25" s="54"/>
      <c r="F25" s="55"/>
      <c r="G25" s="56"/>
      <c r="H25" s="29" t="str">
        <f>IF(AND(ISNUMBER(F25),ISNUMBER(G25),F25&gt;0),F25*G25,"")</f>
        <v/>
      </c>
      <c r="I25" s="25"/>
      <c r="J25" s="6"/>
    </row>
    <row r="26" spans="1:10" ht="15.95" customHeight="1">
      <c r="A26" s="27"/>
      <c r="B26" s="27"/>
      <c r="C26" s="27"/>
      <c r="D26" s="27"/>
      <c r="E26" s="27"/>
      <c r="F26" s="27"/>
      <c r="G26" s="27"/>
      <c r="H26" s="30"/>
      <c r="I26" s="6"/>
      <c r="J26" s="6"/>
    </row>
    <row r="27" spans="1:10" ht="15.95" customHeight="1">
      <c r="A27" s="27"/>
      <c r="B27" s="31" t="s">
        <v>22</v>
      </c>
      <c r="C27" s="32"/>
      <c r="D27" s="32"/>
      <c r="E27" s="32"/>
      <c r="F27" s="32"/>
      <c r="G27" s="32"/>
      <c r="H27" s="33">
        <f>SUM(H16:H25)</f>
        <v>22640</v>
      </c>
      <c r="I27" s="12"/>
      <c r="J27" s="6"/>
    </row>
    <row r="28" spans="1:10" ht="15.95" customHeight="1">
      <c r="A28" s="27"/>
      <c r="B28" s="34" t="str">
        <f>CONCATENATE("VAT (",TEXT(Settings!B19,"0%"),")")</f>
        <v>VAT (19%)</v>
      </c>
      <c r="C28" s="35"/>
      <c r="D28" s="35"/>
      <c r="E28" s="35"/>
      <c r="F28" s="35"/>
      <c r="G28" s="35"/>
      <c r="H28" s="36">
        <f>ROUND(H27*Settings!B19,2)</f>
        <v>4301.6000000000004</v>
      </c>
      <c r="I28" s="6"/>
      <c r="J28" s="6"/>
    </row>
    <row r="29" spans="1:10" ht="15.95" customHeight="1">
      <c r="A29" s="27"/>
      <c r="B29" s="37" t="s">
        <v>23</v>
      </c>
      <c r="C29" s="38"/>
      <c r="D29" s="38"/>
      <c r="E29" s="38"/>
      <c r="F29" s="38"/>
      <c r="G29" s="38"/>
      <c r="H29" s="39">
        <f>H27+H28</f>
        <v>26941.599999999999</v>
      </c>
      <c r="I29" s="13"/>
      <c r="J29" s="6"/>
    </row>
    <row r="30" spans="1:10" ht="15.95" customHeight="1">
      <c r="A30" s="27"/>
      <c r="B30" s="27"/>
      <c r="C30" s="27"/>
      <c r="D30" s="27"/>
      <c r="E30" s="27"/>
      <c r="F30" s="27"/>
      <c r="G30" s="27"/>
      <c r="H30" s="27"/>
      <c r="I30" s="6"/>
      <c r="J30" s="6"/>
    </row>
    <row r="31" spans="1:10" ht="15.95" customHeight="1">
      <c r="A31" s="27"/>
      <c r="B31" s="27"/>
      <c r="C31" s="27"/>
      <c r="D31" s="27"/>
      <c r="E31" s="27"/>
      <c r="F31" s="27"/>
      <c r="G31" s="27"/>
      <c r="H31" s="27"/>
      <c r="I31" s="6"/>
      <c r="J31" s="6"/>
    </row>
    <row r="32" spans="1:10" ht="12.75" customHeight="1">
      <c r="A32" s="27"/>
      <c r="B32" s="40" t="s">
        <v>24</v>
      </c>
      <c r="C32" s="41"/>
      <c r="D32" s="42"/>
      <c r="E32" s="42"/>
      <c r="F32" s="42"/>
      <c r="G32" s="42"/>
      <c r="H32" s="42"/>
      <c r="I32" s="6"/>
      <c r="J32" s="6"/>
    </row>
    <row r="33" spans="1:10" ht="12.75" customHeight="1">
      <c r="A33" s="27"/>
      <c r="B33" s="40" t="s">
        <v>25</v>
      </c>
      <c r="C33" s="43"/>
      <c r="D33" s="57" t="str" cm="1">
        <f t="array" ref="D33">account_holder</f>
        <v>IronCalc GmbH</v>
      </c>
      <c r="E33" s="43"/>
      <c r="F33" s="43"/>
      <c r="G33" s="57"/>
      <c r="H33" s="57"/>
      <c r="I33" s="6"/>
      <c r="J33" s="6"/>
    </row>
    <row r="34" spans="1:10" ht="12.75" customHeight="1">
      <c r="A34" s="27"/>
      <c r="B34" s="40" t="s">
        <v>26</v>
      </c>
      <c r="C34" s="43"/>
      <c r="D34" s="57" t="str" cm="1">
        <f t="array" ref="D34">iban</f>
        <v>DE00 0000 0000 0000 0000 00</v>
      </c>
      <c r="E34" s="43"/>
      <c r="F34" s="43"/>
      <c r="G34" s="57"/>
      <c r="H34" s="57"/>
      <c r="I34" s="6"/>
      <c r="J34" s="6"/>
    </row>
    <row r="35" spans="1:10" ht="12.75" customHeight="1">
      <c r="A35" s="27"/>
      <c r="B35" s="40" t="s">
        <v>27</v>
      </c>
      <c r="C35" s="43"/>
      <c r="D35" s="57" t="str" cm="1">
        <f t="array" ref="D35">bic_swift</f>
        <v>DEUTXXXX</v>
      </c>
      <c r="E35" s="43"/>
      <c r="F35" s="43"/>
      <c r="G35" s="57"/>
      <c r="H35" s="57"/>
      <c r="I35" s="6"/>
      <c r="J35" s="6"/>
    </row>
    <row r="36" spans="1:10" ht="12.75" customHeight="1">
      <c r="A36" s="27"/>
      <c r="B36" s="40" t="s">
        <v>28</v>
      </c>
      <c r="C36" s="43"/>
      <c r="D36" s="57" t="str" cm="1">
        <f t="array" ref="D36">bank_name</f>
        <v>Lotus Bank</v>
      </c>
      <c r="E36" s="43"/>
      <c r="F36" s="43"/>
      <c r="G36" s="57"/>
      <c r="H36" s="57"/>
      <c r="I36" s="6"/>
      <c r="J36" s="6"/>
    </row>
    <row r="37" spans="1:10" ht="12.75" customHeight="1">
      <c r="A37" s="27"/>
      <c r="B37" s="40" t="s">
        <v>29</v>
      </c>
      <c r="C37" s="43"/>
      <c r="D37" s="57" t="str">
        <f ca="1">CONCATENATE(H4," · ",TEXT(H5,"yyyy-mm-dd"))</f>
        <v>INV-2026-001 · 2026-07-03</v>
      </c>
      <c r="E37" s="43"/>
      <c r="F37" s="43"/>
      <c r="G37" s="57"/>
      <c r="H37" s="57"/>
      <c r="I37" s="6"/>
      <c r="J37" s="6"/>
    </row>
    <row r="38" spans="1:10" ht="15.95" customHeight="1">
      <c r="A38" s="27"/>
      <c r="B38" s="44"/>
      <c r="C38" s="44"/>
      <c r="D38" s="44"/>
      <c r="E38" s="44"/>
      <c r="F38" s="44"/>
      <c r="G38" s="44"/>
      <c r="H38" s="44"/>
      <c r="I38" s="6"/>
      <c r="J38" s="6"/>
    </row>
    <row r="39" spans="1:10" ht="15.95" customHeight="1">
      <c r="A39" s="27"/>
      <c r="B39" s="45" t="str">
        <f>Settings!B21</f>
        <v>Payment due within agreed terms. Late payments subject to interest per §288 BGB.</v>
      </c>
      <c r="C39" s="41"/>
      <c r="D39" s="46"/>
      <c r="E39" s="46"/>
      <c r="F39" s="46"/>
      <c r="G39" s="46"/>
      <c r="H39" s="46"/>
      <c r="I39" s="6"/>
      <c r="J39" s="6"/>
    </row>
    <row r="40" spans="1:10" ht="13.7" customHeight="1">
      <c r="A40" s="44"/>
      <c r="B40" s="44"/>
      <c r="C40" s="44"/>
      <c r="D40" s="44"/>
      <c r="E40" s="44"/>
      <c r="F40" s="44"/>
      <c r="G40" s="44"/>
      <c r="H40" s="44"/>
    </row>
    <row r="41" spans="1:10" ht="13.7" customHeight="1">
      <c r="A41" s="44"/>
      <c r="B41" s="44"/>
      <c r="C41" s="44"/>
      <c r="D41" s="44"/>
      <c r="E41" s="44"/>
      <c r="F41" s="44"/>
      <c r="G41" s="44"/>
      <c r="H41" s="44"/>
    </row>
    <row r="42" spans="1:10" ht="13.7" customHeight="1">
      <c r="A42" s="44"/>
      <c r="B42" s="44"/>
      <c r="C42" s="44"/>
      <c r="D42" s="44"/>
      <c r="E42" s="44"/>
      <c r="F42" s="44"/>
      <c r="G42" s="44"/>
      <c r="H42" s="44"/>
    </row>
    <row r="43" spans="1:10" ht="13.7" customHeight="1">
      <c r="A43" s="44"/>
      <c r="B43" s="44"/>
      <c r="C43" s="44"/>
      <c r="D43" s="44"/>
      <c r="E43" s="44"/>
      <c r="F43" s="44"/>
      <c r="G43" s="44"/>
      <c r="H43" s="44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showGridLines="0" tabSelected="1" workbookViewId="0">
      <selection activeCell="D12" sqref="D12"/>
    </sheetView>
  </sheetViews>
  <sheetFormatPr defaultRowHeight="15"/>
  <cols>
    <col min="1" max="2" width="22.5" customWidth="1"/>
    <col min="3" max="3" width="1.375" customWidth="1"/>
    <col min="4" max="5" width="10.375" customWidth="1"/>
  </cols>
  <sheetData>
    <row r="1" spans="1:4" ht="15.95" customHeight="1">
      <c r="A1" s="5" t="s">
        <v>30</v>
      </c>
      <c r="B1" s="5"/>
      <c r="C1" s="5"/>
    </row>
    <row r="2" spans="1:4" ht="15.95" customHeight="1">
      <c r="A2" s="6"/>
      <c r="B2" s="6"/>
      <c r="C2" s="6"/>
      <c r="D2" s="6"/>
    </row>
    <row r="3" spans="1:4" ht="15.95" customHeight="1">
      <c r="A3" s="7" t="s">
        <v>31</v>
      </c>
      <c r="B3" s="7"/>
      <c r="C3" s="7"/>
      <c r="D3" s="6"/>
    </row>
    <row r="4" spans="1:4" ht="15.95" customHeight="1">
      <c r="A4" s="58" t="s">
        <v>32</v>
      </c>
      <c r="B4" s="59" t="s">
        <v>33</v>
      </c>
      <c r="C4" s="6"/>
      <c r="D4" s="6"/>
    </row>
    <row r="5" spans="1:4" ht="15.95" customHeight="1">
      <c r="A5" s="58" t="s">
        <v>10</v>
      </c>
      <c r="B5" s="59" t="s">
        <v>34</v>
      </c>
      <c r="C5" s="6"/>
      <c r="D5" s="6"/>
    </row>
    <row r="6" spans="1:4" ht="15.95" customHeight="1">
      <c r="A6" s="58" t="s">
        <v>35</v>
      </c>
      <c r="B6" s="59" t="s">
        <v>36</v>
      </c>
      <c r="C6" s="6"/>
      <c r="D6" s="6"/>
    </row>
    <row r="7" spans="1:4" ht="15.95" customHeight="1">
      <c r="A7" s="58" t="s">
        <v>37</v>
      </c>
      <c r="B7" s="59" t="s">
        <v>38</v>
      </c>
      <c r="C7" s="6"/>
      <c r="D7" s="6"/>
    </row>
    <row r="8" spans="1:4" ht="15.95" customHeight="1">
      <c r="A8" s="58" t="s">
        <v>39</v>
      </c>
      <c r="B8" s="59" t="s">
        <v>40</v>
      </c>
      <c r="C8" s="6"/>
      <c r="D8" s="6"/>
    </row>
    <row r="9" spans="1:4" ht="15.95" customHeight="1">
      <c r="A9" s="58" t="s">
        <v>13</v>
      </c>
      <c r="B9" s="59" t="s">
        <v>41</v>
      </c>
      <c r="C9" s="6"/>
      <c r="D9" s="6"/>
    </row>
    <row r="10" spans="1:4" ht="15.95" customHeight="1">
      <c r="A10" s="6"/>
      <c r="B10" s="6"/>
      <c r="C10" s="6"/>
      <c r="D10" s="6"/>
    </row>
    <row r="11" spans="1:4" ht="15.95" customHeight="1">
      <c r="A11" s="7" t="s">
        <v>42</v>
      </c>
      <c r="B11" s="7"/>
      <c r="C11" s="7"/>
      <c r="D11" s="6"/>
    </row>
    <row r="12" spans="1:4" ht="15.95" customHeight="1">
      <c r="A12" s="58" t="s">
        <v>25</v>
      </c>
      <c r="B12" s="59" t="s">
        <v>33</v>
      </c>
      <c r="C12" s="6"/>
      <c r="D12" s="6"/>
    </row>
    <row r="13" spans="1:4" ht="15.95" customHeight="1">
      <c r="A13" s="58" t="s">
        <v>26</v>
      </c>
      <c r="B13" s="59" t="s">
        <v>43</v>
      </c>
      <c r="C13" s="6"/>
      <c r="D13" s="6"/>
    </row>
    <row r="14" spans="1:4" ht="15.95" customHeight="1">
      <c r="A14" s="58" t="s">
        <v>27</v>
      </c>
      <c r="B14" s="59" t="s">
        <v>44</v>
      </c>
      <c r="C14" s="6"/>
      <c r="D14" s="6"/>
    </row>
    <row r="15" spans="1:4" ht="15.95" customHeight="1">
      <c r="A15" s="58" t="s">
        <v>45</v>
      </c>
      <c r="B15" s="59" t="s">
        <v>46</v>
      </c>
      <c r="C15" s="6"/>
      <c r="D15" s="6"/>
    </row>
    <row r="16" spans="1:4" ht="15.95" customHeight="1">
      <c r="A16" s="6"/>
      <c r="B16" s="6"/>
      <c r="C16" s="6"/>
      <c r="D16" s="6"/>
    </row>
    <row r="17" spans="1:4" ht="15.95" customHeight="1">
      <c r="A17" s="7" t="s">
        <v>47</v>
      </c>
      <c r="B17" s="7"/>
      <c r="C17" s="7"/>
      <c r="D17" s="6"/>
    </row>
    <row r="18" spans="1:4" ht="15.95" customHeight="1">
      <c r="A18" s="58" t="s">
        <v>48</v>
      </c>
      <c r="B18" s="60">
        <v>30</v>
      </c>
      <c r="C18" s="10"/>
      <c r="D18" s="9" t="s">
        <v>49</v>
      </c>
    </row>
    <row r="19" spans="1:4" ht="15.95" customHeight="1">
      <c r="A19" s="58" t="s">
        <v>50</v>
      </c>
      <c r="B19" s="61">
        <v>0.19</v>
      </c>
      <c r="C19" s="10"/>
      <c r="D19" s="9" t="s">
        <v>51</v>
      </c>
    </row>
    <row r="20" spans="1:4" ht="15.95" customHeight="1">
      <c r="A20" s="6"/>
      <c r="B20" s="6"/>
      <c r="C20" s="6"/>
      <c r="D20" s="6"/>
    </row>
    <row r="21" spans="1:4" ht="15.95" customHeight="1">
      <c r="A21" s="7" t="s">
        <v>52</v>
      </c>
      <c r="B21" s="9" t="s">
        <v>53</v>
      </c>
      <c r="C21" s="7"/>
      <c r="D21" s="6"/>
    </row>
    <row r="22" spans="1:4" ht="15.95" customHeight="1">
      <c r="A22" s="11"/>
      <c r="B22" s="8"/>
      <c r="C22" s="8"/>
      <c r="D22" s="6"/>
    </row>
    <row r="23" spans="1:4" ht="13.5" customHeight="1">
      <c r="A23" s="2"/>
      <c r="B23" s="2"/>
      <c r="C23" s="2"/>
    </row>
    <row r="24" spans="1:4" ht="13.5" customHeight="1">
      <c r="A24" s="1"/>
      <c r="B24" s="1"/>
      <c r="C24" s="1"/>
    </row>
    <row r="25" spans="1:4" ht="13.5" customHeight="1"/>
    <row r="29" spans="1:4" ht="13.5" customHeight="1"/>
    <row r="30" spans="1:4" ht="13.5" customHeight="1"/>
    <row r="31" spans="1:4" ht="13.5" customHeight="1"/>
    <row r="32" spans="1:4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</sheetData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81058-63BB-447B-A735-9FC84C06E3E3}">
  <dimension ref="A2:B2"/>
  <sheetViews>
    <sheetView workbookViewId="0">
      <selection activeCell="E36" sqref="E36"/>
    </sheetView>
  </sheetViews>
  <sheetFormatPr defaultRowHeight="14.25"/>
  <cols>
    <col min="2" max="2" width="13.5" customWidth="1"/>
  </cols>
  <sheetData>
    <row r="2" spans="1:2">
      <c r="A2" t="s">
        <v>54</v>
      </c>
      <c r="B2">
        <f ca="1">NOW()</f>
        <v>46206.497333912041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2026-06-02T09:54:35Z</dcterms:created>
  <dcterms:modified xsi:type="dcterms:W3CDTF">2026-07-03T09:56:28Z</dcterms:modified>
  <cp:category/>
  <cp:contentStatus/>
</cp:coreProperties>
</file>